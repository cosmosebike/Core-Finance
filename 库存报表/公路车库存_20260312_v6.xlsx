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总览" sheetId="1" state="visible" r:id="rId3"/>
    <sheet name="库存SKU明细" sheetId="2" state="visible" r:id="rId4"/>
    <sheet name="库存变动对比" sheetId="3" state="visible" r:id="rId5"/>
    <sheet name="库存清理跟踪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<sst xmlns="http://schemas.openxmlformats.org/spreadsheetml/2006/main" count="3845" uniqueCount="657">
  <si>
    <t xml:space="preserve">公路车库存中心</t>
  </si>
  <si>
    <r>
      <rPr>
        <sz val="9"/>
        <color rgb="FF999999"/>
        <rFont val="DejaVu Sans"/>
        <family val="2"/>
      </rPr>
      <t xml:space="preserve">宇宙销售统计中心 </t>
    </r>
    <r>
      <rPr>
        <sz val="9"/>
        <color rgb="FF999999"/>
        <rFont val="DejaVu Sans"/>
        <family val="0"/>
        <charset val="134"/>
      </rPr>
      <t xml:space="preserve">· 2026</t>
    </r>
    <r>
      <rPr>
        <sz val="9"/>
        <color rgb="FF999999"/>
        <rFont val="DejaVu Sans"/>
        <family val="2"/>
      </rPr>
      <t xml:space="preserve">年度 </t>
    </r>
    <r>
      <rPr>
        <sz val="9"/>
        <color rgb="FF999999"/>
        <rFont val="DejaVu Sans"/>
        <family val="0"/>
        <charset val="134"/>
      </rPr>
      <t xml:space="preserve">· </t>
    </r>
    <r>
      <rPr>
        <sz val="9"/>
        <color rgb="FF999999"/>
        <rFont val="DejaVu Sans"/>
        <family val="2"/>
      </rPr>
      <t xml:space="preserve">截至 </t>
    </r>
    <r>
      <rPr>
        <sz val="9"/>
        <color rgb="FF999999"/>
        <rFont val="DejaVu Sans"/>
        <family val="0"/>
        <charset val="134"/>
      </rPr>
      <t xml:space="preserve">2026-03-12</t>
    </r>
  </si>
  <si>
    <r>
      <rPr>
        <b val="true"/>
        <sz val="11"/>
        <color rgb="FF111111"/>
        <rFont val="DejaVu Sans"/>
        <family val="2"/>
      </rPr>
      <t xml:space="preserve">库存总量 </t>
    </r>
    <r>
      <rPr>
        <b val="true"/>
        <sz val="11"/>
        <color rgb="FF111111"/>
        <rFont val="DejaVu Sans"/>
        <family val="0"/>
        <charset val="134"/>
      </rPr>
      <t xml:space="preserve">· </t>
    </r>
    <r>
      <rPr>
        <b val="true"/>
        <sz val="11"/>
        <color rgb="FF111111"/>
        <rFont val="DejaVu Sans"/>
        <family val="2"/>
      </rPr>
      <t xml:space="preserve">按级别</t>
    </r>
  </si>
  <si>
    <t xml:space="preserve">库存级别</t>
  </si>
  <si>
    <r>
      <rPr>
        <b val="true"/>
        <sz val="8"/>
        <color rgb="FF111111"/>
        <rFont val="Arial"/>
        <family val="0"/>
        <charset val="1"/>
      </rPr>
      <t xml:space="preserve">SKU</t>
    </r>
    <r>
      <rPr>
        <b val="true"/>
        <sz val="8"/>
        <color rgb="FF111111"/>
        <rFont val="DejaVu Sans"/>
        <family val="2"/>
      </rPr>
      <t xml:space="preserve">数</t>
    </r>
  </si>
  <si>
    <t xml:space="preserve">库存件数</t>
  </si>
  <si>
    <r>
      <rPr>
        <b val="true"/>
        <sz val="8"/>
        <color rgb="FF111111"/>
        <rFont val="DejaVu Sans"/>
        <family val="2"/>
      </rPr>
      <t xml:space="preserve">库存成本</t>
    </r>
    <r>
      <rPr>
        <b val="true"/>
        <sz val="8"/>
        <color rgb="FF111111"/>
        <rFont val="DejaVu Sans"/>
        <family val="0"/>
        <charset val="134"/>
      </rPr>
      <t xml:space="preserve">(</t>
    </r>
    <r>
      <rPr>
        <b val="true"/>
        <sz val="8"/>
        <color rgb="FF111111"/>
        <rFont val="DejaVu Sans"/>
        <family val="2"/>
      </rPr>
      <t xml:space="preserve">元</t>
    </r>
    <r>
      <rPr>
        <b val="true"/>
        <sz val="8"/>
        <color rgb="FF111111"/>
        <rFont val="DejaVu Sans"/>
        <family val="0"/>
        <charset val="134"/>
      </rPr>
      <t xml:space="preserve">)</t>
    </r>
  </si>
  <si>
    <t xml:space="preserve">占比</t>
  </si>
  <si>
    <t xml:space="preserve">说明</t>
  </si>
  <si>
    <t xml:space="preserve">清理库存</t>
  </si>
  <si>
    <r>
      <rPr>
        <sz val="9"/>
        <color rgb="FF999999"/>
        <rFont val="DejaVu Sans"/>
        <family val="2"/>
      </rPr>
      <t xml:space="preserve">正在清理</t>
    </r>
    <r>
      <rPr>
        <sz val="9"/>
        <color rgb="FF999999"/>
        <rFont val="DejaVu Sans"/>
        <family val="0"/>
        <charset val="134"/>
      </rPr>
      <t xml:space="preserve">·</t>
    </r>
    <r>
      <rPr>
        <sz val="9"/>
        <color rgb="FF999999"/>
        <rFont val="DejaVu Sans"/>
        <family val="2"/>
      </rPr>
      <t xml:space="preserve">见</t>
    </r>
    <r>
      <rPr>
        <sz val="9"/>
        <color rgb="FF999999"/>
        <rFont val="DejaVu Sans"/>
        <family val="0"/>
        <charset val="134"/>
      </rPr>
      <t xml:space="preserve">Sheet4</t>
    </r>
    <r>
      <rPr>
        <sz val="9"/>
        <color rgb="FF999999"/>
        <rFont val="DejaVu Sans"/>
        <family val="2"/>
      </rPr>
      <t xml:space="preserve">跟踪</t>
    </r>
  </si>
  <si>
    <t xml:space="preserve">高价商品</t>
  </si>
  <si>
    <r>
      <rPr>
        <sz val="9"/>
        <color rgb="FF999999"/>
        <rFont val="DejaVu Sans"/>
        <family val="2"/>
      </rPr>
      <t xml:space="preserve">高单价</t>
    </r>
    <r>
      <rPr>
        <sz val="9"/>
        <color rgb="FF999999"/>
        <rFont val="DejaVu Sans"/>
        <family val="0"/>
        <charset val="134"/>
      </rPr>
      <t xml:space="preserve">·</t>
    </r>
    <r>
      <rPr>
        <sz val="9"/>
        <color rgb="FF999999"/>
        <rFont val="DejaVu Sans"/>
        <family val="2"/>
      </rPr>
      <t xml:space="preserve">谨慎管理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</si>
  <si>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待处理库存</t>
    </r>
  </si>
  <si>
    <t xml:space="preserve">待定处理</t>
  </si>
  <si>
    <t xml:space="preserve">正常商品</t>
  </si>
  <si>
    <t xml:space="preserve">套件类</t>
  </si>
  <si>
    <t xml:space="preserve">自营产品</t>
  </si>
  <si>
    <t xml:space="preserve">配件</t>
  </si>
  <si>
    <t xml:space="preserve">铺货商品</t>
  </si>
  <si>
    <r>
      <rPr>
        <sz val="9"/>
        <color rgb="FF999999"/>
        <rFont val="DejaVu Sans"/>
        <family val="2"/>
      </rPr>
      <t xml:space="preserve">铺货给合作方</t>
    </r>
    <r>
      <rPr>
        <sz val="9"/>
        <color rgb="FF999999"/>
        <rFont val="DejaVu Sans"/>
        <family val="0"/>
        <charset val="134"/>
      </rPr>
      <t xml:space="preserve">·</t>
    </r>
    <r>
      <rPr>
        <sz val="9"/>
        <color rgb="FF999999"/>
        <rFont val="DejaVu Sans"/>
        <family val="2"/>
      </rPr>
      <t xml:space="preserve">成本归零</t>
    </r>
  </si>
  <si>
    <t xml:space="preserve">合计</t>
  </si>
  <si>
    <t xml:space="preserve">需跟进的问题（按业务影响）</t>
  </si>
  <si>
    <t xml:space="preserve">#</t>
  </si>
  <si>
    <t xml:space="preserve">问题</t>
  </si>
  <si>
    <t xml:space="preserve">建议</t>
  </si>
  <si>
    <t xml:space="preserve">01</t>
  </si>
  <si>
    <r>
      <rPr>
        <sz val="9"/>
        <color rgb="FF111111"/>
        <rFont val="DejaVu Sans"/>
        <family val="2"/>
      </rPr>
      <t xml:space="preserve">差异调剂</t>
    </r>
    <r>
      <rPr>
        <sz val="9"/>
        <color rgb="FF111111"/>
        <rFont val="DejaVu Sans"/>
        <family val="0"/>
        <charset val="134"/>
      </rPr>
      <t xml:space="preserve">7</t>
    </r>
    <r>
      <rPr>
        <sz val="9"/>
        <color rgb="FF111111"/>
        <rFont val="DejaVu Sans"/>
        <family val="2"/>
      </rPr>
      <t xml:space="preserve">件出库无关联订单（</t>
    </r>
    <r>
      <rPr>
        <sz val="9"/>
        <color rgb="FF111111"/>
        <rFont val="DejaVu Sans"/>
        <family val="0"/>
        <charset val="134"/>
      </rPr>
      <t xml:space="preserve">DA</t>
    </r>
    <r>
      <rPr>
        <sz val="9"/>
        <color rgb="FF111111"/>
        <rFont val="DejaVu Sans"/>
        <family val="2"/>
      </rPr>
      <t xml:space="preserve">轮组</t>
    </r>
    <r>
      <rPr>
        <sz val="9"/>
        <color rgb="FF111111"/>
        <rFont val="DejaVu Sans"/>
        <family val="0"/>
        <charset val="134"/>
      </rPr>
      <t xml:space="preserve">/UT</t>
    </r>
    <r>
      <rPr>
        <sz val="9"/>
        <color rgb="FF111111"/>
        <rFont val="DejaVu Sans"/>
        <family val="2"/>
      </rPr>
      <t xml:space="preserve">碟片</t>
    </r>
    <r>
      <rPr>
        <sz val="9"/>
        <color rgb="FF111111"/>
        <rFont val="DejaVu Sans"/>
        <family val="0"/>
        <charset val="134"/>
      </rPr>
      <t xml:space="preserve">/ILLUSION</t>
    </r>
    <r>
      <rPr>
        <sz val="9"/>
        <color rgb="FF111111"/>
        <rFont val="DejaVu Sans"/>
        <family val="2"/>
      </rPr>
      <t xml:space="preserve">轮组）—— 内审盲区，无法溯源</t>
    </r>
  </si>
  <si>
    <r>
      <rPr>
        <sz val="9"/>
        <color rgb="FF8B1A1A"/>
        <rFont val="Arial"/>
        <family val="0"/>
        <charset val="1"/>
      </rPr>
      <t xml:space="preserve">[</t>
    </r>
    <r>
      <rPr>
        <sz val="9"/>
        <color rgb="FF8B1A1A"/>
        <rFont val="DejaVu Sans"/>
        <family val="2"/>
      </rPr>
      <t xml:space="preserve">高</t>
    </r>
    <r>
      <rPr>
        <sz val="9"/>
        <color rgb="FF8B1A1A"/>
        <rFont val="Arial"/>
        <family val="0"/>
        <charset val="1"/>
      </rPr>
      <t xml:space="preserve">] </t>
    </r>
    <r>
      <rPr>
        <sz val="9"/>
        <color rgb="FF8B1A1A"/>
        <rFont val="DejaVu Sans"/>
        <family val="2"/>
      </rPr>
      <t xml:space="preserve">补录特殊订单关联，明确差异原因</t>
    </r>
  </si>
  <si>
    <t xml:space="preserve">02</t>
  </si>
  <si>
    <r>
      <rPr>
        <sz val="9"/>
        <color rgb="FF111111"/>
        <rFont val="Arial"/>
        <family val="0"/>
        <charset val="1"/>
      </rPr>
      <t xml:space="preserve">33</t>
    </r>
    <r>
      <rPr>
        <sz val="9"/>
        <color rgb="FF111111"/>
        <rFont val="DejaVu Sans"/>
        <family val="2"/>
      </rPr>
      <t xml:space="preserve">个</t>
    </r>
    <r>
      <rPr>
        <sz val="9"/>
        <color rgb="FF111111"/>
        <rFont val="Arial"/>
        <family val="0"/>
        <charset val="1"/>
      </rPr>
      <t xml:space="preserve">SKU</t>
    </r>
    <r>
      <rPr>
        <sz val="9"/>
        <color rgb="FF111111"/>
        <rFont val="DejaVu Sans"/>
        <family val="2"/>
      </rPr>
      <t xml:space="preserve">有库存但成本为</t>
    </r>
    <r>
      <rPr>
        <sz val="9"/>
        <color rgb="FF111111"/>
        <rFont val="Arial"/>
        <family val="0"/>
        <charset val="1"/>
      </rPr>
      <t xml:space="preserve">0</t>
    </r>
    <r>
      <rPr>
        <sz val="9"/>
        <color rgb="FF111111"/>
        <rFont val="DejaVu Sans"/>
        <family val="2"/>
      </rPr>
      <t xml:space="preserve">，无法核算价差和绩效（含整车、车架等高价品）</t>
    </r>
  </si>
  <si>
    <r>
      <rPr>
        <sz val="9"/>
        <color rgb="FF8B1A1A"/>
        <rFont val="Arial"/>
        <family val="0"/>
        <charset val="1"/>
      </rPr>
      <t xml:space="preserve">[</t>
    </r>
    <r>
      <rPr>
        <sz val="9"/>
        <color rgb="FF8B1A1A"/>
        <rFont val="DejaVu Sans"/>
        <family val="2"/>
      </rPr>
      <t xml:space="preserve">高</t>
    </r>
    <r>
      <rPr>
        <sz val="9"/>
        <color rgb="FF8B1A1A"/>
        <rFont val="Arial"/>
        <family val="0"/>
        <charset val="1"/>
      </rPr>
      <t xml:space="preserve">] </t>
    </r>
    <r>
      <rPr>
        <sz val="9"/>
        <color rgb="FF8B1A1A"/>
        <rFont val="DejaVu Sans"/>
        <family val="2"/>
      </rPr>
      <t xml:space="preserve">补录成本价，或明确标注寄售，单独管理</t>
    </r>
  </si>
  <si>
    <t xml:space="preserve">03</t>
  </si>
  <si>
    <r>
      <rPr>
        <sz val="9"/>
        <color rgb="FF111111"/>
        <rFont val="Arial"/>
        <family val="0"/>
        <charset val="1"/>
      </rPr>
      <t xml:space="preserve">5</t>
    </r>
    <r>
      <rPr>
        <sz val="9"/>
        <color rgb="FF111111"/>
        <rFont val="DejaVu Sans"/>
        <family val="2"/>
      </rPr>
      <t xml:space="preserve">条负库存：</t>
    </r>
    <r>
      <rPr>
        <sz val="9"/>
        <color rgb="FF111111"/>
        <rFont val="Arial"/>
        <family val="0"/>
        <charset val="1"/>
      </rPr>
      <t xml:space="preserve">DA</t>
    </r>
    <r>
      <rPr>
        <sz val="9"/>
        <color rgb="FF111111"/>
        <rFont val="DejaVu Sans"/>
        <family val="2"/>
      </rPr>
      <t xml:space="preserve">套件组</t>
    </r>
    <r>
      <rPr>
        <sz val="9"/>
        <color rgb="FF111111"/>
        <rFont val="Arial"/>
        <family val="0"/>
        <charset val="1"/>
      </rPr>
      <t xml:space="preserve">-13</t>
    </r>
    <r>
      <rPr>
        <sz val="9"/>
        <color rgb="FF111111"/>
        <rFont val="DejaVu Sans"/>
        <family val="2"/>
      </rPr>
      <t xml:space="preserve">件最严重，库存数量失真</t>
    </r>
  </si>
  <si>
    <r>
      <rPr>
        <sz val="9"/>
        <color rgb="FF8B1A1A"/>
        <rFont val="Arial"/>
        <family val="0"/>
        <charset val="1"/>
      </rPr>
      <t xml:space="preserve">[</t>
    </r>
    <r>
      <rPr>
        <sz val="9"/>
        <color rgb="FF8B1A1A"/>
        <rFont val="DejaVu Sans"/>
        <family val="2"/>
      </rPr>
      <t xml:space="preserve">高</t>
    </r>
    <r>
      <rPr>
        <sz val="9"/>
        <color rgb="FF8B1A1A"/>
        <rFont val="Arial"/>
        <family val="0"/>
        <charset val="1"/>
      </rPr>
      <t xml:space="preserve">] </t>
    </r>
    <r>
      <rPr>
        <sz val="9"/>
        <color rgb="FF8B1A1A"/>
        <rFont val="DejaVu Sans"/>
        <family val="2"/>
      </rPr>
      <t xml:space="preserve">核查超卖时间节点，补录入库或冲正</t>
    </r>
  </si>
  <si>
    <t xml:space="preserve">04</t>
  </si>
  <si>
    <r>
      <rPr>
        <sz val="9"/>
        <color rgb="FF111111"/>
        <rFont val="DejaVu Sans"/>
        <family val="2"/>
      </rPr>
      <t xml:space="preserve">出样装车</t>
    </r>
    <r>
      <rPr>
        <sz val="9"/>
        <color rgb="FF111111"/>
        <rFont val="DejaVu Sans"/>
        <family val="0"/>
        <charset val="134"/>
      </rPr>
      <t xml:space="preserve">109</t>
    </r>
    <r>
      <rPr>
        <sz val="9"/>
        <color rgb="FF111111"/>
        <rFont val="DejaVu Sans"/>
        <family val="2"/>
      </rPr>
      <t xml:space="preserve">条（外胎</t>
    </r>
    <r>
      <rPr>
        <sz val="9"/>
        <color rgb="FF111111"/>
        <rFont val="DejaVu Sans"/>
        <family val="0"/>
        <charset val="134"/>
      </rPr>
      <t xml:space="preserve">/</t>
    </r>
    <r>
      <rPr>
        <sz val="9"/>
        <color rgb="FF111111"/>
        <rFont val="DejaVu Sans"/>
        <family val="2"/>
      </rPr>
      <t xml:space="preserve">轮组</t>
    </r>
    <r>
      <rPr>
        <sz val="9"/>
        <color rgb="FF111111"/>
        <rFont val="DejaVu Sans"/>
        <family val="0"/>
        <charset val="134"/>
      </rPr>
      <t xml:space="preserve">/</t>
    </r>
    <r>
      <rPr>
        <sz val="9"/>
        <color rgb="FF111111"/>
        <rFont val="DejaVu Sans"/>
        <family val="2"/>
      </rPr>
      <t xml:space="preserve">套件链条等）成本未归集</t>
    </r>
  </si>
  <si>
    <r>
      <rPr>
        <sz val="9"/>
        <color rgb="FFCC6600"/>
        <rFont val="Arial"/>
        <family val="0"/>
        <charset val="1"/>
      </rPr>
      <t xml:space="preserve">[</t>
    </r>
    <r>
      <rPr>
        <sz val="9"/>
        <color rgb="FFCC6600"/>
        <rFont val="DejaVu Sans"/>
        <family val="2"/>
      </rPr>
      <t xml:space="preserve">中</t>
    </r>
    <r>
      <rPr>
        <sz val="9"/>
        <color rgb="FFCC6600"/>
        <rFont val="Arial"/>
        <family val="0"/>
        <charset val="1"/>
      </rPr>
      <t xml:space="preserve">] </t>
    </r>
    <r>
      <rPr>
        <sz val="9"/>
        <color rgb="FFCC6600"/>
        <rFont val="DejaVu Sans"/>
        <family val="2"/>
      </rPr>
      <t xml:space="preserve">建立展示成本科目，定期计提</t>
    </r>
  </si>
  <si>
    <t xml:space="preserve">05</t>
  </si>
  <si>
    <r>
      <rPr>
        <sz val="9"/>
        <color rgb="FF111111"/>
        <rFont val="DejaVu Sans"/>
        <family val="2"/>
      </rPr>
      <t xml:space="preserve">萨玛仕座垫</t>
    </r>
    <r>
      <rPr>
        <sz val="9"/>
        <color rgb="FF111111"/>
        <rFont val="DejaVu Sans"/>
        <family val="0"/>
        <charset val="134"/>
      </rPr>
      <t xml:space="preserve">3D</t>
    </r>
    <r>
      <rPr>
        <sz val="9"/>
        <color rgb="FF111111"/>
        <rFont val="DejaVu Sans"/>
        <family val="2"/>
      </rPr>
      <t xml:space="preserve">打印</t>
    </r>
    <r>
      <rPr>
        <sz val="9"/>
        <color rgb="FF111111"/>
        <rFont val="DejaVu Sans"/>
        <family val="0"/>
        <charset val="134"/>
      </rPr>
      <t xml:space="preserve">113</t>
    </r>
    <r>
      <rPr>
        <sz val="9"/>
        <color rgb="FF111111"/>
        <rFont val="DejaVu Sans"/>
        <family val="2"/>
      </rPr>
      <t xml:space="preserve">件（电助力用）在清理库存中，负责人未确认</t>
    </r>
  </si>
  <si>
    <r>
      <rPr>
        <sz val="9"/>
        <color rgb="FFCC6600"/>
        <rFont val="Arial"/>
        <family val="0"/>
        <charset val="1"/>
      </rPr>
      <t xml:space="preserve">[</t>
    </r>
    <r>
      <rPr>
        <sz val="9"/>
        <color rgb="FFCC6600"/>
        <rFont val="DejaVu Sans"/>
        <family val="2"/>
      </rPr>
      <t xml:space="preserve">中</t>
    </r>
    <r>
      <rPr>
        <sz val="9"/>
        <color rgb="FFCC6600"/>
        <rFont val="Arial"/>
        <family val="0"/>
        <charset val="1"/>
      </rPr>
      <t xml:space="preserve">] </t>
    </r>
    <r>
      <rPr>
        <sz val="9"/>
        <color rgb="FFCC6600"/>
        <rFont val="DejaVu Sans"/>
        <family val="2"/>
      </rPr>
      <t xml:space="preserve">确认责任归属，是否并入电助力清库或单独处理</t>
    </r>
  </si>
  <si>
    <r>
      <rPr>
        <sz val="8"/>
        <color rgb="FF999999"/>
        <rFont val="DejaVu Sans"/>
        <family val="2"/>
      </rPr>
      <t xml:space="preserve">数据来源：宇宙销售统计中心 </t>
    </r>
    <r>
      <rPr>
        <sz val="8"/>
        <color rgb="FF999999"/>
        <rFont val="DejaVu Sans"/>
        <family val="0"/>
        <charset val="134"/>
      </rPr>
      <t xml:space="preserve">· 2026 </t>
    </r>
    <r>
      <rPr>
        <sz val="8"/>
        <color rgb="FF999999"/>
        <rFont val="DejaVu Sans"/>
        <family val="2"/>
      </rPr>
      <t xml:space="preserve">商品</t>
    </r>
    <r>
      <rPr>
        <sz val="8"/>
        <color rgb="FF999999"/>
        <rFont val="DejaVu Sans"/>
        <family val="0"/>
        <charset val="134"/>
      </rPr>
      <t xml:space="preserve">SKU / </t>
    </r>
    <r>
      <rPr>
        <sz val="8"/>
        <color rgb="FF999999"/>
        <rFont val="DejaVu Sans"/>
        <family val="2"/>
      </rPr>
      <t xml:space="preserve">库存产品 </t>
    </r>
    <r>
      <rPr>
        <sz val="8"/>
        <color rgb="FF999999"/>
        <rFont val="DejaVu Sans"/>
        <family val="0"/>
        <charset val="134"/>
      </rPr>
      <t xml:space="preserve">/ </t>
    </r>
    <r>
      <rPr>
        <sz val="8"/>
        <color rgb="FF999999"/>
        <rFont val="DejaVu Sans"/>
        <family val="2"/>
      </rPr>
      <t xml:space="preserve">出库单 </t>
    </r>
    <r>
      <rPr>
        <sz val="8"/>
        <color rgb="FF999999"/>
        <rFont val="DejaVu Sans"/>
        <family val="0"/>
        <charset val="134"/>
      </rPr>
      <t xml:space="preserve">· </t>
    </r>
    <r>
      <rPr>
        <sz val="8"/>
        <color rgb="FF999999"/>
        <rFont val="DejaVu Sans"/>
        <family val="2"/>
      </rPr>
      <t xml:space="preserve">截至 </t>
    </r>
    <r>
      <rPr>
        <sz val="8"/>
        <color rgb="FF999999"/>
        <rFont val="DejaVu Sans"/>
        <family val="0"/>
        <charset val="134"/>
      </rPr>
      <t xml:space="preserve">2026-03-11</t>
    </r>
  </si>
  <si>
    <r>
      <rPr>
        <b val="true"/>
        <sz val="17"/>
        <color rgb="FF111111"/>
        <rFont val="DejaVu Sans"/>
        <family val="2"/>
      </rPr>
      <t xml:space="preserve">库存</t>
    </r>
    <r>
      <rPr>
        <b val="true"/>
        <sz val="17"/>
        <color rgb="FF111111"/>
        <rFont val="DejaVu Sans"/>
        <family val="0"/>
        <charset val="134"/>
      </rPr>
      <t xml:space="preserve">SKU</t>
    </r>
    <r>
      <rPr>
        <b val="true"/>
        <sz val="17"/>
        <color rgb="FF111111"/>
        <rFont val="DejaVu Sans"/>
        <family val="2"/>
      </rPr>
      <t xml:space="preserve">明细</t>
    </r>
  </si>
  <si>
    <r>
      <rPr>
        <sz val="9"/>
        <color rgb="FF999999"/>
        <rFont val="Arial"/>
        <family val="0"/>
        <charset val="1"/>
      </rPr>
      <t xml:space="preserve">371</t>
    </r>
    <r>
      <rPr>
        <sz val="9"/>
        <color rgb="FF999999"/>
        <rFont val="DejaVu Sans"/>
        <family val="2"/>
      </rPr>
      <t xml:space="preserve">个</t>
    </r>
    <r>
      <rPr>
        <sz val="9"/>
        <color rgb="FF999999"/>
        <rFont val="Arial"/>
        <family val="0"/>
        <charset val="1"/>
      </rPr>
      <t xml:space="preserve">SKU · </t>
    </r>
    <r>
      <rPr>
        <sz val="9"/>
        <color rgb="FF999999"/>
        <rFont val="DejaVu Sans"/>
        <family val="2"/>
      </rPr>
      <t xml:space="preserve">排序：库存级别 → 品类 → 库存成本降序 </t>
    </r>
    <r>
      <rPr>
        <sz val="9"/>
        <color rgb="FF999999"/>
        <rFont val="Arial"/>
        <family val="0"/>
        <charset val="1"/>
      </rPr>
      <t xml:space="preserve">· *</t>
    </r>
    <r>
      <rPr>
        <sz val="9"/>
        <color rgb="FF999999"/>
        <rFont val="DejaVu Sans"/>
        <family val="2"/>
      </rPr>
      <t xml:space="preserve">仅清理库存有负责人 </t>
    </r>
    <r>
      <rPr>
        <sz val="9"/>
        <color rgb="FF999999"/>
        <rFont val="Arial"/>
        <family val="0"/>
        <charset val="1"/>
      </rPr>
      <t xml:space="preserve">· </t>
    </r>
    <r>
      <rPr>
        <sz val="9"/>
        <color rgb="FF999999"/>
        <rFont val="DejaVu Sans"/>
        <family val="2"/>
      </rPr>
      <t xml:space="preserve">数据更新至 </t>
    </r>
    <r>
      <rPr>
        <sz val="9"/>
        <color rgb="FF999999"/>
        <rFont val="Arial"/>
        <family val="0"/>
        <charset val="1"/>
      </rPr>
      <t xml:space="preserve">2026-03-12</t>
    </r>
  </si>
  <si>
    <r>
      <rPr>
        <sz val="8"/>
        <color rgb="FF999999"/>
        <rFont val="DejaVu Sans"/>
        <family val="2"/>
      </rPr>
      <t xml:space="preserve">¹ 价差</t>
    </r>
    <r>
      <rPr>
        <sz val="8"/>
        <color rgb="FF999999"/>
        <rFont val="DejaVu Sans"/>
        <family val="0"/>
        <charset val="134"/>
      </rPr>
      <t xml:space="preserve">=</t>
    </r>
    <r>
      <rPr>
        <sz val="8"/>
        <color rgb="FF999999"/>
        <rFont val="DejaVu Sans"/>
        <family val="2"/>
      </rPr>
      <t xml:space="preserve">售价</t>
    </r>
    <r>
      <rPr>
        <sz val="8"/>
        <color rgb="FF999999"/>
        <rFont val="DejaVu Sans"/>
        <family val="0"/>
        <charset val="134"/>
      </rPr>
      <t xml:space="preserve">-</t>
    </r>
    <r>
      <rPr>
        <sz val="8"/>
        <color rgb="FF999999"/>
        <rFont val="DejaVu Sans"/>
        <family val="2"/>
      </rPr>
      <t xml:space="preserve">成本，通过关联销售订单计算，此列暂留空（以订单为准，不用</t>
    </r>
    <r>
      <rPr>
        <sz val="8"/>
        <color rgb="FF999999"/>
        <rFont val="DejaVu Sans"/>
        <family val="0"/>
        <charset val="134"/>
      </rPr>
      <t xml:space="preserve">SKU</t>
    </r>
    <r>
      <rPr>
        <sz val="8"/>
        <color rgb="FF999999"/>
        <rFont val="DejaVu Sans"/>
        <family val="2"/>
      </rPr>
      <t xml:space="preserve">静态售价计算）</t>
    </r>
  </si>
  <si>
    <t xml:space="preserve">品类</t>
  </si>
  <si>
    <r>
      <rPr>
        <b val="true"/>
        <sz val="8"/>
        <color rgb="FF111111"/>
        <rFont val="Arial"/>
        <family val="0"/>
        <charset val="1"/>
      </rPr>
      <t xml:space="preserve">SKU</t>
    </r>
    <r>
      <rPr>
        <b val="true"/>
        <sz val="8"/>
        <color rgb="FF111111"/>
        <rFont val="DejaVu Sans"/>
        <family val="2"/>
      </rPr>
      <t xml:space="preserve">名称</t>
    </r>
  </si>
  <si>
    <t xml:space="preserve">系列</t>
  </si>
  <si>
    <r>
      <rPr>
        <b val="true"/>
        <sz val="8"/>
        <color rgb="FF111111"/>
        <rFont val="DejaVu Sans"/>
        <family val="2"/>
      </rPr>
      <t xml:space="preserve">负责人</t>
    </r>
    <r>
      <rPr>
        <b val="true"/>
        <sz val="8"/>
        <color rgb="FF111111"/>
        <rFont val="DejaVu Sans"/>
        <family val="0"/>
        <charset val="134"/>
      </rPr>
      <t xml:space="preserve">*</t>
    </r>
  </si>
  <si>
    <t xml:space="preserve">当前</t>
  </si>
  <si>
    <t xml:space="preserve">期初</t>
  </si>
  <si>
    <t xml:space="preserve">入库</t>
  </si>
  <si>
    <t xml:space="preserve">出库</t>
  </si>
  <si>
    <t xml:space="preserve">成本价</t>
  </si>
  <si>
    <t xml:space="preserve">库存成本</t>
  </si>
  <si>
    <t xml:space="preserve">价差¹</t>
  </si>
  <si>
    <t xml:space="preserve">🔴 清理库存</t>
  </si>
  <si>
    <t xml:space="preserve">功率计</t>
  </si>
  <si>
    <r>
      <rPr>
        <sz val="9"/>
        <color rgb="FF111111"/>
        <rFont val="Arial"/>
        <family val="0"/>
        <charset val="1"/>
      </rPr>
      <t xml:space="preserve">SRM </t>
    </r>
    <r>
      <rPr>
        <sz val="9"/>
        <color rgb="FF111111"/>
        <rFont val="DejaVu Sans"/>
        <family val="2"/>
      </rPr>
      <t xml:space="preserve">功率计 适用 绿色（</t>
    </r>
    <r>
      <rPr>
        <sz val="9"/>
        <color rgb="FF111111"/>
        <rFont val="Arial"/>
        <family val="0"/>
        <charset val="1"/>
      </rPr>
      <t xml:space="preserve">DUB</t>
    </r>
    <r>
      <rPr>
        <sz val="9"/>
        <color rgb="FF111111"/>
        <rFont val="DejaVu Sans"/>
        <family val="2"/>
      </rPr>
      <t xml:space="preserve">中轴）</t>
    </r>
  </si>
  <si>
    <t xml:space="preserve">SRM</t>
  </si>
  <si>
    <t xml:space="preserve">张振</t>
  </si>
  <si>
    <t xml:space="preserve">—</t>
  </si>
  <si>
    <r>
      <rPr>
        <sz val="9"/>
        <color rgb="FF111111"/>
        <rFont val="Arial"/>
        <family val="0"/>
        <charset val="1"/>
      </rPr>
      <t xml:space="preserve">POWER 2 MAX </t>
    </r>
    <r>
      <rPr>
        <sz val="9"/>
        <color rgb="FF111111"/>
        <rFont val="DejaVu Sans"/>
        <family val="2"/>
      </rPr>
      <t xml:space="preserve">功率计 适用（</t>
    </r>
    <r>
      <rPr>
        <sz val="9"/>
        <color rgb="FF111111"/>
        <rFont val="Arial"/>
        <family val="0"/>
        <charset val="1"/>
      </rPr>
      <t xml:space="preserve">SHIMANO</t>
    </r>
    <r>
      <rPr>
        <sz val="9"/>
        <color rgb="FF111111"/>
        <rFont val="DejaVu Sans"/>
        <family val="2"/>
      </rPr>
      <t xml:space="preserve">）</t>
    </r>
  </si>
  <si>
    <t xml:space="preserve">POWER 2 MAX</t>
  </si>
  <si>
    <t xml:space="preserve">潘昊</t>
  </si>
  <si>
    <t xml:space="preserve">── 功率计 合计</t>
  </si>
  <si>
    <t xml:space="preserve">后拨导轮</t>
  </si>
  <si>
    <r>
      <rPr>
        <sz val="9"/>
        <color rgb="FF111111"/>
        <rFont val="Arial"/>
        <family val="0"/>
        <charset val="1"/>
      </rPr>
      <t xml:space="preserve">CS </t>
    </r>
    <r>
      <rPr>
        <sz val="9"/>
        <color rgb="FF111111"/>
        <rFont val="DejaVu Sans"/>
        <family val="2"/>
      </rPr>
      <t xml:space="preserve">后拨导轮 后拨导轮 银色</t>
    </r>
  </si>
  <si>
    <t xml:space="preserve">CS</t>
  </si>
  <si>
    <r>
      <rPr>
        <sz val="9"/>
        <color rgb="FF111111"/>
        <rFont val="Arial"/>
        <family val="0"/>
        <charset val="1"/>
      </rPr>
      <t xml:space="preserve">CS </t>
    </r>
    <r>
      <rPr>
        <sz val="9"/>
        <color rgb="FF111111"/>
        <rFont val="DejaVu Sans"/>
        <family val="2"/>
      </rPr>
      <t xml:space="preserve">后拨导轮 蓝色（适用于禧玛诺）</t>
    </r>
    <r>
      <rPr>
        <sz val="9"/>
        <color rgb="FF111111"/>
        <rFont val="Arial"/>
        <family val="0"/>
        <charset val="1"/>
      </rPr>
      <t xml:space="preserve">6</t>
    </r>
    <r>
      <rPr>
        <sz val="9"/>
        <color rgb="FF111111"/>
        <rFont val="DejaVu Sans"/>
        <family val="2"/>
      </rPr>
      <t xml:space="preserve">年质保</t>
    </r>
  </si>
  <si>
    <r>
      <rPr>
        <sz val="9"/>
        <color rgb="FF111111"/>
        <rFont val="Arial"/>
        <family val="0"/>
        <charset val="1"/>
      </rPr>
      <t xml:space="preserve">CS </t>
    </r>
    <r>
      <rPr>
        <sz val="9"/>
        <color rgb="FF111111"/>
        <rFont val="DejaVu Sans"/>
        <family val="2"/>
      </rPr>
      <t xml:space="preserve">后拨导轮 </t>
    </r>
    <r>
      <rPr>
        <sz val="9"/>
        <color rgb="FF111111"/>
        <rFont val="Arial"/>
        <family val="0"/>
        <charset val="1"/>
      </rPr>
      <t xml:space="preserve">Alpha AXS </t>
    </r>
    <r>
      <rPr>
        <sz val="9"/>
        <color rgb="FF111111"/>
        <rFont val="DejaVu Sans"/>
        <family val="2"/>
      </rPr>
      <t xml:space="preserve">队版（适用于速联）终身质保</t>
    </r>
  </si>
  <si>
    <t xml:space="preserve">程总</t>
  </si>
  <si>
    <t xml:space="preserve">── 后拨导轮 合计</t>
  </si>
  <si>
    <t xml:space="preserve">座垫</t>
  </si>
  <si>
    <r>
      <rPr>
        <sz val="9"/>
        <color rgb="FF111111"/>
        <rFont val="DejaVu Sans"/>
        <family val="2"/>
      </rPr>
      <t xml:space="preserve">萨玛仕 座垫 </t>
    </r>
    <r>
      <rPr>
        <sz val="9"/>
        <color rgb="FF111111"/>
        <rFont val="DejaVu Sans"/>
        <family val="0"/>
        <charset val="134"/>
      </rPr>
      <t xml:space="preserve">3D</t>
    </r>
    <r>
      <rPr>
        <sz val="9"/>
        <color rgb="FF111111"/>
        <rFont val="DejaVu Sans"/>
        <family val="2"/>
      </rPr>
      <t xml:space="preserve">打印（电助力用）</t>
    </r>
  </si>
  <si>
    <t xml:space="preserve">萨玛仕</t>
  </si>
  <si>
    <r>
      <rPr>
        <sz val="9"/>
        <color rgb="FF999999"/>
        <rFont val="Arial"/>
        <family val="0"/>
        <charset val="1"/>
      </rPr>
      <t xml:space="preserve">(</t>
    </r>
    <r>
      <rPr>
        <sz val="9"/>
        <color rgb="FF999999"/>
        <rFont val="DejaVu Sans"/>
        <family val="2"/>
      </rPr>
      <t xml:space="preserve">待确认</t>
    </r>
    <r>
      <rPr>
        <sz val="9"/>
        <color rgb="FF999999"/>
        <rFont val="Arial"/>
        <family val="0"/>
        <charset val="1"/>
      </rPr>
      <t xml:space="preserve">)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</si>
  <si>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F20C SI CARBON RAIL</t>
    </r>
  </si>
  <si>
    <t xml:space="preserve">SMP</t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</si>
  <si>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EVO EVO 30C </t>
    </r>
    <r>
      <rPr>
        <sz val="9"/>
        <color rgb="FF111111"/>
        <rFont val="DejaVu Sans"/>
        <family val="2"/>
      </rPr>
      <t xml:space="preserve">白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</si>
  <si>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EVO EVO PLUS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</si>
  <si>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F20C SI TEST </t>
    </r>
    <r>
      <rPr>
        <sz val="9"/>
        <color rgb="FF111111"/>
        <rFont val="DejaVu Sans"/>
        <family val="2"/>
      </rPr>
      <t xml:space="preserve">红色黄色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</si>
  <si>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F30C SI TEST </t>
    </r>
    <r>
      <rPr>
        <sz val="9"/>
        <color rgb="FF111111"/>
        <rFont val="DejaVu Sans"/>
        <family val="2"/>
      </rPr>
      <t xml:space="preserve">红色黄色</t>
    </r>
  </si>
  <si>
    <t xml:space="preserve">── 座垫 合计</t>
  </si>
  <si>
    <t xml:space="preserve">整车</t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</si>
  <si>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Colnago V4 </t>
    </r>
    <r>
      <rPr>
        <sz val="9"/>
        <color rgb="FF111111"/>
        <rFont val="DejaVu Sans"/>
        <family val="2"/>
      </rPr>
      <t xml:space="preserve">红色 </t>
    </r>
    <r>
      <rPr>
        <sz val="9"/>
        <color rgb="FF111111"/>
        <rFont val="Arial"/>
        <family val="0"/>
        <charset val="1"/>
      </rPr>
      <t xml:space="preserve">420</t>
    </r>
  </si>
  <si>
    <t xml:space="preserve">Colnago</t>
  </si>
  <si>
    <t xml:space="preserve">郭城</t>
  </si>
  <si>
    <r>
      <rPr>
        <sz val="9"/>
        <color rgb="FF111111"/>
        <rFont val="Arial"/>
        <family val="0"/>
        <charset val="1"/>
      </rPr>
      <t xml:space="preserve">CANYON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Ultimate </t>
    </r>
    <r>
      <rPr>
        <sz val="9"/>
        <color rgb="FF111111"/>
        <rFont val="DejaVu Sans"/>
        <family val="2"/>
      </rPr>
      <t xml:space="preserve">爬坡架 </t>
    </r>
    <r>
      <rPr>
        <sz val="9"/>
        <color rgb="FF111111"/>
        <rFont val="Arial"/>
        <family val="0"/>
        <charset val="1"/>
      </rPr>
      <t xml:space="preserve">XS</t>
    </r>
  </si>
  <si>
    <t xml:space="preserve">CANYON</t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</si>
  <si>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X9 </t>
    </r>
    <r>
      <rPr>
        <sz val="9"/>
        <color rgb="FF111111"/>
        <rFont val="DejaVu Sans"/>
        <family val="2"/>
      </rPr>
      <t xml:space="preserve">金色 </t>
    </r>
    <r>
      <rPr>
        <sz val="9"/>
        <color rgb="FF111111"/>
        <rFont val="Arial"/>
        <family val="0"/>
        <charset val="1"/>
      </rPr>
      <t xml:space="preserve">530</t>
    </r>
  </si>
  <si>
    <t xml:space="preserve">Pinarello</t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</si>
  <si>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黑白 </t>
    </r>
    <r>
      <rPr>
        <sz val="9"/>
        <color rgb="FF111111"/>
        <rFont val="Arial"/>
        <family val="0"/>
        <charset val="1"/>
      </rPr>
      <t xml:space="preserve">545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</si>
  <si>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黑绿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</si>
  <si>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F5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</si>
  <si>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F5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Arial"/>
        <family val="0"/>
        <charset val="1"/>
      </rPr>
      <t xml:space="preserve">560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</si>
  <si>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F5 </t>
    </r>
    <r>
      <rPr>
        <sz val="9"/>
        <color rgb="FF111111"/>
        <rFont val="DejaVu Sans"/>
        <family val="2"/>
      </rPr>
      <t xml:space="preserve">蓝 </t>
    </r>
    <r>
      <rPr>
        <sz val="9"/>
        <color rgb="FF111111"/>
        <rFont val="Arial"/>
        <family val="0"/>
        <charset val="1"/>
      </rPr>
      <t xml:space="preserve">465</t>
    </r>
  </si>
  <si>
    <r>
      <rPr>
        <sz val="9"/>
        <color rgb="FF111111"/>
        <rFont val="Arial"/>
        <family val="0"/>
        <charset val="1"/>
      </rPr>
      <t xml:space="preserve">Lykos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Lykos </t>
    </r>
    <r>
      <rPr>
        <sz val="9"/>
        <color rgb="FF111111"/>
        <rFont val="DejaVu Sans"/>
        <family val="2"/>
      </rPr>
      <t xml:space="preserve">蓝 </t>
    </r>
    <r>
      <rPr>
        <sz val="9"/>
        <color rgb="FF111111"/>
        <rFont val="Arial"/>
        <family val="0"/>
        <charset val="1"/>
      </rPr>
      <t xml:space="preserve">48</t>
    </r>
  </si>
  <si>
    <t xml:space="preserve">Lykos</t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</si>
  <si>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X5 </t>
    </r>
    <r>
      <rPr>
        <sz val="9"/>
        <color rgb="FF111111"/>
        <rFont val="DejaVu Sans"/>
        <family val="2"/>
      </rPr>
      <t xml:space="preserve">白色蓝标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</si>
  <si>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X5 </t>
    </r>
    <r>
      <rPr>
        <sz val="9"/>
        <color rgb="FF111111"/>
        <rFont val="DejaVu Sans"/>
        <family val="2"/>
      </rPr>
      <t xml:space="preserve">黑色银标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</si>
  <si>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</si>
  <si>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RIDLEY </t>
    </r>
    <r>
      <rPr>
        <sz val="9"/>
        <color rgb="FF111111"/>
        <rFont val="DejaVu Sans"/>
        <family val="2"/>
      </rPr>
      <t xml:space="preserve">整车 紫色 </t>
    </r>
    <r>
      <rPr>
        <sz val="9"/>
        <color rgb="FF111111"/>
        <rFont val="Arial"/>
        <family val="0"/>
        <charset val="1"/>
      </rPr>
      <t xml:space="preserve">M</t>
    </r>
    <r>
      <rPr>
        <sz val="9"/>
        <color rgb="FF111111"/>
        <rFont val="DejaVu Sans"/>
        <family val="2"/>
      </rPr>
      <t xml:space="preserve">码（带车把）</t>
    </r>
  </si>
  <si>
    <t xml:space="preserve">RIDLEY</t>
  </si>
  <si>
    <t xml:space="preserve">── 整车 合计</t>
  </si>
  <si>
    <t xml:space="preserve">曲柄组</t>
  </si>
  <si>
    <r>
      <rPr>
        <sz val="9"/>
        <color rgb="FF111111"/>
        <rFont val="Arial"/>
        <family val="0"/>
        <charset val="1"/>
      </rPr>
      <t xml:space="preserve">POWER 2 MAX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ngeco 170</t>
    </r>
  </si>
  <si>
    <r>
      <rPr>
        <sz val="9"/>
        <color rgb="FF111111"/>
        <rFont val="Arial"/>
        <family val="0"/>
        <charset val="1"/>
      </rPr>
      <t xml:space="preserve">POWER 2 MAX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ngeco 172.5</t>
    </r>
  </si>
  <si>
    <t xml:space="preserve">── 曲柄组 合计</t>
  </si>
  <si>
    <t xml:space="preserve">车把一体把</t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</si>
  <si>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40-100</t>
    </r>
  </si>
  <si>
    <t xml:space="preserve">DEDA</t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</si>
  <si>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40-110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</si>
  <si>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44-100</t>
    </r>
  </si>
  <si>
    <r>
      <rPr>
        <sz val="9"/>
        <color rgb="FF111111"/>
        <rFont val="Arial"/>
        <family val="0"/>
        <charset val="1"/>
      </rPr>
      <t xml:space="preserve">THM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Frontale 400-110</t>
    </r>
  </si>
  <si>
    <t xml:space="preserve">THM</t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</si>
  <si>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44-120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</si>
  <si>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44-110</t>
    </r>
  </si>
  <si>
    <r>
      <rPr>
        <sz val="9"/>
        <color rgb="FF111111"/>
        <rFont val="Arial"/>
        <family val="0"/>
        <charset val="1"/>
      </rPr>
      <t xml:space="preserve">THM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Frontale 400-100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</si>
  <si>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42-100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</si>
  <si>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42-110</t>
    </r>
  </si>
  <si>
    <r>
      <rPr>
        <sz val="9"/>
        <color rgb="FF111111"/>
        <rFont val="Arial"/>
        <family val="0"/>
        <charset val="1"/>
      </rPr>
      <t xml:space="preserve">EASTON </t>
    </r>
    <r>
      <rPr>
        <sz val="9"/>
        <color rgb="FF111111"/>
        <rFont val="DejaVu Sans"/>
        <family val="2"/>
      </rPr>
      <t xml:space="preserve">车把一体把 分体 </t>
    </r>
    <r>
      <rPr>
        <sz val="9"/>
        <color rgb="FF111111"/>
        <rFont val="Arial"/>
        <family val="0"/>
        <charset val="1"/>
      </rPr>
      <t xml:space="preserve">44-31.8</t>
    </r>
  </si>
  <si>
    <t xml:space="preserve">EASTON</t>
  </si>
  <si>
    <r>
      <rPr>
        <sz val="9"/>
        <color rgb="FF111111"/>
        <rFont val="Arial"/>
        <family val="0"/>
        <charset val="1"/>
      </rPr>
      <t xml:space="preserve">Rapantahi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420-100</t>
    </r>
  </si>
  <si>
    <t xml:space="preserve">Rapantahi</t>
  </si>
  <si>
    <t xml:space="preserve">── 车把一体把 合计</t>
  </si>
  <si>
    <t xml:space="preserve">车架</t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</si>
  <si>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500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</si>
  <si>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</si>
  <si>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545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</si>
  <si>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C68 </t>
    </r>
    <r>
      <rPr>
        <sz val="9"/>
        <color rgb="FF111111"/>
        <rFont val="DejaVu Sans"/>
        <family val="2"/>
      </rPr>
      <t xml:space="preserve">格雷金 </t>
    </r>
    <r>
      <rPr>
        <sz val="9"/>
        <color rgb="FF111111"/>
        <rFont val="Arial"/>
        <family val="0"/>
        <charset val="1"/>
      </rPr>
      <t xml:space="preserve">510</t>
    </r>
  </si>
  <si>
    <r>
      <rPr>
        <sz val="9"/>
        <color rgb="FF111111"/>
        <rFont val="Arial"/>
        <family val="0"/>
        <charset val="1"/>
      </rPr>
      <t xml:space="preserve">AURUM  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MAGMA V2 </t>
    </r>
    <r>
      <rPr>
        <sz val="9"/>
        <color rgb="FF111111"/>
        <rFont val="DejaVu Sans"/>
        <family val="2"/>
      </rPr>
      <t xml:space="preserve">白色 </t>
    </r>
    <r>
      <rPr>
        <sz val="9"/>
        <color rgb="FF111111"/>
        <rFont val="Arial"/>
        <family val="0"/>
        <charset val="1"/>
      </rPr>
      <t xml:space="preserve">58</t>
    </r>
    <r>
      <rPr>
        <sz val="9"/>
        <color rgb="FF111111"/>
        <rFont val="DejaVu Sans"/>
        <family val="2"/>
      </rPr>
      <t xml:space="preserve">（含座管）</t>
    </r>
  </si>
  <si>
    <t xml:space="preserve">AURUM  </t>
  </si>
  <si>
    <r>
      <rPr>
        <sz val="9"/>
        <color rgb="FF111111"/>
        <rFont val="Arial"/>
        <family val="0"/>
        <charset val="1"/>
      </rPr>
      <t xml:space="preserve">SPECIALIZED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SL8 </t>
    </r>
    <r>
      <rPr>
        <sz val="9"/>
        <color rgb="FF111111"/>
        <rFont val="DejaVu Sans"/>
        <family val="2"/>
      </rPr>
      <t xml:space="preserve">玫瑰金 </t>
    </r>
    <r>
      <rPr>
        <sz val="9"/>
        <color rgb="FF111111"/>
        <rFont val="Arial"/>
        <family val="0"/>
        <charset val="1"/>
      </rPr>
      <t xml:space="preserve">54</t>
    </r>
  </si>
  <si>
    <t xml:space="preserve">SPECIALIZED</t>
  </si>
  <si>
    <r>
      <rPr>
        <sz val="9"/>
        <color rgb="FF111111"/>
        <rFont val="Arial"/>
        <family val="0"/>
        <charset val="1"/>
      </rPr>
      <t xml:space="preserve">Standert </t>
    </r>
    <r>
      <rPr>
        <sz val="9"/>
        <color rgb="FF111111"/>
        <rFont val="DejaVu Sans"/>
        <family val="2"/>
      </rPr>
      <t xml:space="preserve">车架 白咖 </t>
    </r>
    <r>
      <rPr>
        <sz val="9"/>
        <color rgb="FF111111"/>
        <rFont val="Arial"/>
        <family val="0"/>
        <charset val="1"/>
      </rPr>
      <t xml:space="preserve">52</t>
    </r>
  </si>
  <si>
    <t xml:space="preserve">Standert</t>
  </si>
  <si>
    <r>
      <rPr>
        <sz val="9"/>
        <color rgb="FF111111"/>
        <rFont val="Arial"/>
        <family val="0"/>
        <charset val="1"/>
      </rPr>
      <t xml:space="preserve">AURUM  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MAGMA V1 </t>
    </r>
    <r>
      <rPr>
        <sz val="9"/>
        <color rgb="FF111111"/>
        <rFont val="DejaVu Sans"/>
        <family val="2"/>
      </rPr>
      <t xml:space="preserve">玛瑙黑 </t>
    </r>
    <r>
      <rPr>
        <sz val="9"/>
        <color rgb="FF111111"/>
        <rFont val="Arial"/>
        <family val="0"/>
        <charset val="1"/>
      </rPr>
      <t xml:space="preserve">48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</si>
  <si>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 </t>
    </r>
    <r>
      <rPr>
        <sz val="9"/>
        <color rgb="FF111111"/>
        <rFont val="DejaVu Sans"/>
        <family val="2"/>
      </rPr>
      <t xml:space="preserve">黑白 </t>
    </r>
    <r>
      <rPr>
        <sz val="9"/>
        <color rgb="FF111111"/>
        <rFont val="Arial"/>
        <family val="0"/>
        <charset val="1"/>
      </rPr>
      <t xml:space="preserve">560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</si>
  <si>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 </t>
    </r>
    <r>
      <rPr>
        <sz val="9"/>
        <color rgb="FF111111"/>
        <rFont val="DejaVu Sans"/>
        <family val="2"/>
      </rPr>
      <t xml:space="preserve">黑白 </t>
    </r>
    <r>
      <rPr>
        <sz val="9"/>
        <color rgb="FF111111"/>
        <rFont val="Arial"/>
        <family val="0"/>
        <charset val="1"/>
      </rPr>
      <t xml:space="preserve">575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</si>
  <si>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BOB 465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</si>
  <si>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BOB 515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</si>
  <si>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BOB 530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</si>
  <si>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</si>
  <si>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蓝黑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</si>
  <si>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AURUM  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ESSENTIA </t>
    </r>
    <r>
      <rPr>
        <sz val="9"/>
        <color rgb="FF111111"/>
        <rFont val="DejaVu Sans"/>
        <family val="2"/>
      </rPr>
      <t xml:space="preserve">岩石灰 </t>
    </r>
    <r>
      <rPr>
        <sz val="9"/>
        <color rgb="FF111111"/>
        <rFont val="Arial"/>
        <family val="0"/>
        <charset val="1"/>
      </rPr>
      <t xml:space="preserve">51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</si>
  <si>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X9 </t>
    </r>
    <r>
      <rPr>
        <sz val="9"/>
        <color rgb="FF111111"/>
        <rFont val="DejaVu Sans"/>
        <family val="2"/>
      </rPr>
      <t xml:space="preserve">金色 </t>
    </r>
    <r>
      <rPr>
        <sz val="9"/>
        <color rgb="FF111111"/>
        <rFont val="Arial"/>
        <family val="0"/>
        <charset val="1"/>
      </rPr>
      <t xml:space="preserve">545</t>
    </r>
  </si>
  <si>
    <r>
      <rPr>
        <sz val="9"/>
        <color rgb="FF111111"/>
        <rFont val="Arial"/>
        <family val="0"/>
        <charset val="1"/>
      </rPr>
      <t xml:space="preserve">De Rosa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idol </t>
    </r>
    <r>
      <rPr>
        <sz val="9"/>
        <color rgb="FF111111"/>
        <rFont val="DejaVu Sans"/>
        <family val="2"/>
      </rPr>
      <t xml:space="preserve">红 </t>
    </r>
    <r>
      <rPr>
        <sz val="9"/>
        <color rgb="FF111111"/>
        <rFont val="Arial"/>
        <family val="0"/>
        <charset val="1"/>
      </rPr>
      <t xml:space="preserve">53</t>
    </r>
  </si>
  <si>
    <t xml:space="preserve">De Rosa</t>
  </si>
  <si>
    <r>
      <rPr>
        <sz val="9"/>
        <color rgb="FF111111"/>
        <rFont val="Arial"/>
        <family val="0"/>
        <charset val="1"/>
      </rPr>
      <t xml:space="preserve">Standert </t>
    </r>
    <r>
      <rPr>
        <sz val="9"/>
        <color rgb="FF111111"/>
        <rFont val="DejaVu Sans"/>
        <family val="2"/>
      </rPr>
      <t xml:space="preserve">车架 黑 </t>
    </r>
    <r>
      <rPr>
        <sz val="9"/>
        <color rgb="FF111111"/>
        <rFont val="Arial"/>
        <family val="0"/>
        <charset val="1"/>
      </rPr>
      <t xml:space="preserve">48</t>
    </r>
  </si>
  <si>
    <r>
      <rPr>
        <sz val="9"/>
        <color rgb="FF111111"/>
        <rFont val="Arial"/>
        <family val="0"/>
        <charset val="1"/>
      </rPr>
      <t xml:space="preserve">RIDLEY </t>
    </r>
    <r>
      <rPr>
        <sz val="9"/>
        <color rgb="FF111111"/>
        <rFont val="DejaVu Sans"/>
        <family val="2"/>
      </rPr>
      <t xml:space="preserve">车架 粉色 </t>
    </r>
    <r>
      <rPr>
        <sz val="9"/>
        <color rgb="FF111111"/>
        <rFont val="Arial"/>
        <family val="0"/>
        <charset val="1"/>
      </rPr>
      <t xml:space="preserve">XS</t>
    </r>
    <r>
      <rPr>
        <sz val="9"/>
        <color rgb="FF111111"/>
        <rFont val="DejaVu Sans"/>
        <family val="2"/>
      </rPr>
      <t xml:space="preserve">码（带车把）</t>
    </r>
  </si>
  <si>
    <r>
      <rPr>
        <sz val="9"/>
        <color rgb="FF111111"/>
        <rFont val="Arial"/>
        <family val="0"/>
        <charset val="1"/>
      </rPr>
      <t xml:space="preserve">RIDLEY </t>
    </r>
    <r>
      <rPr>
        <sz val="9"/>
        <color rgb="FF111111"/>
        <rFont val="DejaVu Sans"/>
        <family val="2"/>
      </rPr>
      <t xml:space="preserve">车架 黑白 </t>
    </r>
    <r>
      <rPr>
        <sz val="9"/>
        <color rgb="FF111111"/>
        <rFont val="Arial"/>
        <family val="0"/>
        <charset val="1"/>
      </rPr>
      <t xml:space="preserve">L</t>
    </r>
    <r>
      <rPr>
        <sz val="9"/>
        <color rgb="FF111111"/>
        <rFont val="DejaVu Sans"/>
        <family val="2"/>
      </rPr>
      <t xml:space="preserve">码（带车把）</t>
    </r>
  </si>
  <si>
    <t xml:space="preserve">── 车架 合计</t>
  </si>
  <si>
    <t xml:space="preserve">轮组</t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</si>
  <si>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353 (SH)</t>
    </r>
  </si>
  <si>
    <t xml:space="preserve">ZIPP</t>
  </si>
  <si>
    <r>
      <rPr>
        <sz val="9"/>
        <color rgb="FF111111"/>
        <rFont val="Arial"/>
        <family val="0"/>
        <charset val="1"/>
      </rPr>
      <t xml:space="preserve">PCW </t>
    </r>
    <r>
      <rPr>
        <sz val="9"/>
        <color rgb="FF111111"/>
        <rFont val="DejaVu Sans"/>
        <family val="2"/>
      </rPr>
      <t xml:space="preserve">轮组 黑 </t>
    </r>
    <r>
      <rPr>
        <sz val="9"/>
        <color rgb="FF111111"/>
        <rFont val="Arial"/>
        <family val="0"/>
        <charset val="1"/>
      </rPr>
      <t xml:space="preserve">4540 CK</t>
    </r>
    <r>
      <rPr>
        <sz val="9"/>
        <color rgb="FF111111"/>
        <rFont val="DejaVu Sans"/>
        <family val="2"/>
      </rPr>
      <t xml:space="preserve">花鼓 </t>
    </r>
    <r>
      <rPr>
        <sz val="9"/>
        <color rgb="FF111111"/>
        <rFont val="Arial"/>
        <family val="0"/>
        <charset val="1"/>
      </rPr>
      <t xml:space="preserve">(SH)</t>
    </r>
  </si>
  <si>
    <t xml:space="preserve">PCW</t>
  </si>
  <si>
    <t xml:space="preserve">海尔</t>
  </si>
  <si>
    <r>
      <rPr>
        <sz val="9"/>
        <color rgb="FF111111"/>
        <rFont val="Arial"/>
        <family val="0"/>
        <charset val="1"/>
      </rPr>
      <t xml:space="preserve">PCW </t>
    </r>
    <r>
      <rPr>
        <sz val="9"/>
        <color rgb="FF111111"/>
        <rFont val="DejaVu Sans"/>
        <family val="2"/>
      </rPr>
      <t xml:space="preserve">轮组 黑粉 </t>
    </r>
    <r>
      <rPr>
        <sz val="9"/>
        <color rgb="FF111111"/>
        <rFont val="Arial"/>
        <family val="0"/>
        <charset val="1"/>
      </rPr>
      <t xml:space="preserve">6560</t>
    </r>
  </si>
  <si>
    <r>
      <rPr>
        <sz val="9"/>
        <color rgb="FF111111"/>
        <rFont val="Arial"/>
        <family val="0"/>
        <charset val="1"/>
      </rPr>
      <t xml:space="preserve">Superteam </t>
    </r>
    <r>
      <rPr>
        <sz val="9"/>
        <color rgb="FF111111"/>
        <rFont val="DejaVu Sans"/>
        <family val="2"/>
      </rPr>
      <t xml:space="preserve">轮组 水滴纹 </t>
    </r>
    <r>
      <rPr>
        <sz val="9"/>
        <color rgb="FF111111"/>
        <rFont val="Arial"/>
        <family val="0"/>
        <charset val="1"/>
      </rPr>
      <t xml:space="preserve">(SH)</t>
    </r>
  </si>
  <si>
    <t xml:space="preserve">Superteam</t>
  </si>
  <si>
    <r>
      <rPr>
        <sz val="9"/>
        <color rgb="FF111111"/>
        <rFont val="Arial"/>
        <family val="0"/>
        <charset val="1"/>
      </rPr>
      <t xml:space="preserve">Superteam </t>
    </r>
    <r>
      <rPr>
        <sz val="9"/>
        <color rgb="FF111111"/>
        <rFont val="DejaVu Sans"/>
        <family val="2"/>
      </rPr>
      <t xml:space="preserve">轮组 鲨鱼纹 </t>
    </r>
    <r>
      <rPr>
        <sz val="9"/>
        <color rgb="FF111111"/>
        <rFont val="Arial"/>
        <family val="0"/>
        <charset val="1"/>
      </rPr>
      <t xml:space="preserve">(SH)</t>
    </r>
  </si>
  <si>
    <t xml:space="preserve">── 轮组 合计</t>
  </si>
  <si>
    <t xml:space="preserve">🔴 清理库存  小计</t>
  </si>
  <si>
    <t xml:space="preserve">🔵 高价商品</t>
  </si>
  <si>
    <t xml:space="preserve">外胎</t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</si>
  <si>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DejaVu Sans"/>
        <family val="0"/>
        <charset val="134"/>
      </rPr>
      <t xml:space="preserve">ARCHEType 30C</t>
    </r>
    <r>
      <rPr>
        <sz val="9"/>
        <color rgb="FF111111"/>
        <rFont val="DejaVu Sans"/>
        <family val="2"/>
      </rPr>
      <t xml:space="preserve">（限量版）</t>
    </r>
  </si>
  <si>
    <t xml:space="preserve">马牌</t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</si>
  <si>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DejaVu Sans"/>
        <family val="0"/>
        <charset val="134"/>
      </rPr>
      <t xml:space="preserve">AERO </t>
    </r>
    <r>
      <rPr>
        <sz val="9"/>
        <color rgb="FF111111"/>
        <rFont val="DejaVu Sans"/>
        <family val="2"/>
      </rPr>
      <t xml:space="preserve">外胎 真空 </t>
    </r>
    <r>
      <rPr>
        <sz val="9"/>
        <color rgb="FF111111"/>
        <rFont val="DejaVu Sans"/>
        <family val="0"/>
        <charset val="134"/>
      </rPr>
      <t xml:space="preserve">26C </t>
    </r>
    <r>
      <rPr>
        <sz val="9"/>
        <color rgb="FF111111"/>
        <rFont val="DejaVu Sans"/>
        <family val="2"/>
      </rPr>
      <t xml:space="preserve">黑色 （盒装）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</si>
  <si>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DejaVu Sans"/>
        <family val="0"/>
        <charset val="134"/>
      </rPr>
      <t xml:space="preserve">AERO</t>
    </r>
  </si>
  <si>
    <t xml:space="preserve">── 外胎 合计</t>
  </si>
  <si>
    <r>
      <rPr>
        <sz val="9"/>
        <color rgb="FF111111"/>
        <rFont val="Arial"/>
        <family val="0"/>
        <charset val="1"/>
      </rPr>
      <t xml:space="preserve">ROTOR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165</t>
    </r>
  </si>
  <si>
    <t xml:space="preserve">ROTOR</t>
  </si>
  <si>
    <r>
      <rPr>
        <sz val="9"/>
        <color rgb="FF111111"/>
        <rFont val="Arial"/>
        <family val="0"/>
        <charset val="1"/>
      </rPr>
      <t xml:space="preserve">CYBREI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GP3  170  24Ti</t>
    </r>
    <r>
      <rPr>
        <sz val="9"/>
        <color rgb="FF111111"/>
        <rFont val="DejaVu Sans"/>
        <family val="2"/>
      </rPr>
      <t xml:space="preserve">（盒装）</t>
    </r>
  </si>
  <si>
    <t xml:space="preserve">CYBREI</t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</si>
  <si>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碳轴 </t>
    </r>
    <r>
      <rPr>
        <sz val="9"/>
        <color rgb="FF111111"/>
        <rFont val="Arial"/>
        <family val="0"/>
        <charset val="1"/>
      </rPr>
      <t xml:space="preserve">167.5 (</t>
    </r>
    <r>
      <rPr>
        <sz val="9"/>
        <color rgb="FF111111"/>
        <rFont val="DejaVu Sans"/>
        <family val="2"/>
      </rPr>
      <t xml:space="preserve">新款）</t>
    </r>
  </si>
  <si>
    <t xml:space="preserve">ELILEE</t>
  </si>
  <si>
    <r>
      <rPr>
        <sz val="9"/>
        <color rgb="FF111111"/>
        <rFont val="Arial"/>
        <family val="0"/>
        <charset val="1"/>
      </rPr>
      <t xml:space="preserve">CYBREI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GP3  165  24Ti</t>
    </r>
    <r>
      <rPr>
        <sz val="9"/>
        <color rgb="FF111111"/>
        <rFont val="DejaVu Sans"/>
        <family val="2"/>
      </rPr>
      <t xml:space="preserve">（盒装）</t>
    </r>
  </si>
  <si>
    <r>
      <rPr>
        <sz val="9"/>
        <color rgb="FF111111"/>
        <rFont val="Arial"/>
        <family val="0"/>
        <charset val="1"/>
      </rPr>
      <t xml:space="preserve">CYBREI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GP3 167.5</t>
    </r>
    <r>
      <rPr>
        <sz val="9"/>
        <color rgb="FF111111"/>
        <rFont val="DejaVu Sans"/>
        <family val="2"/>
      </rPr>
      <t xml:space="preserve">（盒装）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</si>
  <si>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钛轴 </t>
    </r>
    <r>
      <rPr>
        <sz val="9"/>
        <color rgb="FF111111"/>
        <rFont val="Arial"/>
        <family val="0"/>
        <charset val="1"/>
      </rPr>
      <t xml:space="preserve">160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</si>
  <si>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钛轴 </t>
    </r>
    <r>
      <rPr>
        <sz val="9"/>
        <color rgb="FF111111"/>
        <rFont val="Arial"/>
        <family val="0"/>
        <charset val="1"/>
      </rPr>
      <t xml:space="preserve">167.5</t>
    </r>
  </si>
  <si>
    <t xml:space="preserve">盘片</t>
  </si>
  <si>
    <r>
      <rPr>
        <sz val="9"/>
        <color rgb="FF111111"/>
        <rFont val="Arial"/>
        <family val="0"/>
        <charset val="1"/>
      </rPr>
      <t xml:space="preserve">CARBON—TI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55-40</t>
    </r>
  </si>
  <si>
    <t xml:space="preserve">CARBON—TI</t>
  </si>
  <si>
    <t xml:space="preserve">── 盘片 合计</t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</si>
  <si>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</t>
    </r>
    <r>
      <rPr>
        <sz val="9"/>
        <color rgb="FF111111"/>
        <rFont val="Arial"/>
        <family val="0"/>
        <charset val="1"/>
      </rPr>
      <t xml:space="preserve">BOB 530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</si>
  <si>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</si>
  <si>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蓝金 </t>
    </r>
    <r>
      <rPr>
        <sz val="9"/>
        <color rgb="FF111111"/>
        <rFont val="Arial"/>
        <family val="0"/>
        <charset val="1"/>
      </rPr>
      <t xml:space="preserve">540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</si>
  <si>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</si>
  <si>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黑金 </t>
    </r>
    <r>
      <rPr>
        <sz val="9"/>
        <color rgb="FF111111"/>
        <rFont val="Arial"/>
        <family val="0"/>
        <charset val="1"/>
      </rPr>
      <t xml:space="preserve">515</t>
    </r>
    <r>
      <rPr>
        <sz val="9"/>
        <color rgb="FF111111"/>
        <rFont val="DejaVu Sans"/>
        <family val="2"/>
      </rPr>
      <t xml:space="preserve">（带普通车把）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</si>
  <si>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水晶白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</si>
  <si>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</t>
    </r>
    <r>
      <rPr>
        <sz val="9"/>
        <color rgb="FF111111"/>
        <rFont val="Arial"/>
        <family val="0"/>
        <charset val="1"/>
      </rPr>
      <t xml:space="preserve">BOB 465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</si>
  <si>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</t>
    </r>
    <r>
      <rPr>
        <sz val="9"/>
        <color rgb="FF111111"/>
        <rFont val="Arial"/>
        <family val="0"/>
        <charset val="1"/>
      </rPr>
      <t xml:space="preserve">BOB 500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</si>
  <si>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星耀红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</si>
  <si>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星耀红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</si>
  <si>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绚丽金 </t>
    </r>
    <r>
      <rPr>
        <sz val="9"/>
        <color rgb="FF111111"/>
        <rFont val="Arial"/>
        <family val="0"/>
        <charset val="1"/>
      </rPr>
      <t xml:space="preserve">500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</si>
  <si>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绚丽金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</si>
  <si>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绚丽金 </t>
    </r>
    <r>
      <rPr>
        <sz val="9"/>
        <color rgb="FF111111"/>
        <rFont val="Arial"/>
        <family val="0"/>
        <charset val="1"/>
      </rPr>
      <t xml:space="preserve">550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</si>
  <si>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绚丽蓝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</si>
  <si>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英力士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</si>
  <si>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Dogma X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BOB 515</t>
    </r>
  </si>
  <si>
    <t xml:space="preserve">Dogma X</t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</si>
  <si>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黎明黄 </t>
    </r>
    <r>
      <rPr>
        <sz val="9"/>
        <color rgb="FF111111"/>
        <rFont val="Arial"/>
        <family val="0"/>
        <charset val="1"/>
      </rPr>
      <t xml:space="preserve">550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</si>
  <si>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水晶白 </t>
    </r>
    <r>
      <rPr>
        <sz val="9"/>
        <color rgb="FF111111"/>
        <rFont val="Arial"/>
        <family val="0"/>
        <charset val="1"/>
      </rPr>
      <t xml:space="preserve">540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</si>
  <si>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威尼斯蓝 </t>
    </r>
    <r>
      <rPr>
        <sz val="9"/>
        <color rgb="FF111111"/>
        <rFont val="Arial"/>
        <family val="0"/>
        <charset val="1"/>
      </rPr>
      <t xml:space="preserve">500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</si>
  <si>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26</t>
    </r>
    <r>
      <rPr>
        <sz val="9"/>
        <color rgb="FF111111"/>
        <rFont val="DejaVu Sans"/>
        <family val="2"/>
      </rPr>
      <t xml:space="preserve">款】 车架 耀镜蓝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</si>
  <si>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26</t>
    </r>
    <r>
      <rPr>
        <sz val="9"/>
        <color rgb="FF111111"/>
        <rFont val="DejaVu Sans"/>
        <family val="2"/>
      </rPr>
      <t xml:space="preserve">款】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</si>
  <si>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26</t>
    </r>
    <r>
      <rPr>
        <sz val="9"/>
        <color rgb="FF111111"/>
        <rFont val="DejaVu Sans"/>
        <family val="2"/>
      </rPr>
      <t xml:space="preserve">款】 车架 耀镜蓝</t>
    </r>
    <r>
      <rPr>
        <sz val="9"/>
        <color rgb="FF111111"/>
        <rFont val="Arial"/>
        <family val="0"/>
        <charset val="1"/>
      </rPr>
      <t xml:space="preserve">500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</si>
  <si>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26</t>
    </r>
    <r>
      <rPr>
        <sz val="9"/>
        <color rgb="FF111111"/>
        <rFont val="DejaVu Sans"/>
        <family val="2"/>
      </rPr>
      <t xml:space="preserve">款】 车架 耀镜蓝</t>
    </r>
    <r>
      <rPr>
        <sz val="9"/>
        <color rgb="FF111111"/>
        <rFont val="Arial"/>
        <family val="0"/>
        <charset val="1"/>
      </rPr>
      <t xml:space="preserve">560</t>
    </r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</si>
  <si>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404 (SH)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</si>
  <si>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C60 (SH)</t>
    </r>
  </si>
  <si>
    <t xml:space="preserve">DA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</si>
  <si>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C50 (SH)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</si>
  <si>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vision 45 RS</t>
    </r>
  </si>
  <si>
    <t xml:space="preserve">FSA</t>
  </si>
  <si>
    <r>
      <rPr>
        <sz val="9"/>
        <color rgb="FF111111"/>
        <rFont val="Arial"/>
        <family val="0"/>
        <charset val="1"/>
      </rPr>
      <t xml:space="preserve">DT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ARC 1100 38 (SH)</t>
    </r>
  </si>
  <si>
    <t xml:space="preserve">DT</t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</si>
  <si>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303 (SH)</t>
    </r>
  </si>
  <si>
    <t xml:space="preserve">🔵 高价商品  小计</t>
  </si>
  <si>
    <r>
      <rPr>
        <b val="true"/>
        <sz val="10"/>
        <color rgb="FF111111"/>
        <rFont val="Times New Roman"/>
        <family val="0"/>
        <charset val="1"/>
      </rPr>
      <t xml:space="preserve">⚠  FSA </t>
    </r>
    <r>
      <rPr>
        <b val="true"/>
        <sz val="10"/>
        <color rgb="FF111111"/>
        <rFont val="DejaVu Sans"/>
        <family val="2"/>
      </rPr>
      <t xml:space="preserve">待处理库存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</si>
  <si>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ACR 420-110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</si>
  <si>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ACR 400-100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</si>
  <si>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ACR EVO 360-80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</si>
  <si>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ACR EVO 380-90</t>
    </r>
  </si>
  <si>
    <r>
      <rPr>
        <b val="true"/>
        <sz val="9"/>
        <color rgb="FF111111"/>
        <rFont val="Times New Roman"/>
        <family val="0"/>
        <charset val="1"/>
      </rPr>
      <t xml:space="preserve">⚠  FSA </t>
    </r>
    <r>
      <rPr>
        <b val="true"/>
        <sz val="9"/>
        <color rgb="FF111111"/>
        <rFont val="DejaVu Sans"/>
        <family val="2"/>
      </rPr>
      <t xml:space="preserve">待处理库存  小计</t>
    </r>
  </si>
  <si>
    <t xml:space="preserve">   正常商品</t>
  </si>
  <si>
    <t xml:space="preserve">中轴</t>
  </si>
  <si>
    <r>
      <rPr>
        <sz val="9"/>
        <color rgb="FF111111"/>
        <rFont val="Arial"/>
        <family val="0"/>
        <charset val="1"/>
      </rPr>
      <t xml:space="preserve">CS </t>
    </r>
    <r>
      <rPr>
        <sz val="9"/>
        <color rgb="FF111111"/>
        <rFont val="DejaVu Sans"/>
        <family val="2"/>
      </rPr>
      <t xml:space="preserve">中轴 黑色 </t>
    </r>
    <r>
      <rPr>
        <sz val="9"/>
        <color rgb="FF111111"/>
        <rFont val="Arial"/>
        <family val="0"/>
        <charset val="1"/>
      </rPr>
      <t xml:space="preserve">4</t>
    </r>
    <r>
      <rPr>
        <sz val="9"/>
        <color rgb="FF111111"/>
        <rFont val="DejaVu Sans"/>
        <family val="2"/>
      </rPr>
      <t xml:space="preserve">年（货号：</t>
    </r>
    <r>
      <rPr>
        <sz val="9"/>
        <color rgb="FF111111"/>
        <rFont val="Arial"/>
        <family val="0"/>
        <charset val="1"/>
      </rPr>
      <t xml:space="preserve">101331</t>
    </r>
    <r>
      <rPr>
        <sz val="9"/>
        <color rgb="FF111111"/>
        <rFont val="DejaVu Sans"/>
        <family val="2"/>
      </rPr>
      <t xml:space="preserve">）意规 </t>
    </r>
    <r>
      <rPr>
        <sz val="9"/>
        <color rgb="FF111111"/>
        <rFont val="Arial"/>
        <family val="0"/>
        <charset val="1"/>
      </rPr>
      <t xml:space="preserve">30</t>
    </r>
    <r>
      <rPr>
        <sz val="9"/>
        <color rgb="FF111111"/>
        <rFont val="DejaVu Sans"/>
        <family val="2"/>
      </rPr>
      <t xml:space="preserve">轴心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</si>
  <si>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中轴 钢球轴承 </t>
    </r>
    <r>
      <rPr>
        <sz val="9"/>
        <color rgb="FF111111"/>
        <rFont val="Arial"/>
        <family val="0"/>
        <charset val="1"/>
      </rPr>
      <t xml:space="preserve">T47-85.5-29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</si>
  <si>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</t>
    </r>
  </si>
  <si>
    <t xml:space="preserve">── 中轴 合计</t>
  </si>
  <si>
    <r>
      <rPr>
        <sz val="9"/>
        <color rgb="FF111111"/>
        <rFont val="Arial"/>
        <family val="0"/>
        <charset val="1"/>
      </rPr>
      <t xml:space="preserve">NEXGA </t>
    </r>
    <r>
      <rPr>
        <sz val="9"/>
        <color rgb="FF111111"/>
        <rFont val="DejaVu Sans"/>
        <family val="2"/>
      </rPr>
      <t xml:space="preserve">功率计 </t>
    </r>
    <r>
      <rPr>
        <sz val="9"/>
        <color rgb="FF111111"/>
        <rFont val="Arial"/>
        <family val="0"/>
        <charset val="1"/>
      </rPr>
      <t xml:space="preserve">S1 </t>
    </r>
    <r>
      <rPr>
        <sz val="9"/>
        <color rgb="FF111111"/>
        <rFont val="DejaVu Sans"/>
        <family val="2"/>
      </rPr>
      <t xml:space="preserve">适用（</t>
    </r>
    <r>
      <rPr>
        <sz val="9"/>
        <color rgb="FF111111"/>
        <rFont val="Arial"/>
        <family val="0"/>
        <charset val="1"/>
      </rPr>
      <t xml:space="preserve">EASTON)</t>
    </r>
  </si>
  <si>
    <t xml:space="preserve">NEXGA</t>
  </si>
  <si>
    <r>
      <rPr>
        <sz val="9"/>
        <color rgb="FF111111"/>
        <rFont val="Arial"/>
        <family val="0"/>
        <charset val="1"/>
      </rPr>
      <t xml:space="preserve">Sigeyi </t>
    </r>
    <r>
      <rPr>
        <sz val="9"/>
        <color rgb="FF111111"/>
        <rFont val="DejaVu Sans"/>
        <family val="2"/>
      </rPr>
      <t xml:space="preserve">功率计 新款 适用（</t>
    </r>
    <r>
      <rPr>
        <sz val="9"/>
        <color rgb="FF111111"/>
        <rFont val="Arial"/>
        <family val="0"/>
        <charset val="1"/>
      </rPr>
      <t xml:space="preserve">EASTON)</t>
    </r>
  </si>
  <si>
    <t xml:space="preserve">Sigeyi</t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</si>
  <si>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DejaVu Sans"/>
        <family val="0"/>
        <charset val="134"/>
      </rPr>
      <t xml:space="preserve">TERRA TRAIL(</t>
    </r>
    <r>
      <rPr>
        <sz val="9"/>
        <color rgb="FF111111"/>
        <rFont val="DejaVu Sans"/>
        <family val="2"/>
      </rPr>
      <t xml:space="preserve">瓜胎）</t>
    </r>
    <r>
      <rPr>
        <sz val="9"/>
        <color rgb="FF111111"/>
        <rFont val="DejaVu Sans"/>
        <family val="0"/>
        <charset val="134"/>
      </rPr>
      <t xml:space="preserve">35C</t>
    </r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</si>
  <si>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DejaVu Sans"/>
        <family val="0"/>
        <charset val="134"/>
      </rPr>
      <t xml:space="preserve">TR 32C </t>
    </r>
    <r>
      <rPr>
        <sz val="9"/>
        <color rgb="FF111111"/>
        <rFont val="DejaVu Sans"/>
        <family val="2"/>
      </rPr>
      <t xml:space="preserve">黑边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</si>
  <si>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DejaVu Sans"/>
        <family val="0"/>
        <charset val="134"/>
      </rPr>
      <t xml:space="preserve">POWER CUP </t>
    </r>
    <r>
      <rPr>
        <sz val="9"/>
        <color rgb="FF111111"/>
        <rFont val="DejaVu Sans"/>
        <family val="2"/>
      </rPr>
      <t xml:space="preserve">外胎 真空黄边</t>
    </r>
    <r>
      <rPr>
        <sz val="9"/>
        <color rgb="FF111111"/>
        <rFont val="DejaVu Sans"/>
        <family val="0"/>
        <charset val="134"/>
      </rPr>
      <t xml:space="preserve">28C(</t>
    </r>
    <r>
      <rPr>
        <sz val="9"/>
        <color rgb="FF111111"/>
        <rFont val="DejaVu Sans"/>
        <family val="2"/>
      </rPr>
      <t xml:space="preserve">散装）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</si>
  <si>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DejaVu Sans"/>
        <family val="0"/>
        <charset val="134"/>
      </rPr>
      <t xml:space="preserve">POWER CUP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</si>
  <si>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DejaVu Sans"/>
        <family val="0"/>
        <charset val="134"/>
      </rPr>
      <t xml:space="preserve">POWER CUP </t>
    </r>
    <r>
      <rPr>
        <sz val="9"/>
        <color rgb="FF111111"/>
        <rFont val="DejaVu Sans"/>
        <family val="2"/>
      </rPr>
      <t xml:space="preserve">外胎 真空黑边边</t>
    </r>
    <r>
      <rPr>
        <sz val="9"/>
        <color rgb="FF111111"/>
        <rFont val="DejaVu Sans"/>
        <family val="0"/>
        <charset val="134"/>
      </rPr>
      <t xml:space="preserve">28C(</t>
    </r>
    <r>
      <rPr>
        <sz val="9"/>
        <color rgb="FF111111"/>
        <rFont val="DejaVu Sans"/>
        <family val="2"/>
      </rPr>
      <t xml:space="preserve">散装）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</si>
  <si>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DejaVu Sans"/>
        <family val="0"/>
        <charset val="134"/>
      </rPr>
      <t xml:space="preserve">GP </t>
    </r>
    <r>
      <rPr>
        <sz val="9"/>
        <color rgb="FF111111"/>
        <rFont val="DejaVu Sans"/>
        <family val="2"/>
      </rPr>
      <t xml:space="preserve">外胎 </t>
    </r>
    <r>
      <rPr>
        <sz val="9"/>
        <color rgb="FF111111"/>
        <rFont val="DejaVu Sans"/>
        <family val="0"/>
        <charset val="134"/>
      </rPr>
      <t xml:space="preserve">TR 28C </t>
    </r>
    <r>
      <rPr>
        <sz val="9"/>
        <color rgb="FF111111"/>
        <rFont val="DejaVu Sans"/>
        <family val="2"/>
      </rPr>
      <t xml:space="preserve">黑边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</si>
  <si>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DejaVu Sans"/>
        <family val="0"/>
        <charset val="134"/>
      </rPr>
      <t xml:space="preserve">GP</t>
    </r>
  </si>
  <si>
    <r>
      <rPr>
        <sz val="9"/>
        <color rgb="FF111111"/>
        <rFont val="DejaVu Sans"/>
        <family val="2"/>
      </rPr>
      <t xml:space="preserve">马牌 外胎 钢圈 瓜车胎 </t>
    </r>
    <r>
      <rPr>
        <sz val="9"/>
        <color rgb="FF111111"/>
        <rFont val="DejaVu Sans"/>
        <family val="0"/>
        <charset val="134"/>
      </rPr>
      <t xml:space="preserve">40C</t>
    </r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</si>
  <si>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DejaVu Sans"/>
        <family val="0"/>
        <charset val="134"/>
      </rPr>
      <t xml:space="preserve">TR 28C </t>
    </r>
    <r>
      <rPr>
        <sz val="9"/>
        <color rgb="FF111111"/>
        <rFont val="DejaVu Sans"/>
        <family val="2"/>
      </rPr>
      <t xml:space="preserve">黑边（盒装）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</si>
  <si>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DejaVu Sans"/>
        <family val="0"/>
        <charset val="134"/>
      </rPr>
      <t xml:space="preserve">POWER CUP </t>
    </r>
    <r>
      <rPr>
        <sz val="9"/>
        <color rgb="FF111111"/>
        <rFont val="DejaVu Sans"/>
        <family val="2"/>
      </rPr>
      <t xml:space="preserve">外胎 开口黄边</t>
    </r>
    <r>
      <rPr>
        <sz val="9"/>
        <color rgb="FF111111"/>
        <rFont val="DejaVu Sans"/>
        <family val="0"/>
        <charset val="134"/>
      </rPr>
      <t xml:space="preserve">28C(</t>
    </r>
    <r>
      <rPr>
        <sz val="9"/>
        <color rgb="FF111111"/>
        <rFont val="DejaVu Sans"/>
        <family val="2"/>
      </rPr>
      <t xml:space="preserve">散装）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</si>
  <si>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DejaVu Sans"/>
        <family val="0"/>
        <charset val="134"/>
      </rPr>
      <t xml:space="preserve">POWER CUP </t>
    </r>
    <r>
      <rPr>
        <sz val="9"/>
        <color rgb="FF111111"/>
        <rFont val="DejaVu Sans"/>
        <family val="2"/>
      </rPr>
      <t xml:space="preserve">外胎 开口黑边</t>
    </r>
    <r>
      <rPr>
        <sz val="9"/>
        <color rgb="FF111111"/>
        <rFont val="DejaVu Sans"/>
        <family val="0"/>
        <charset val="134"/>
      </rPr>
      <t xml:space="preserve">28C(</t>
    </r>
    <r>
      <rPr>
        <sz val="9"/>
        <color rgb="FF111111"/>
        <rFont val="DejaVu Sans"/>
        <family val="2"/>
      </rPr>
      <t xml:space="preserve">散装）</t>
    </r>
  </si>
  <si>
    <r>
      <rPr>
        <sz val="9"/>
        <color rgb="FF111111"/>
        <rFont val="DejaVu Sans"/>
        <family val="2"/>
      </rPr>
      <t xml:space="preserve">倍耐力 外胎 </t>
    </r>
    <r>
      <rPr>
        <sz val="9"/>
        <color rgb="FF111111"/>
        <rFont val="DejaVu Sans"/>
        <family val="0"/>
        <charset val="134"/>
      </rPr>
      <t xml:space="preserve">rs</t>
    </r>
    <r>
      <rPr>
        <sz val="9"/>
        <color rgb="FF111111"/>
        <rFont val="DejaVu Sans"/>
        <family val="2"/>
      </rPr>
      <t xml:space="preserve">真空 </t>
    </r>
    <r>
      <rPr>
        <sz val="9"/>
        <color rgb="FF111111"/>
        <rFont val="DejaVu Sans"/>
        <family val="0"/>
        <charset val="134"/>
      </rPr>
      <t xml:space="preserve">28C</t>
    </r>
    <r>
      <rPr>
        <sz val="9"/>
        <color rgb="FF111111"/>
        <rFont val="DejaVu Sans"/>
        <family val="2"/>
      </rPr>
      <t xml:space="preserve">黑边</t>
    </r>
  </si>
  <si>
    <t xml:space="preserve">倍耐力</t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</si>
  <si>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DejaVu Sans"/>
        <family val="0"/>
        <charset val="134"/>
      </rPr>
      <t xml:space="preserve">GP5000 </t>
    </r>
    <r>
      <rPr>
        <sz val="9"/>
        <color rgb="FF111111"/>
        <rFont val="DejaVu Sans"/>
        <family val="2"/>
      </rPr>
      <t xml:space="preserve">外胎 开口 </t>
    </r>
    <r>
      <rPr>
        <sz val="9"/>
        <color rgb="FF111111"/>
        <rFont val="DejaVu Sans"/>
        <family val="0"/>
        <charset val="134"/>
      </rPr>
      <t xml:space="preserve">28C </t>
    </r>
    <r>
      <rPr>
        <sz val="9"/>
        <color rgb="FF111111"/>
        <rFont val="DejaVu Sans"/>
        <family val="2"/>
      </rPr>
      <t xml:space="preserve">黑色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</si>
  <si>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DejaVu Sans"/>
        <family val="0"/>
        <charset val="134"/>
      </rPr>
      <t xml:space="preserve">GP5000</t>
    </r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</si>
  <si>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DejaVu Sans"/>
        <family val="0"/>
        <charset val="134"/>
      </rPr>
      <t xml:space="preserve">Ultra Sport III </t>
    </r>
    <r>
      <rPr>
        <sz val="9"/>
        <color rgb="FF111111"/>
        <rFont val="DejaVu Sans"/>
        <family val="2"/>
      </rPr>
      <t xml:space="preserve">黑边（盒装）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</si>
  <si>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DejaVu Sans"/>
        <family val="0"/>
        <charset val="134"/>
      </rPr>
      <t xml:space="preserve">GP5000 </t>
    </r>
    <r>
      <rPr>
        <sz val="9"/>
        <color rgb="FF111111"/>
        <rFont val="DejaVu Sans"/>
        <family val="2"/>
      </rPr>
      <t xml:space="preserve">外胎 开口 </t>
    </r>
    <r>
      <rPr>
        <sz val="9"/>
        <color rgb="FF111111"/>
        <rFont val="DejaVu Sans"/>
        <family val="0"/>
        <charset val="134"/>
      </rPr>
      <t xml:space="preserve">28C </t>
    </r>
    <r>
      <rPr>
        <sz val="9"/>
        <color rgb="FF111111"/>
        <rFont val="DejaVu Sans"/>
        <family val="2"/>
      </rPr>
      <t xml:space="preserve">棕色</t>
    </r>
  </si>
  <si>
    <r>
      <rPr>
        <sz val="9"/>
        <color rgb="FF111111"/>
        <rFont val="DejaVu Sans"/>
        <family val="2"/>
      </rPr>
      <t xml:space="preserve">松下 外胎 </t>
    </r>
    <r>
      <rPr>
        <sz val="9"/>
        <color rgb="FF111111"/>
        <rFont val="DejaVu Sans"/>
        <family val="0"/>
        <charset val="134"/>
      </rPr>
      <t xml:space="preserve">28C </t>
    </r>
    <r>
      <rPr>
        <sz val="9"/>
        <color rgb="FF111111"/>
        <rFont val="DejaVu Sans"/>
        <family val="2"/>
      </rPr>
      <t xml:space="preserve">开口胎（盒装）</t>
    </r>
  </si>
  <si>
    <t xml:space="preserve">松下</t>
  </si>
  <si>
    <r>
      <rPr>
        <sz val="9"/>
        <color rgb="FF111111"/>
        <rFont val="DejaVu Sans"/>
        <family val="2"/>
      </rPr>
      <t xml:space="preserve">维多利亚 外胎 </t>
    </r>
    <r>
      <rPr>
        <sz val="9"/>
        <color rgb="FF111111"/>
        <rFont val="DejaVu Sans"/>
        <family val="0"/>
        <charset val="134"/>
      </rPr>
      <t xml:space="preserve">Corsa pro</t>
    </r>
    <r>
      <rPr>
        <sz val="9"/>
        <color rgb="FF111111"/>
        <rFont val="DejaVu Sans"/>
        <family val="2"/>
      </rPr>
      <t xml:space="preserve">黄边 真空 </t>
    </r>
    <r>
      <rPr>
        <sz val="9"/>
        <color rgb="FF111111"/>
        <rFont val="DejaVu Sans"/>
        <family val="0"/>
        <charset val="134"/>
      </rPr>
      <t xml:space="preserve">28c </t>
    </r>
    <r>
      <rPr>
        <sz val="9"/>
        <color rgb="FF111111"/>
        <rFont val="DejaVu Sans"/>
        <family val="2"/>
      </rPr>
      <t xml:space="preserve">（盒装）</t>
    </r>
  </si>
  <si>
    <t xml:space="preserve">维多利亚</t>
  </si>
  <si>
    <r>
      <rPr>
        <sz val="9"/>
        <color rgb="FF111111"/>
        <rFont val="DejaVu Sans"/>
        <family val="2"/>
      </rPr>
      <t xml:space="preserve">倍耐力 外胎 真空 </t>
    </r>
    <r>
      <rPr>
        <sz val="9"/>
        <color rgb="FF111111"/>
        <rFont val="DejaVu Sans"/>
        <family val="0"/>
        <charset val="134"/>
      </rPr>
      <t xml:space="preserve">28C </t>
    </r>
    <r>
      <rPr>
        <sz val="9"/>
        <color rgb="FF111111"/>
        <rFont val="DejaVu Sans"/>
        <family val="2"/>
      </rPr>
      <t xml:space="preserve">蓝字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</si>
  <si>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DejaVu Sans"/>
        <family val="0"/>
        <charset val="134"/>
      </rPr>
      <t xml:space="preserve">GP5000 </t>
    </r>
    <r>
      <rPr>
        <sz val="9"/>
        <color rgb="FF111111"/>
        <rFont val="DejaVu Sans"/>
        <family val="2"/>
      </rPr>
      <t xml:space="preserve">外胎 </t>
    </r>
    <r>
      <rPr>
        <sz val="9"/>
        <color rgb="FF111111"/>
        <rFont val="DejaVu Sans"/>
        <family val="0"/>
        <charset val="134"/>
      </rPr>
      <t xml:space="preserve">TTTR </t>
    </r>
    <r>
      <rPr>
        <sz val="9"/>
        <color rgb="FF111111"/>
        <rFont val="DejaVu Sans"/>
        <family val="2"/>
      </rPr>
      <t xml:space="preserve">黑边</t>
    </r>
    <r>
      <rPr>
        <sz val="9"/>
        <color rgb="FF111111"/>
        <rFont val="DejaVu Sans"/>
        <family val="0"/>
        <charset val="134"/>
      </rPr>
      <t xml:space="preserve">28C</t>
    </r>
  </si>
  <si>
    <r>
      <rPr>
        <sz val="9"/>
        <color rgb="FF111111"/>
        <rFont val="DejaVu Sans"/>
        <family val="2"/>
      </rPr>
      <t xml:space="preserve">朝阳 外胎 真空 </t>
    </r>
    <r>
      <rPr>
        <sz val="9"/>
        <color rgb="FF111111"/>
        <rFont val="DejaVu Sans"/>
        <family val="0"/>
        <charset val="134"/>
      </rPr>
      <t xml:space="preserve">28C </t>
    </r>
    <r>
      <rPr>
        <sz val="9"/>
        <color rgb="FF111111"/>
        <rFont val="DejaVu Sans"/>
        <family val="2"/>
      </rPr>
      <t xml:space="preserve">粉边</t>
    </r>
  </si>
  <si>
    <t xml:space="preserve">朝阳</t>
  </si>
  <si>
    <r>
      <rPr>
        <sz val="9"/>
        <color rgb="FF111111"/>
        <rFont val="DejaVu Sans"/>
        <family val="2"/>
      </rPr>
      <t xml:space="preserve">米其林 外胎 开口 </t>
    </r>
    <r>
      <rPr>
        <sz val="9"/>
        <color rgb="FF111111"/>
        <rFont val="DejaVu Sans"/>
        <family val="0"/>
        <charset val="134"/>
      </rPr>
      <t xml:space="preserve">28C </t>
    </r>
    <r>
      <rPr>
        <sz val="9"/>
        <color rgb="FF111111"/>
        <rFont val="DejaVu Sans"/>
        <family val="2"/>
      </rPr>
      <t xml:space="preserve">黄边（盒装）</t>
    </r>
  </si>
  <si>
    <t xml:space="preserve">米其林</t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</si>
  <si>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DejaVu Sans"/>
        <family val="0"/>
        <charset val="134"/>
      </rPr>
      <t xml:space="preserve">GP5000 </t>
    </r>
    <r>
      <rPr>
        <sz val="9"/>
        <color rgb="FF111111"/>
        <rFont val="DejaVu Sans"/>
        <family val="2"/>
      </rPr>
      <t xml:space="preserve">外胎 真空 </t>
    </r>
    <r>
      <rPr>
        <sz val="9"/>
        <color rgb="FF111111"/>
        <rFont val="DejaVu Sans"/>
        <family val="0"/>
        <charset val="134"/>
      </rPr>
      <t xml:space="preserve">28C </t>
    </r>
    <r>
      <rPr>
        <sz val="9"/>
        <color rgb="FF111111"/>
        <rFont val="DejaVu Sans"/>
        <family val="2"/>
      </rPr>
      <t xml:space="preserve">棕边</t>
    </r>
  </si>
  <si>
    <t xml:space="preserve">头盔</t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</si>
  <si>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Rapido </t>
    </r>
    <r>
      <rPr>
        <sz val="9"/>
        <color rgb="FF111111"/>
        <rFont val="DejaVu Sans"/>
        <family val="2"/>
      </rPr>
      <t xml:space="preserve">橙色 </t>
    </r>
    <r>
      <rPr>
        <sz val="9"/>
        <color rgb="FF111111"/>
        <rFont val="Arial"/>
        <family val="0"/>
        <charset val="1"/>
      </rPr>
      <t xml:space="preserve">M</t>
    </r>
  </si>
  <si>
    <t xml:space="preserve">KASK</t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</si>
  <si>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</t>
    </r>
    <r>
      <rPr>
        <sz val="9"/>
        <color rgb="FF111111"/>
        <rFont val="DejaVu Sans"/>
        <family val="2"/>
      </rPr>
      <t xml:space="preserve">亮黑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</si>
  <si>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</t>
    </r>
    <r>
      <rPr>
        <sz val="9"/>
        <color rgb="FF111111"/>
        <rFont val="DejaVu Sans"/>
        <family val="2"/>
      </rPr>
      <t xml:space="preserve">亮黑 </t>
    </r>
    <r>
      <rPr>
        <sz val="9"/>
        <color rgb="FF111111"/>
        <rFont val="Arial"/>
        <family val="0"/>
        <charset val="1"/>
      </rPr>
      <t xml:space="preserve">M</t>
    </r>
  </si>
  <si>
    <t xml:space="preserve">── 头盔 合计</t>
  </si>
  <si>
    <t xml:space="preserve">套件散装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</si>
  <si>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右手变</t>
    </r>
    <r>
      <rPr>
        <sz val="9"/>
        <color rgb="FF111111"/>
        <rFont val="Arial"/>
        <family val="0"/>
        <charset val="1"/>
      </rPr>
      <t xml:space="preserve">+</t>
    </r>
    <r>
      <rPr>
        <sz val="9"/>
        <color rgb="FF111111"/>
        <rFont val="DejaVu Sans"/>
        <family val="2"/>
      </rPr>
      <t xml:space="preserve">夹器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</si>
  <si>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手变按钮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</si>
  <si>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套件散装 后拨</t>
    </r>
  </si>
  <si>
    <t xml:space="preserve">UT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</si>
  <si>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套件（</t>
    </r>
    <r>
      <rPr>
        <sz val="9"/>
        <color rgb="FF111111"/>
        <rFont val="Arial"/>
        <family val="0"/>
        <charset val="1"/>
      </rPr>
      <t xml:space="preserve">Y</t>
    </r>
    <r>
      <rPr>
        <sz val="9"/>
        <color rgb="FF111111"/>
        <rFont val="DejaVu Sans"/>
        <family val="2"/>
      </rPr>
      <t xml:space="preserve">型电线组 </t>
    </r>
    <r>
      <rPr>
        <sz val="9"/>
        <color rgb="FF111111"/>
        <rFont val="Arial"/>
        <family val="0"/>
        <charset val="1"/>
      </rPr>
      <t xml:space="preserve">EW-JC130-MM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</si>
  <si>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套件（</t>
    </r>
    <r>
      <rPr>
        <sz val="9"/>
        <color rgb="FF111111"/>
        <rFont val="Arial"/>
        <family val="0"/>
        <charset val="1"/>
      </rPr>
      <t xml:space="preserve">SM-JC41)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</si>
  <si>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套件（</t>
    </r>
    <r>
      <rPr>
        <sz val="9"/>
        <color rgb="FF111111"/>
        <rFont val="Arial"/>
        <family val="0"/>
        <charset val="1"/>
      </rPr>
      <t xml:space="preserve">EW-AD305)</t>
    </r>
  </si>
  <si>
    <t xml:space="preserve">── 套件散装 合计</t>
  </si>
  <si>
    <t xml:space="preserve">套件组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</si>
  <si>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套件组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套件（手变</t>
    </r>
    <r>
      <rPr>
        <sz val="9"/>
        <color rgb="FF111111"/>
        <rFont val="Arial"/>
        <family val="0"/>
        <charset val="1"/>
      </rPr>
      <t xml:space="preserve">+</t>
    </r>
    <r>
      <rPr>
        <sz val="9"/>
        <color rgb="FF111111"/>
        <rFont val="DejaVu Sans"/>
        <family val="2"/>
      </rPr>
      <t xml:space="preserve">夹器</t>
    </r>
    <r>
      <rPr>
        <sz val="9"/>
        <color rgb="FF111111"/>
        <rFont val="Arial"/>
        <family val="0"/>
        <charset val="1"/>
      </rPr>
      <t xml:space="preserve">+</t>
    </r>
    <r>
      <rPr>
        <sz val="9"/>
        <color rgb="FF111111"/>
        <rFont val="DejaVu Sans"/>
        <family val="2"/>
      </rPr>
      <t xml:space="preserve">按钮</t>
    </r>
    <r>
      <rPr>
        <sz val="9"/>
        <color rgb="FF111111"/>
        <rFont val="Arial"/>
        <family val="0"/>
        <charset val="1"/>
      </rPr>
      <t xml:space="preserve">+</t>
    </r>
    <r>
      <rPr>
        <sz val="9"/>
        <color rgb="FF111111"/>
        <rFont val="DejaVu Sans"/>
        <family val="2"/>
      </rPr>
      <t xml:space="preserve">电线）</t>
    </r>
  </si>
  <si>
    <r>
      <rPr>
        <sz val="9"/>
        <color rgb="FF111111"/>
        <rFont val="Arial"/>
        <family val="0"/>
        <charset val="1"/>
      </rPr>
      <t xml:space="preserve">RIVAL </t>
    </r>
    <r>
      <rPr>
        <sz val="9"/>
        <color rgb="FF111111"/>
        <rFont val="DejaVu Sans"/>
        <family val="2"/>
      </rPr>
      <t xml:space="preserve">套件组 基础配置无前拨（</t>
    </r>
    <r>
      <rPr>
        <sz val="9"/>
        <color rgb="FF111111"/>
        <rFont val="Arial"/>
        <family val="0"/>
        <charset val="1"/>
      </rPr>
      <t xml:space="preserve">13</t>
    </r>
    <r>
      <rPr>
        <sz val="9"/>
        <color rgb="FF111111"/>
        <rFont val="DejaVu Sans"/>
        <family val="2"/>
      </rPr>
      <t xml:space="preserve">速）</t>
    </r>
  </si>
  <si>
    <t xml:space="preserve">RIVAL</t>
  </si>
  <si>
    <r>
      <rPr>
        <sz val="9"/>
        <color rgb="FF111111"/>
        <rFont val="Arial"/>
        <family val="0"/>
        <charset val="1"/>
      </rPr>
      <t xml:space="preserve">RIVAL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</si>
  <si>
    <t xml:space="preserve">── 套件组 合计</t>
  </si>
  <si>
    <r>
      <rPr>
        <sz val="9"/>
        <color rgb="FF111111"/>
        <rFont val="Arial"/>
        <family val="0"/>
        <charset val="1"/>
      </rPr>
      <t xml:space="preserve">Selle Italia 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3D </t>
    </r>
    <r>
      <rPr>
        <sz val="9"/>
        <color rgb="FF111111"/>
        <rFont val="DejaVu Sans"/>
        <family val="2"/>
      </rPr>
      <t xml:space="preserve">碳轨 黑色（散装）</t>
    </r>
  </si>
  <si>
    <t xml:space="preserve">Selle Italia </t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</si>
  <si>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3D</t>
    </r>
    <r>
      <rPr>
        <sz val="9"/>
        <color rgb="FF111111"/>
        <rFont val="DejaVu Sans"/>
        <family val="2"/>
      </rPr>
      <t xml:space="preserve">打印（原电助力用）</t>
    </r>
  </si>
  <si>
    <t xml:space="preserve">FIZIK</t>
  </si>
  <si>
    <r>
      <rPr>
        <sz val="9"/>
        <color rgb="FF111111"/>
        <rFont val="Arial"/>
        <family val="0"/>
        <charset val="1"/>
      </rPr>
      <t xml:space="preserve">Selle Italia   </t>
    </r>
    <r>
      <rPr>
        <sz val="9"/>
        <color rgb="FF111111"/>
        <rFont val="DejaVu Sans"/>
        <family val="2"/>
      </rPr>
      <t xml:space="preserve">座垫 钢轨 黑色（散装）</t>
    </r>
  </si>
  <si>
    <t xml:space="preserve">Selle Italia  </t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</si>
  <si>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座垫 碳轨（原电助力用）</t>
    </r>
  </si>
  <si>
    <r>
      <rPr>
        <sz val="9"/>
        <color rgb="FF111111"/>
        <rFont val="Arial"/>
        <family val="0"/>
        <charset val="1"/>
      </rPr>
      <t xml:space="preserve">Selle Italia 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3D </t>
    </r>
    <r>
      <rPr>
        <sz val="9"/>
        <color rgb="FF111111"/>
        <rFont val="DejaVu Sans"/>
        <family val="2"/>
      </rPr>
      <t xml:space="preserve">碳轨 黑色（盒装）</t>
    </r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</si>
  <si>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3D </t>
    </r>
    <r>
      <rPr>
        <sz val="9"/>
        <color rgb="FF111111"/>
        <rFont val="DejaVu Sans"/>
        <family val="2"/>
      </rPr>
      <t xml:space="preserve">打印（盒装）</t>
    </r>
  </si>
  <si>
    <r>
      <rPr>
        <sz val="9"/>
        <color rgb="FF111111"/>
        <rFont val="DejaVu Sans"/>
        <family val="2"/>
      </rPr>
      <t xml:space="preserve">闪电 座垫 （新款</t>
    </r>
    <r>
      <rPr>
        <sz val="9"/>
        <color rgb="FF111111"/>
        <rFont val="DejaVu Sans"/>
        <family val="0"/>
        <charset val="134"/>
      </rPr>
      <t xml:space="preserve">143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DejaVu Sans"/>
        <family val="0"/>
        <charset val="134"/>
      </rPr>
      <t xml:space="preserve">Sworks power </t>
    </r>
    <r>
      <rPr>
        <sz val="9"/>
        <color rgb="FF111111"/>
        <rFont val="DejaVu Sans"/>
        <family val="2"/>
      </rPr>
      <t xml:space="preserve">碳弓碳底坐垫</t>
    </r>
  </si>
  <si>
    <t xml:space="preserve">闪电</t>
  </si>
  <si>
    <r>
      <rPr>
        <sz val="9"/>
        <color rgb="FF111111"/>
        <rFont val="DejaVu Sans"/>
        <family val="2"/>
      </rPr>
      <t xml:space="preserve">闪电 座垫 </t>
    </r>
    <r>
      <rPr>
        <sz val="9"/>
        <color rgb="FF111111"/>
        <rFont val="DejaVu Sans"/>
        <family val="0"/>
        <charset val="134"/>
      </rPr>
      <t xml:space="preserve">Power Comp </t>
    </r>
    <r>
      <rPr>
        <sz val="9"/>
        <color rgb="FF111111"/>
        <rFont val="DejaVu Sans"/>
        <family val="2"/>
      </rPr>
      <t xml:space="preserve">黑 </t>
    </r>
    <r>
      <rPr>
        <sz val="9"/>
        <color rgb="FF111111"/>
        <rFont val="DejaVu Sans"/>
        <family val="0"/>
        <charset val="134"/>
      </rPr>
      <t xml:space="preserve">155</t>
    </r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</si>
  <si>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座垫 钢轨 </t>
    </r>
    <r>
      <rPr>
        <sz val="9"/>
        <color rgb="FF111111"/>
        <rFont val="Arial"/>
        <family val="0"/>
        <charset val="1"/>
      </rPr>
      <t xml:space="preserve">ARGO R5</t>
    </r>
    <r>
      <rPr>
        <sz val="9"/>
        <color rgb="FF111111"/>
        <rFont val="DejaVu Sans"/>
        <family val="2"/>
      </rPr>
      <t xml:space="preserve">（板装）</t>
    </r>
  </si>
  <si>
    <r>
      <rPr>
        <sz val="9"/>
        <color rgb="FF111111"/>
        <rFont val="Arial"/>
        <family val="0"/>
        <charset val="1"/>
      </rPr>
      <t xml:space="preserve">Selle Italia  </t>
    </r>
    <r>
      <rPr>
        <sz val="9"/>
        <color rgb="FF111111"/>
        <rFont val="DejaVu Sans"/>
        <family val="2"/>
      </rPr>
      <t xml:space="preserve">座垫 新款钢轨黑色（散装）</t>
    </r>
  </si>
  <si>
    <r>
      <rPr>
        <sz val="9"/>
        <color rgb="FF111111"/>
        <rFont val="Arial"/>
        <family val="0"/>
        <charset val="1"/>
      </rPr>
      <t xml:space="preserve">Selle Italia  </t>
    </r>
    <r>
      <rPr>
        <sz val="9"/>
        <color rgb="FF111111"/>
        <rFont val="DejaVu Sans"/>
        <family val="2"/>
      </rPr>
      <t xml:space="preserve">座垫 新款碳轨黑色（散装）</t>
    </r>
  </si>
  <si>
    <r>
      <rPr>
        <sz val="9"/>
        <color rgb="FF111111"/>
        <rFont val="Arial"/>
        <family val="0"/>
        <charset val="1"/>
      </rPr>
      <t xml:space="preserve">Cline </t>
    </r>
    <r>
      <rPr>
        <sz val="9"/>
        <color rgb="FF111111"/>
        <rFont val="DejaVu Sans"/>
        <family val="2"/>
      </rPr>
      <t xml:space="preserve">整车 火焰清漆</t>
    </r>
    <r>
      <rPr>
        <sz val="9"/>
        <color rgb="FF111111"/>
        <rFont val="Arial"/>
        <family val="0"/>
        <charset val="1"/>
      </rPr>
      <t xml:space="preserve">M2</t>
    </r>
  </si>
  <si>
    <t xml:space="preserve">Cline</t>
  </si>
  <si>
    <r>
      <rPr>
        <sz val="9"/>
        <color rgb="FF111111"/>
        <rFont val="Arial"/>
        <family val="0"/>
        <charset val="1"/>
      </rPr>
      <t xml:space="preserve">GUSTO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GTR </t>
    </r>
    <r>
      <rPr>
        <sz val="9"/>
        <color rgb="FF111111"/>
        <rFont val="DejaVu Sans"/>
        <family val="2"/>
      </rPr>
      <t xml:space="preserve">白色 </t>
    </r>
    <r>
      <rPr>
        <sz val="9"/>
        <color rgb="FF111111"/>
        <rFont val="Arial"/>
        <family val="0"/>
        <charset val="1"/>
      </rPr>
      <t xml:space="preserve">M</t>
    </r>
  </si>
  <si>
    <t xml:space="preserve">GUSTO</t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</si>
  <si>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碳轴 </t>
    </r>
    <r>
      <rPr>
        <sz val="9"/>
        <color rgb="FF111111"/>
        <rFont val="Arial"/>
        <family val="0"/>
        <charset val="1"/>
      </rPr>
      <t xml:space="preserve">165 (</t>
    </r>
    <r>
      <rPr>
        <sz val="9"/>
        <color rgb="FF111111"/>
        <rFont val="DejaVu Sans"/>
        <family val="2"/>
      </rPr>
      <t xml:space="preserve">新款）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</si>
  <si>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钛轴 </t>
    </r>
    <r>
      <rPr>
        <sz val="9"/>
        <color rgb="FF111111"/>
        <rFont val="Arial"/>
        <family val="0"/>
        <charset val="1"/>
      </rPr>
      <t xml:space="preserve">172.5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</si>
  <si>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钛轴 </t>
    </r>
    <r>
      <rPr>
        <sz val="9"/>
        <color rgb="FF111111"/>
        <rFont val="Arial"/>
        <family val="0"/>
        <charset val="1"/>
      </rPr>
      <t xml:space="preserve">170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</si>
  <si>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碳轴 </t>
    </r>
    <r>
      <rPr>
        <sz val="9"/>
        <color rgb="FF111111"/>
        <rFont val="Arial"/>
        <family val="0"/>
        <charset val="1"/>
      </rPr>
      <t xml:space="preserve">170(</t>
    </r>
    <r>
      <rPr>
        <sz val="9"/>
        <color rgb="FF111111"/>
        <rFont val="DejaVu Sans"/>
        <family val="2"/>
      </rPr>
      <t xml:space="preserve">新款）</t>
    </r>
  </si>
  <si>
    <t xml:space="preserve">牙盘组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</si>
  <si>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52-36T 170</t>
    </r>
  </si>
  <si>
    <t xml:space="preserve">── 牙盘组 合计</t>
  </si>
  <si>
    <r>
      <rPr>
        <sz val="9"/>
        <color rgb="FF111111"/>
        <rFont val="Arial"/>
        <family val="0"/>
        <charset val="1"/>
      </rPr>
      <t xml:space="preserve">CARBON—TI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52-36</t>
    </r>
  </si>
  <si>
    <r>
      <rPr>
        <sz val="9"/>
        <color rgb="FF111111"/>
        <rFont val="Arial"/>
        <family val="0"/>
        <charset val="1"/>
      </rPr>
      <t xml:space="preserve">DR 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digirit 4</t>
    </r>
    <r>
      <rPr>
        <sz val="9"/>
        <color rgb="FF111111"/>
        <rFont val="DejaVu Sans"/>
        <family val="2"/>
      </rPr>
      <t xml:space="preserve">爪 </t>
    </r>
    <r>
      <rPr>
        <sz val="9"/>
        <color rgb="FF111111"/>
        <rFont val="Arial"/>
        <family val="0"/>
        <charset val="1"/>
      </rPr>
      <t xml:space="preserve">56T</t>
    </r>
    <r>
      <rPr>
        <sz val="9"/>
        <color rgb="FF111111"/>
        <rFont val="DejaVu Sans"/>
        <family val="2"/>
      </rPr>
      <t xml:space="preserve">（</t>
    </r>
    <r>
      <rPr>
        <sz val="9"/>
        <color rgb="FF111111"/>
        <rFont val="Arial"/>
        <family val="0"/>
        <charset val="1"/>
      </rPr>
      <t xml:space="preserve">SRM</t>
    </r>
    <r>
      <rPr>
        <sz val="9"/>
        <color rgb="FF111111"/>
        <rFont val="DejaVu Sans"/>
        <family val="2"/>
      </rPr>
      <t xml:space="preserve">规格）</t>
    </r>
  </si>
  <si>
    <t xml:space="preserve">DR </t>
  </si>
  <si>
    <r>
      <rPr>
        <sz val="9"/>
        <color rgb="FF111111"/>
        <rFont val="Arial"/>
        <family val="0"/>
        <charset val="1"/>
      </rPr>
      <t xml:space="preserve">DR 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digirit 4</t>
    </r>
    <r>
      <rPr>
        <sz val="9"/>
        <color rgb="FF111111"/>
        <rFont val="DejaVu Sans"/>
        <family val="2"/>
      </rPr>
      <t xml:space="preserve">爪 </t>
    </r>
    <r>
      <rPr>
        <sz val="9"/>
        <color rgb="FF111111"/>
        <rFont val="Arial"/>
        <family val="0"/>
        <charset val="1"/>
      </rPr>
      <t xml:space="preserve">54T</t>
    </r>
    <r>
      <rPr>
        <sz val="9"/>
        <color rgb="FF111111"/>
        <rFont val="DejaVu Sans"/>
        <family val="2"/>
      </rPr>
      <t xml:space="preserve">（</t>
    </r>
    <r>
      <rPr>
        <sz val="9"/>
        <color rgb="FF111111"/>
        <rFont val="Arial"/>
        <family val="0"/>
        <charset val="1"/>
      </rPr>
      <t xml:space="preserve">SRM</t>
    </r>
    <r>
      <rPr>
        <sz val="9"/>
        <color rgb="FF111111"/>
        <rFont val="DejaVu Sans"/>
        <family val="2"/>
      </rPr>
      <t xml:space="preserve">规格）</t>
    </r>
  </si>
  <si>
    <r>
      <rPr>
        <sz val="9"/>
        <color rgb="FF111111"/>
        <rFont val="Arial"/>
        <family val="0"/>
        <charset val="1"/>
      </rPr>
      <t xml:space="preserve">DR 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digirit 4</t>
    </r>
    <r>
      <rPr>
        <sz val="9"/>
        <color rgb="FF111111"/>
        <rFont val="DejaVu Sans"/>
        <family val="2"/>
      </rPr>
      <t xml:space="preserve">爪 </t>
    </r>
    <r>
      <rPr>
        <sz val="9"/>
        <color rgb="FF111111"/>
        <rFont val="Arial"/>
        <family val="0"/>
        <charset val="1"/>
      </rPr>
      <t xml:space="preserve">56T</t>
    </r>
    <r>
      <rPr>
        <sz val="9"/>
        <color rgb="FF111111"/>
        <rFont val="DejaVu Sans"/>
        <family val="2"/>
      </rPr>
      <t xml:space="preserve">（禧玛诺规格）</t>
    </r>
  </si>
  <si>
    <t xml:space="preserve">脚踏</t>
  </si>
  <si>
    <r>
      <rPr>
        <sz val="9"/>
        <color rgb="FF111111"/>
        <rFont val="Arial"/>
        <family val="0"/>
        <charset val="1"/>
      </rPr>
      <t xml:space="preserve">HT </t>
    </r>
    <r>
      <rPr>
        <sz val="9"/>
        <color rgb="FF111111"/>
        <rFont val="DejaVu Sans"/>
        <family val="2"/>
      </rPr>
      <t xml:space="preserve">脚踏  黑</t>
    </r>
  </si>
  <si>
    <t xml:space="preserve">HT</t>
  </si>
  <si>
    <r>
      <rPr>
        <sz val="9"/>
        <color rgb="FF111111"/>
        <rFont val="Arial"/>
        <family val="0"/>
        <charset val="1"/>
      </rPr>
      <t xml:space="preserve">HT </t>
    </r>
    <r>
      <rPr>
        <sz val="9"/>
        <color rgb="FF111111"/>
        <rFont val="DejaVu Sans"/>
        <family val="2"/>
      </rPr>
      <t xml:space="preserve">脚踏 银</t>
    </r>
  </si>
  <si>
    <r>
      <rPr>
        <sz val="9"/>
        <color rgb="FF111111"/>
        <rFont val="Arial"/>
        <family val="0"/>
        <charset val="1"/>
      </rPr>
      <t xml:space="preserve">Gineyea </t>
    </r>
    <r>
      <rPr>
        <sz val="9"/>
        <color rgb="FF111111"/>
        <rFont val="DejaVu Sans"/>
        <family val="2"/>
      </rPr>
      <t xml:space="preserve">脚踏  黑</t>
    </r>
  </si>
  <si>
    <t xml:space="preserve">Gineyea</t>
  </si>
  <si>
    <t xml:space="preserve">── 脚踏 合计</t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</si>
  <si>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42-90</t>
    </r>
  </si>
  <si>
    <t xml:space="preserve">MOST</t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</si>
  <si>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42-100</t>
    </r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</si>
  <si>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44-110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</si>
  <si>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CC01 410-80 </t>
    </r>
    <r>
      <rPr>
        <sz val="9"/>
        <color rgb="FF111111"/>
        <rFont val="DejaVu Sans"/>
        <family val="2"/>
      </rPr>
      <t xml:space="preserve">拆车</t>
    </r>
  </si>
  <si>
    <r>
      <rPr>
        <sz val="9"/>
        <color rgb="FF111111"/>
        <rFont val="DejaVu Sans"/>
        <family val="2"/>
      </rPr>
      <t xml:space="preserve">滚石 车把一体把 三代  滚石一体把 </t>
    </r>
    <r>
      <rPr>
        <sz val="9"/>
        <color rgb="FF111111"/>
        <rFont val="DejaVu Sans"/>
        <family val="0"/>
        <charset val="134"/>
      </rPr>
      <t xml:space="preserve">420-100</t>
    </r>
  </si>
  <si>
    <t xml:space="preserve">滚石</t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</si>
  <si>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44-100</t>
    </r>
  </si>
  <si>
    <r>
      <rPr>
        <sz val="9"/>
        <color rgb="FF111111"/>
        <rFont val="DejaVu Sans"/>
        <family val="2"/>
      </rPr>
      <t xml:space="preserve">闪电 车把一体把 </t>
    </r>
    <r>
      <rPr>
        <sz val="9"/>
        <color rgb="FF111111"/>
        <rFont val="DejaVu Sans"/>
        <family val="0"/>
        <charset val="134"/>
      </rPr>
      <t xml:space="preserve">roval</t>
    </r>
    <r>
      <rPr>
        <sz val="9"/>
        <color rgb="FF111111"/>
        <rFont val="DejaVu Sans"/>
        <family val="2"/>
      </rPr>
      <t xml:space="preserve">一体把</t>
    </r>
    <r>
      <rPr>
        <sz val="9"/>
        <color rgb="FF111111"/>
        <rFont val="DejaVu Sans"/>
        <family val="0"/>
        <charset val="134"/>
      </rPr>
      <t xml:space="preserve">420-100</t>
    </r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</si>
  <si>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42-110</t>
    </r>
  </si>
  <si>
    <r>
      <rPr>
        <sz val="9"/>
        <color rgb="FF111111"/>
        <rFont val="Arial"/>
        <family val="0"/>
        <charset val="1"/>
      </rPr>
      <t xml:space="preserve">Cervelo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R5</t>
    </r>
    <r>
      <rPr>
        <sz val="9"/>
        <color rgb="FF111111"/>
        <rFont val="DejaVu Sans"/>
        <family val="2"/>
      </rPr>
      <t xml:space="preserve">队版 </t>
    </r>
    <r>
      <rPr>
        <sz val="9"/>
        <color rgb="FF111111"/>
        <rFont val="Arial"/>
        <family val="0"/>
        <charset val="1"/>
      </rPr>
      <t xml:space="preserve">56</t>
    </r>
    <r>
      <rPr>
        <sz val="9"/>
        <color rgb="FF111111"/>
        <rFont val="DejaVu Sans"/>
        <family val="2"/>
      </rPr>
      <t xml:space="preserve">（带分体把把横</t>
    </r>
    <r>
      <rPr>
        <sz val="9"/>
        <color rgb="FF111111"/>
        <rFont val="Arial"/>
        <family val="0"/>
        <charset val="1"/>
      </rPr>
      <t xml:space="preserve">400</t>
    </r>
    <r>
      <rPr>
        <sz val="9"/>
        <color rgb="FF111111"/>
        <rFont val="DejaVu Sans"/>
        <family val="2"/>
      </rPr>
      <t xml:space="preserve">把立</t>
    </r>
    <r>
      <rPr>
        <sz val="9"/>
        <color rgb="FF111111"/>
        <rFont val="Arial"/>
        <family val="0"/>
        <charset val="1"/>
      </rPr>
      <t xml:space="preserve">100</t>
    </r>
    <r>
      <rPr>
        <sz val="9"/>
        <color rgb="FF111111"/>
        <rFont val="DejaVu Sans"/>
        <family val="2"/>
      </rPr>
      <t xml:space="preserve">）</t>
    </r>
  </si>
  <si>
    <t xml:space="preserve">Cervelo</t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</si>
  <si>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454(25</t>
    </r>
    <r>
      <rPr>
        <sz val="9"/>
        <color rgb="FF111111"/>
        <rFont val="DejaVu Sans"/>
        <family val="2"/>
      </rPr>
      <t xml:space="preserve">新款）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</si>
  <si>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C50 (SH)</t>
    </r>
  </si>
  <si>
    <r>
      <rPr>
        <sz val="9"/>
        <color rgb="FF111111"/>
        <rFont val="Arial"/>
        <family val="0"/>
        <charset val="1"/>
      </rPr>
      <t xml:space="preserve">syncros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60</t>
    </r>
    <r>
      <rPr>
        <sz val="9"/>
        <color rgb="FF111111"/>
        <rFont val="DejaVu Sans"/>
        <family val="2"/>
      </rPr>
      <t xml:space="preserve">（</t>
    </r>
    <r>
      <rPr>
        <sz val="9"/>
        <color rgb="FF111111"/>
        <rFont val="Arial"/>
        <family val="0"/>
        <charset val="1"/>
      </rPr>
      <t xml:space="preserve">XDR</t>
    </r>
    <r>
      <rPr>
        <sz val="9"/>
        <color rgb="FF111111"/>
        <rFont val="DejaVu Sans"/>
        <family val="2"/>
      </rPr>
      <t xml:space="preserve">）</t>
    </r>
  </si>
  <si>
    <t xml:space="preserve">syncros</t>
  </si>
  <si>
    <r>
      <rPr>
        <sz val="9"/>
        <color rgb="FF111111"/>
        <rFont val="Arial"/>
        <family val="0"/>
        <charset val="1"/>
      </rPr>
      <t xml:space="preserve">scope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65</t>
    </r>
    <r>
      <rPr>
        <sz val="9"/>
        <color rgb="FF111111"/>
        <rFont val="DejaVu Sans"/>
        <family val="2"/>
      </rPr>
      <t xml:space="preserve">暗标</t>
    </r>
  </si>
  <si>
    <t xml:space="preserve">scope</t>
  </si>
  <si>
    <r>
      <rPr>
        <sz val="9"/>
        <color rgb="FF111111"/>
        <rFont val="Arial"/>
        <family val="0"/>
        <charset val="1"/>
      </rPr>
      <t xml:space="preserve">scope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45</t>
    </r>
    <r>
      <rPr>
        <sz val="9"/>
        <color rgb="FF111111"/>
        <rFont val="DejaVu Sans"/>
        <family val="2"/>
      </rPr>
      <t xml:space="preserve">暗标</t>
    </r>
  </si>
  <si>
    <r>
      <rPr>
        <sz val="9"/>
        <color rgb="FF111111"/>
        <rFont val="Arial"/>
        <family val="0"/>
        <charset val="1"/>
      </rPr>
      <t xml:space="preserve">Natwin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PX5</t>
    </r>
  </si>
  <si>
    <t xml:space="preserve">Natwin</t>
  </si>
  <si>
    <r>
      <rPr>
        <sz val="9"/>
        <color rgb="FF111111"/>
        <rFont val="Arial"/>
        <family val="0"/>
        <charset val="1"/>
      </rPr>
      <t xml:space="preserve">SCOM </t>
    </r>
    <r>
      <rPr>
        <sz val="9"/>
        <color rgb="FF111111"/>
        <rFont val="DejaVu Sans"/>
        <family val="2"/>
      </rPr>
      <t xml:space="preserve">风刃 轮组 </t>
    </r>
    <r>
      <rPr>
        <sz val="9"/>
        <color rgb="FF111111"/>
        <rFont val="Arial"/>
        <family val="0"/>
        <charset val="1"/>
      </rPr>
      <t xml:space="preserve">49/67 </t>
    </r>
    <r>
      <rPr>
        <sz val="9"/>
        <color rgb="FF111111"/>
        <rFont val="DejaVu Sans"/>
        <family val="2"/>
      </rPr>
      <t xml:space="preserve">黑标 碟刹</t>
    </r>
  </si>
  <si>
    <r>
      <rPr>
        <sz val="9"/>
        <color rgb="FF111111"/>
        <rFont val="Arial"/>
        <family val="0"/>
        <charset val="1"/>
      </rPr>
      <t xml:space="preserve">SCOM </t>
    </r>
    <r>
      <rPr>
        <sz val="9"/>
        <color rgb="FF111111"/>
        <rFont val="DejaVu Sans"/>
        <family val="2"/>
      </rPr>
      <t xml:space="preserve">风刃</t>
    </r>
  </si>
  <si>
    <r>
      <rPr>
        <sz val="9"/>
        <color rgb="FF111111"/>
        <rFont val="Arial"/>
        <family val="0"/>
        <charset val="1"/>
      </rPr>
      <t xml:space="preserve">Natwin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PFX5</t>
    </r>
  </si>
  <si>
    <r>
      <rPr>
        <sz val="9"/>
        <color rgb="FF111111"/>
        <rFont val="Arial"/>
        <family val="0"/>
        <charset val="1"/>
      </rPr>
      <t xml:space="preserve">SCOM </t>
    </r>
    <r>
      <rPr>
        <sz val="9"/>
        <color rgb="FF111111"/>
        <rFont val="DejaVu Sans"/>
        <family val="2"/>
      </rPr>
      <t xml:space="preserve">风刃 轮组 </t>
    </r>
    <r>
      <rPr>
        <sz val="9"/>
        <color rgb="FF111111"/>
        <rFont val="Arial"/>
        <family val="0"/>
        <charset val="1"/>
      </rPr>
      <t xml:space="preserve">49/67 </t>
    </r>
    <r>
      <rPr>
        <sz val="9"/>
        <color rgb="FF111111"/>
        <rFont val="DejaVu Sans"/>
        <family val="2"/>
      </rPr>
      <t xml:space="preserve">银标 碟刹</t>
    </r>
  </si>
  <si>
    <r>
      <rPr>
        <sz val="9"/>
        <color rgb="FF111111"/>
        <rFont val="DejaVu Sans"/>
        <family val="2"/>
      </rPr>
      <t xml:space="preserve">静藤 轮组 </t>
    </r>
    <r>
      <rPr>
        <sz val="9"/>
        <color rgb="FF111111"/>
        <rFont val="DejaVu Sans"/>
        <family val="0"/>
        <charset val="134"/>
      </rPr>
      <t xml:space="preserve">LIGHT  D50</t>
    </r>
  </si>
  <si>
    <t xml:space="preserve">静藤</t>
  </si>
  <si>
    <r>
      <rPr>
        <sz val="9"/>
        <color rgb="FF111111"/>
        <rFont val="Arial"/>
        <family val="0"/>
        <charset val="1"/>
      </rPr>
      <t xml:space="preserve">DT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ARC 1100 55</t>
    </r>
    <r>
      <rPr>
        <sz val="9"/>
        <color rgb="FF111111"/>
        <rFont val="DejaVu Sans"/>
        <family val="2"/>
      </rPr>
      <t xml:space="preserve">（第三代）</t>
    </r>
  </si>
  <si>
    <r>
      <rPr>
        <sz val="9"/>
        <color rgb="FF111111"/>
        <rFont val="Arial"/>
        <family val="0"/>
        <charset val="1"/>
      </rPr>
      <t xml:space="preserve">PCW </t>
    </r>
    <r>
      <rPr>
        <sz val="9"/>
        <color rgb="FF111111"/>
        <rFont val="DejaVu Sans"/>
        <family val="2"/>
      </rPr>
      <t xml:space="preserve">轮组 古铜金</t>
    </r>
    <r>
      <rPr>
        <sz val="9"/>
        <color rgb="FF111111"/>
        <rFont val="Arial"/>
        <family val="0"/>
        <charset val="1"/>
      </rPr>
      <t xml:space="preserve">6560</t>
    </r>
  </si>
  <si>
    <r>
      <rPr>
        <sz val="9"/>
        <color rgb="FF111111"/>
        <rFont val="Arial"/>
        <family val="0"/>
        <charset val="1"/>
      </rPr>
      <t xml:space="preserve">scom </t>
    </r>
    <r>
      <rPr>
        <sz val="9"/>
        <color rgb="FF111111"/>
        <rFont val="DejaVu Sans"/>
        <family val="2"/>
      </rPr>
      <t xml:space="preserve">轮组 新款风刃</t>
    </r>
    <r>
      <rPr>
        <sz val="9"/>
        <color rgb="FF111111"/>
        <rFont val="Arial"/>
        <family val="0"/>
        <charset val="1"/>
      </rPr>
      <t xml:space="preserve">62</t>
    </r>
    <r>
      <rPr>
        <sz val="9"/>
        <color rgb="FF111111"/>
        <rFont val="DejaVu Sans"/>
        <family val="2"/>
      </rPr>
      <t xml:space="preserve">（白标）</t>
    </r>
  </si>
  <si>
    <t xml:space="preserve">scom</t>
  </si>
  <si>
    <r>
      <rPr>
        <sz val="9"/>
        <color rgb="FF111111"/>
        <rFont val="Arial"/>
        <family val="0"/>
        <charset val="1"/>
      </rPr>
      <t xml:space="preserve">DT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ARC 1100 65</t>
    </r>
    <r>
      <rPr>
        <sz val="9"/>
        <color rgb="FF111111"/>
        <rFont val="DejaVu Sans"/>
        <family val="2"/>
      </rPr>
      <t xml:space="preserve">（第三代）</t>
    </r>
  </si>
  <si>
    <t xml:space="preserve">链条</t>
  </si>
  <si>
    <r>
      <rPr>
        <sz val="9"/>
        <color rgb="FF111111"/>
        <rFont val="Arial"/>
        <family val="0"/>
        <charset val="1"/>
      </rPr>
      <t xml:space="preserve">RIVAL </t>
    </r>
    <r>
      <rPr>
        <sz val="9"/>
        <color rgb="FF111111"/>
        <rFont val="DejaVu Sans"/>
        <family val="2"/>
      </rPr>
      <t xml:space="preserve">链条 </t>
    </r>
    <r>
      <rPr>
        <sz val="9"/>
        <color rgb="FF111111"/>
        <rFont val="Arial"/>
        <family val="0"/>
        <charset val="1"/>
      </rPr>
      <t xml:space="preserve">E1 </t>
    </r>
    <r>
      <rPr>
        <sz val="9"/>
        <color rgb="FF111111"/>
        <rFont val="DejaVu Sans"/>
        <family val="2"/>
      </rPr>
      <t xml:space="preserve">链条</t>
    </r>
  </si>
  <si>
    <t xml:space="preserve">── 链条 合计</t>
  </si>
  <si>
    <t xml:space="preserve">锁踏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</si>
  <si>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锁踏 </t>
    </r>
    <r>
      <rPr>
        <sz val="9"/>
        <color rgb="FF111111"/>
        <rFont val="Arial"/>
        <family val="0"/>
        <charset val="1"/>
      </rPr>
      <t xml:space="preserve">PDR 9100</t>
    </r>
  </si>
  <si>
    <t xml:space="preserve">── 锁踏 合计</t>
  </si>
  <si>
    <t xml:space="preserve">骑行台</t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</si>
  <si>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KICKR SNAP</t>
    </r>
  </si>
  <si>
    <t xml:space="preserve">WAHOO</t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</si>
  <si>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Kickr Rollr</t>
    </r>
  </si>
  <si>
    <t xml:space="preserve">── 骑行台 合计</t>
  </si>
  <si>
    <t xml:space="preserve">   正常商品  小计</t>
  </si>
  <si>
    <t xml:space="preserve">   套件类</t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</si>
  <si>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套件组 基础配置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</si>
  <si>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套件组 基础配置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</si>
  <si>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套件组 基础配置</t>
    </r>
  </si>
  <si>
    <t xml:space="preserve">105</t>
  </si>
  <si>
    <r>
      <rPr>
        <sz val="9"/>
        <color rgb="FF111111"/>
        <rFont val="Arial"/>
        <family val="0"/>
        <charset val="1"/>
      </rPr>
      <t xml:space="preserve">APEX </t>
    </r>
    <r>
      <rPr>
        <sz val="9"/>
        <color rgb="FF111111"/>
        <rFont val="DejaVu Sans"/>
        <family val="2"/>
      </rPr>
      <t xml:space="preserve">套件组 基本配置</t>
    </r>
  </si>
  <si>
    <t xml:space="preserve">APEX</t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</si>
  <si>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套件组 基础配置无飞轮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</si>
  <si>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套件组 基础配置无飞轮</t>
    </r>
  </si>
  <si>
    <t xml:space="preserve">套件链条</t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</si>
  <si>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8100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</si>
  <si>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M7100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</si>
  <si>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9100</t>
    </r>
  </si>
  <si>
    <r>
      <rPr>
        <sz val="9"/>
        <color rgb="FF111111"/>
        <rFont val="Arial"/>
        <family val="0"/>
        <charset val="1"/>
      </rPr>
      <t xml:space="preserve">RED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E1</t>
    </r>
  </si>
  <si>
    <t xml:space="preserve">RED</t>
  </si>
  <si>
    <t xml:space="preserve">── 套件链条 合计</t>
  </si>
  <si>
    <t xml:space="preserve">套件飞轮</t>
  </si>
  <si>
    <r>
      <rPr>
        <sz val="9"/>
        <color rgb="FF111111"/>
        <rFont val="Arial"/>
        <family val="0"/>
        <charset val="1"/>
      </rPr>
      <t xml:space="preserve">RED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10-36T</t>
    </r>
  </si>
  <si>
    <t xml:space="preserve">── 套件飞轮 合计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</si>
  <si>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170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</si>
  <si>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170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</si>
  <si>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 165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</si>
  <si>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170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</si>
  <si>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165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</si>
  <si>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165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</si>
  <si>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172.5</t>
    </r>
  </si>
  <si>
    <t xml:space="preserve">碟片组</t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</si>
  <si>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CL800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  <r>
      <rPr>
        <sz val="9"/>
        <color rgb="FF111111"/>
        <rFont val="DejaVu Sans"/>
        <family val="2"/>
      </rPr>
      <t xml:space="preserve">】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</si>
  <si>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RT 70</t>
    </r>
    <r>
      <rPr>
        <sz val="9"/>
        <color rgb="FF111111"/>
        <rFont val="DejaVu Sans"/>
        <family val="2"/>
      </rPr>
      <t xml:space="preserve">（对）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</si>
  <si>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CL800  (</t>
    </r>
    <r>
      <rPr>
        <sz val="9"/>
        <color rgb="FF111111"/>
        <rFont val="DejaVu Sans"/>
        <family val="2"/>
      </rPr>
      <t xml:space="preserve">对</t>
    </r>
    <r>
      <rPr>
        <sz val="9"/>
        <color rgb="FF111111"/>
        <rFont val="Arial"/>
        <family val="0"/>
        <charset val="1"/>
      </rPr>
      <t xml:space="preserve">)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</si>
  <si>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RT 70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  <r>
      <rPr>
        <sz val="9"/>
        <color rgb="FF111111"/>
        <rFont val="DejaVu Sans"/>
        <family val="2"/>
      </rPr>
      <t xml:space="preserve">】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</si>
  <si>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碟片组  </t>
    </r>
    <r>
      <rPr>
        <sz val="9"/>
        <color rgb="FF111111"/>
        <rFont val="Arial"/>
        <family val="0"/>
        <charset val="1"/>
      </rPr>
      <t xml:space="preserve">MT900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  <r>
      <rPr>
        <sz val="9"/>
        <color rgb="FF111111"/>
        <rFont val="DejaVu Sans"/>
        <family val="2"/>
      </rPr>
      <t xml:space="preserve">】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</si>
  <si>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CL900  (</t>
    </r>
    <r>
      <rPr>
        <sz val="9"/>
        <color rgb="FF111111"/>
        <rFont val="DejaVu Sans"/>
        <family val="2"/>
      </rPr>
      <t xml:space="preserve">对</t>
    </r>
    <r>
      <rPr>
        <sz val="9"/>
        <color rgb="FF111111"/>
        <rFont val="Arial"/>
        <family val="0"/>
        <charset val="1"/>
      </rPr>
      <t xml:space="preserve">)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</si>
  <si>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MT 900</t>
    </r>
    <r>
      <rPr>
        <sz val="9"/>
        <color rgb="FF111111"/>
        <rFont val="DejaVu Sans"/>
        <family val="2"/>
      </rPr>
      <t xml:space="preserve">（对）</t>
    </r>
  </si>
  <si>
    <t xml:space="preserve">── 碟片组 合计</t>
  </si>
  <si>
    <t xml:space="preserve">   套件类  小计</t>
  </si>
  <si>
    <t xml:space="preserve">   自营产品</t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</si>
  <si>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银标 钢条 </t>
    </r>
    <r>
      <rPr>
        <sz val="9"/>
        <color rgb="FF111111"/>
        <rFont val="Arial"/>
        <family val="0"/>
        <charset val="1"/>
      </rPr>
      <t xml:space="preserve">40</t>
    </r>
  </si>
  <si>
    <t xml:space="preserve">ILLUSION</t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</si>
  <si>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银标 钢条 </t>
    </r>
    <r>
      <rPr>
        <sz val="9"/>
        <color rgb="FF111111"/>
        <rFont val="Arial"/>
        <family val="0"/>
        <charset val="1"/>
      </rPr>
      <t xml:space="preserve">50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</si>
  <si>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银标 钢条 </t>
    </r>
    <r>
      <rPr>
        <sz val="9"/>
        <color rgb="FF111111"/>
        <rFont val="Arial"/>
        <family val="0"/>
        <charset val="1"/>
      </rPr>
      <t xml:space="preserve">4550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</si>
  <si>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【暗标】 钢条 </t>
    </r>
    <r>
      <rPr>
        <sz val="9"/>
        <color rgb="FF111111"/>
        <rFont val="Arial"/>
        <family val="0"/>
        <charset val="1"/>
      </rPr>
      <t xml:space="preserve">50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</si>
  <si>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【暗标】 钢条 </t>
    </r>
    <r>
      <rPr>
        <sz val="9"/>
        <color rgb="FF111111"/>
        <rFont val="Arial"/>
        <family val="0"/>
        <charset val="1"/>
      </rPr>
      <t xml:space="preserve">4550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</si>
  <si>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【暗标】钢条 </t>
    </r>
    <r>
      <rPr>
        <sz val="9"/>
        <color rgb="FF111111"/>
        <rFont val="Arial"/>
        <family val="0"/>
        <charset val="1"/>
      </rPr>
      <t xml:space="preserve">40</t>
    </r>
  </si>
  <si>
    <t xml:space="preserve">   自营产品  小计</t>
  </si>
  <si>
    <t xml:space="preserve">   配件</t>
  </si>
  <si>
    <r>
      <rPr>
        <sz val="9"/>
        <color rgb="FF111111"/>
        <rFont val="Arial"/>
        <family val="0"/>
        <charset val="1"/>
      </rPr>
      <t xml:space="preserve">SHIMANO </t>
    </r>
    <r>
      <rPr>
        <sz val="9"/>
        <color rgb="FF111111"/>
        <rFont val="DejaVu Sans"/>
        <family val="2"/>
      </rPr>
      <t xml:space="preserve">中轴 中轴</t>
    </r>
  </si>
  <si>
    <t xml:space="preserve">SHIMANO</t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</si>
  <si>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钢球轴承 </t>
    </r>
    <r>
      <rPr>
        <sz val="9"/>
        <color rgb="FF111111"/>
        <rFont val="Arial"/>
        <family val="0"/>
        <charset val="1"/>
      </rPr>
      <t xml:space="preserve">T47-68-24R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</si>
  <si>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</si>
  <si>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钢球轴承 </t>
    </r>
    <r>
      <rPr>
        <sz val="9"/>
        <color rgb="FF111111"/>
        <rFont val="Arial"/>
        <family val="0"/>
        <charset val="1"/>
      </rPr>
      <t xml:space="preserve">T47-85.5-24</t>
    </r>
  </si>
  <si>
    <r>
      <rPr>
        <sz val="9"/>
        <color rgb="FF111111"/>
        <rFont val="Arial"/>
        <family val="0"/>
        <charset val="1"/>
      </rPr>
      <t xml:space="preserve">BSA </t>
    </r>
    <r>
      <rPr>
        <sz val="9"/>
        <color rgb="FF111111"/>
        <rFont val="DejaVu Sans"/>
        <family val="2"/>
      </rPr>
      <t xml:space="preserve">中轴 </t>
    </r>
    <r>
      <rPr>
        <sz val="9"/>
        <color rgb="FF111111"/>
        <rFont val="Arial"/>
        <family val="0"/>
        <charset val="1"/>
      </rPr>
      <t xml:space="preserve">BSA</t>
    </r>
    <r>
      <rPr>
        <sz val="9"/>
        <color rgb="FF111111"/>
        <rFont val="DejaVu Sans"/>
        <family val="2"/>
      </rPr>
      <t xml:space="preserve">转</t>
    </r>
    <r>
      <rPr>
        <sz val="9"/>
        <color rgb="FF111111"/>
        <rFont val="Arial"/>
        <family val="0"/>
        <charset val="1"/>
      </rPr>
      <t xml:space="preserve">DUB </t>
    </r>
    <r>
      <rPr>
        <sz val="9"/>
        <color rgb="FF111111"/>
        <rFont val="DejaVu Sans"/>
        <family val="2"/>
      </rPr>
      <t xml:space="preserve">黑色 </t>
    </r>
    <r>
      <rPr>
        <sz val="9"/>
        <color rgb="FF111111"/>
        <rFont val="Arial"/>
        <family val="0"/>
        <charset val="1"/>
      </rPr>
      <t xml:space="preserve">68/73</t>
    </r>
    <r>
      <rPr>
        <sz val="9"/>
        <color rgb="FF111111"/>
        <rFont val="DejaVu Sans"/>
        <family val="2"/>
      </rPr>
      <t xml:space="preserve">（</t>
    </r>
    <r>
      <rPr>
        <sz val="9"/>
        <color rgb="FF111111"/>
        <rFont val="Arial"/>
        <family val="0"/>
        <charset val="1"/>
      </rPr>
      <t xml:space="preserve">BSA 386 DB</t>
    </r>
    <r>
      <rPr>
        <sz val="9"/>
        <color rgb="FF111111"/>
        <rFont val="DejaVu Sans"/>
        <family val="2"/>
      </rPr>
      <t xml:space="preserve">）</t>
    </r>
  </si>
  <si>
    <t xml:space="preserve">BSA</t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</si>
  <si>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 </t>
    </r>
    <r>
      <rPr>
        <sz val="9"/>
        <color rgb="FF111111"/>
        <rFont val="Arial"/>
        <family val="0"/>
        <charset val="1"/>
      </rPr>
      <t xml:space="preserve">ITA  24</t>
    </r>
  </si>
  <si>
    <r>
      <rPr>
        <sz val="9"/>
        <color rgb="FF111111"/>
        <rFont val="Arial"/>
        <family val="0"/>
        <charset val="1"/>
      </rPr>
      <t xml:space="preserve">TTBICYCLE </t>
    </r>
    <r>
      <rPr>
        <sz val="9"/>
        <color rgb="FF111111"/>
        <rFont val="DejaVu Sans"/>
        <family val="2"/>
      </rPr>
      <t xml:space="preserve">中轴 意大利规格</t>
    </r>
  </si>
  <si>
    <t xml:space="preserve">TTBICYCLE</t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</si>
  <si>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  </t>
    </r>
    <r>
      <rPr>
        <sz val="9"/>
        <color rgb="FF111111"/>
        <rFont val="Arial"/>
        <family val="0"/>
        <charset val="1"/>
      </rPr>
      <t xml:space="preserve">ITA 29</t>
    </r>
  </si>
  <si>
    <t xml:space="preserve">其他小配件</t>
  </si>
  <si>
    <r>
      <rPr>
        <sz val="9"/>
        <color rgb="FF111111"/>
        <rFont val="Arial"/>
        <family val="0"/>
        <charset val="1"/>
      </rPr>
      <t xml:space="preserve">AB </t>
    </r>
    <r>
      <rPr>
        <sz val="9"/>
        <color rgb="FF111111"/>
        <rFont val="DejaVu Sans"/>
        <family val="2"/>
      </rPr>
      <t xml:space="preserve">其他小配件 蓝鳞片</t>
    </r>
  </si>
  <si>
    <t xml:space="preserve">AB</t>
  </si>
  <si>
    <r>
      <rPr>
        <sz val="9"/>
        <color rgb="FF111111"/>
        <rFont val="Arial"/>
        <family val="0"/>
        <charset val="1"/>
      </rPr>
      <t xml:space="preserve">RC </t>
    </r>
    <r>
      <rPr>
        <sz val="9"/>
        <color rgb="FF111111"/>
        <rFont val="DejaVu Sans"/>
        <family val="2"/>
      </rPr>
      <t xml:space="preserve">其他小配件 会员礼盒</t>
    </r>
  </si>
  <si>
    <t xml:space="preserve">RC</t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</si>
  <si>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PINA  </t>
    </r>
    <r>
      <rPr>
        <sz val="9"/>
        <color rgb="FF111111"/>
        <rFont val="DejaVu Sans"/>
        <family val="2"/>
      </rPr>
      <t xml:space="preserve">筒轴杆</t>
    </r>
  </si>
  <si>
    <t xml:space="preserve">S-PARTS</t>
  </si>
  <si>
    <t xml:space="preserve">麦急炫 其他小配件 前车灯</t>
  </si>
  <si>
    <t xml:space="preserve">麦急炫</t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</si>
  <si>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中锁碟片压盖</t>
    </r>
  </si>
  <si>
    <r>
      <rPr>
        <sz val="9"/>
        <color rgb="FF111111"/>
        <rFont val="Arial"/>
        <family val="0"/>
        <charset val="1"/>
      </rPr>
      <t xml:space="preserve">S- PARTS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shimano R8150 </t>
    </r>
    <r>
      <rPr>
        <sz val="9"/>
        <color rgb="FF111111"/>
        <rFont val="DejaVu Sans"/>
        <family val="2"/>
      </rPr>
      <t xml:space="preserve">变速传动套装</t>
    </r>
  </si>
  <si>
    <t xml:space="preserve">S- PARTS</t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</si>
  <si>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碟刹套装（</t>
    </r>
    <r>
      <rPr>
        <sz val="9"/>
        <color rgb="FF111111"/>
        <rFont val="Arial"/>
        <family val="0"/>
        <charset val="1"/>
      </rPr>
      <t xml:space="preserve">SHIMANO R8170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</si>
  <si>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棒棒糖锁踏</t>
    </r>
  </si>
  <si>
    <r>
      <rPr>
        <sz val="9"/>
        <color rgb="FF111111"/>
        <rFont val="Arial"/>
        <family val="0"/>
        <charset val="1"/>
      </rPr>
      <t xml:space="preserve">VOSO </t>
    </r>
    <r>
      <rPr>
        <sz val="9"/>
        <color rgb="FF111111"/>
        <rFont val="DejaVu Sans"/>
        <family val="2"/>
      </rPr>
      <t xml:space="preserve">其他小配件 真空气嘴</t>
    </r>
    <r>
      <rPr>
        <sz val="9"/>
        <color rgb="FF111111"/>
        <rFont val="Arial"/>
        <family val="0"/>
        <charset val="1"/>
      </rPr>
      <t xml:space="preserve">70L</t>
    </r>
  </si>
  <si>
    <t xml:space="preserve">VOSO</t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</si>
  <si>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KICKR SNAP 142*12</t>
    </r>
    <r>
      <rPr>
        <sz val="9"/>
        <color rgb="FF111111"/>
        <rFont val="DejaVu Sans"/>
        <family val="2"/>
      </rPr>
      <t xml:space="preserve">筒轴转接器</t>
    </r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</si>
  <si>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碟刹套装（</t>
    </r>
    <r>
      <rPr>
        <sz val="9"/>
        <color rgb="FF111111"/>
        <rFont val="Arial"/>
        <family val="0"/>
        <charset val="1"/>
      </rPr>
      <t xml:space="preserve">SHIMANO R9270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</si>
  <si>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S- PARTS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shimano R9250 </t>
    </r>
    <r>
      <rPr>
        <sz val="9"/>
        <color rgb="FF111111"/>
        <rFont val="DejaVu Sans"/>
        <family val="2"/>
      </rPr>
      <t xml:space="preserve">变速传动套装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</si>
  <si>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其他小配件 水壶架螺丝</t>
    </r>
  </si>
  <si>
    <r>
      <rPr>
        <sz val="9"/>
        <color rgb="FF111111"/>
        <rFont val="DejaVu Sans"/>
        <family val="2"/>
      </rPr>
      <t xml:space="preserve">麦急炫 其他小配件 </t>
    </r>
    <r>
      <rPr>
        <sz val="9"/>
        <color rgb="FF111111"/>
        <rFont val="DejaVu Sans"/>
        <family val="0"/>
        <charset val="134"/>
      </rPr>
      <t xml:space="preserve">MAGICSHINE </t>
    </r>
    <r>
      <rPr>
        <sz val="9"/>
        <color rgb="FF111111"/>
        <rFont val="DejaVu Sans"/>
        <family val="2"/>
      </rPr>
      <t xml:space="preserve">自行车灯</t>
    </r>
  </si>
  <si>
    <t xml:space="preserve">梅花 其他小配件 码表架</t>
  </si>
  <si>
    <t xml:space="preserve">梅花</t>
  </si>
  <si>
    <r>
      <rPr>
        <sz val="9"/>
        <color rgb="FF111111"/>
        <rFont val="Arial"/>
        <family val="0"/>
        <charset val="1"/>
      </rPr>
      <t xml:space="preserve">Cybrei </t>
    </r>
    <r>
      <rPr>
        <sz val="9"/>
        <color rgb="FF111111"/>
        <rFont val="DejaVu Sans"/>
        <family val="2"/>
      </rPr>
      <t xml:space="preserve">其他小配件 盘钉</t>
    </r>
  </si>
  <si>
    <t xml:space="preserve">Cybrei</t>
  </si>
  <si>
    <r>
      <rPr>
        <sz val="9"/>
        <color rgb="FF111111"/>
        <rFont val="Arial"/>
        <family val="0"/>
        <charset val="1"/>
      </rPr>
      <t xml:space="preserve">VACUUM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VACUUM </t>
    </r>
    <r>
      <rPr>
        <sz val="9"/>
        <color rgb="FF111111"/>
        <rFont val="DejaVu Sans"/>
        <family val="2"/>
      </rPr>
      <t xml:space="preserve">自行车手机支架</t>
    </r>
  </si>
  <si>
    <t xml:space="preserve">VACUUM</t>
  </si>
  <si>
    <r>
      <rPr>
        <sz val="9"/>
        <color rgb="FF111111"/>
        <rFont val="Arial"/>
        <family val="0"/>
        <charset val="1"/>
      </rPr>
      <t xml:space="preserve">SRAM </t>
    </r>
    <r>
      <rPr>
        <sz val="9"/>
        <color rgb="FF111111"/>
        <rFont val="DejaVu Sans"/>
        <family val="2"/>
      </rPr>
      <t xml:space="preserve">其他小配件 充电器</t>
    </r>
  </si>
  <si>
    <t xml:space="preserve">SRAM</t>
  </si>
  <si>
    <r>
      <rPr>
        <sz val="9"/>
        <color rgb="FF111111"/>
        <rFont val="Arial"/>
        <family val="0"/>
        <charset val="1"/>
      </rPr>
      <t xml:space="preserve">SRAM </t>
    </r>
    <r>
      <rPr>
        <sz val="9"/>
        <color rgb="FF111111"/>
        <rFont val="DejaVu Sans"/>
        <family val="2"/>
      </rPr>
      <t xml:space="preserve">其他小配件 电池</t>
    </r>
  </si>
  <si>
    <t xml:space="preserve">── 其他小配件 合计</t>
  </si>
  <si>
    <t xml:space="preserve">内胎</t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</si>
  <si>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DejaVu Sans"/>
        <family val="0"/>
        <charset val="134"/>
      </rPr>
      <t xml:space="preserve">25/32C  80mm</t>
    </r>
    <r>
      <rPr>
        <sz val="9"/>
        <color rgb="FF111111"/>
        <rFont val="DejaVu Sans"/>
        <family val="2"/>
      </rPr>
      <t xml:space="preserve">气嘴</t>
    </r>
  </si>
  <si>
    <t xml:space="preserve">正新</t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</si>
  <si>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DejaVu Sans"/>
        <family val="0"/>
        <charset val="134"/>
      </rPr>
      <t xml:space="preserve">18/25C  60mm</t>
    </r>
    <r>
      <rPr>
        <sz val="9"/>
        <color rgb="FF111111"/>
        <rFont val="DejaVu Sans"/>
        <family val="2"/>
      </rPr>
      <t xml:space="preserve">气嘴</t>
    </r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</si>
  <si>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DejaVu Sans"/>
        <family val="0"/>
        <charset val="134"/>
      </rPr>
      <t xml:space="preserve">35/43C  80mm</t>
    </r>
    <r>
      <rPr>
        <sz val="9"/>
        <color rgb="FF111111"/>
        <rFont val="DejaVu Sans"/>
        <family val="2"/>
      </rPr>
      <t xml:space="preserve">气嘴</t>
    </r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</si>
  <si>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DejaVu Sans"/>
        <family val="0"/>
        <charset val="134"/>
      </rPr>
      <t xml:space="preserve">29*1.9/2.35</t>
    </r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</si>
  <si>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DejaVu Sans"/>
        <family val="0"/>
        <charset val="134"/>
      </rPr>
      <t xml:space="preserve">18/25C  80mm</t>
    </r>
    <r>
      <rPr>
        <sz val="9"/>
        <color rgb="FF111111"/>
        <rFont val="DejaVu Sans"/>
        <family val="2"/>
      </rPr>
      <t xml:space="preserve">气嘴</t>
    </r>
  </si>
  <si>
    <t xml:space="preserve">── 内胎 合计</t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</si>
  <si>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 </t>
    </r>
    <r>
      <rPr>
        <sz val="9"/>
        <color rgb="FF111111"/>
        <rFont val="DejaVu Sans"/>
        <family val="2"/>
      </rPr>
      <t xml:space="preserve">特别版 紫白色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</si>
  <si>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MISTRAL </t>
    </r>
    <r>
      <rPr>
        <sz val="9"/>
        <color rgb="FF111111"/>
        <rFont val="DejaVu Sans"/>
        <family val="2"/>
      </rPr>
      <t xml:space="preserve">黑红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</si>
  <si>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KASK MAAP </t>
    </r>
    <r>
      <rPr>
        <sz val="9"/>
        <color rgb="FF111111"/>
        <rFont val="DejaVu Sans"/>
        <family val="2"/>
      </rPr>
      <t xml:space="preserve">绿色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</si>
  <si>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咖啡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</si>
  <si>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KASK MAAP </t>
    </r>
    <r>
      <rPr>
        <sz val="9"/>
        <color rgb="FF111111"/>
        <rFont val="DejaVu Sans"/>
        <family val="2"/>
      </rPr>
      <t xml:space="preserve">绿色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</si>
  <si>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Elemento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</si>
  <si>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Elemento </t>
    </r>
    <r>
      <rPr>
        <sz val="9"/>
        <color rgb="FF111111"/>
        <rFont val="DejaVu Sans"/>
        <family val="2"/>
      </rPr>
      <t xml:space="preserve">黑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</si>
  <si>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NIRVANA </t>
    </r>
    <r>
      <rPr>
        <sz val="9"/>
        <color rgb="FF111111"/>
        <rFont val="DejaVu Sans"/>
        <family val="2"/>
      </rPr>
      <t xml:space="preserve">火爆樱桃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</si>
  <si>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哑光灰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</si>
  <si>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KASK MAAP </t>
    </r>
    <r>
      <rPr>
        <sz val="9"/>
        <color rgb="FF111111"/>
        <rFont val="DejaVu Sans"/>
        <family val="2"/>
      </rPr>
      <t xml:space="preserve">绿色 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</si>
  <si>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KASK MAAP </t>
    </r>
    <r>
      <rPr>
        <sz val="9"/>
        <color rgb="FF111111"/>
        <rFont val="DejaVu Sans"/>
        <family val="2"/>
      </rPr>
      <t xml:space="preserve">紫色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</si>
  <si>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Elemento </t>
    </r>
    <r>
      <rPr>
        <sz val="9"/>
        <color rgb="FF111111"/>
        <rFont val="DejaVu Sans"/>
        <family val="2"/>
      </rPr>
      <t xml:space="preserve">红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</si>
  <si>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灰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</si>
  <si>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</si>
  <si>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</t>
    </r>
    <r>
      <rPr>
        <sz val="9"/>
        <color rgb="FF111111"/>
        <rFont val="DejaVu Sans"/>
        <family val="2"/>
      </rPr>
      <t xml:space="preserve">亮光黑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</si>
  <si>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</t>
    </r>
    <r>
      <rPr>
        <sz val="9"/>
        <color rgb="FF111111"/>
        <rFont val="DejaVu Sans"/>
        <family val="2"/>
      </rPr>
      <t xml:space="preserve">哑黑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</si>
  <si>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哑灰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</si>
  <si>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</t>
    </r>
    <r>
      <rPr>
        <sz val="9"/>
        <color rgb="FF111111"/>
        <rFont val="DejaVu Sans"/>
        <family val="2"/>
      </rPr>
      <t xml:space="preserve">橙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</si>
  <si>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灰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</si>
  <si>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磨砂绿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</si>
  <si>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熔岩红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</si>
  <si>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消光白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</si>
  <si>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LEM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Cipressa Af </t>
    </r>
    <r>
      <rPr>
        <sz val="9"/>
        <color rgb="FF111111"/>
        <rFont val="DejaVu Sans"/>
        <family val="2"/>
      </rPr>
      <t xml:space="preserve">黑 </t>
    </r>
    <r>
      <rPr>
        <sz val="9"/>
        <color rgb="FF111111"/>
        <rFont val="Arial"/>
        <family val="0"/>
        <charset val="1"/>
      </rPr>
      <t xml:space="preserve">M</t>
    </r>
  </si>
  <si>
    <t xml:space="preserve">LEM</t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</si>
  <si>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NIRVANA </t>
    </r>
    <r>
      <rPr>
        <sz val="9"/>
        <color rgb="FF111111"/>
        <rFont val="DejaVu Sans"/>
        <family val="2"/>
      </rPr>
      <t xml:space="preserve">淡莓蓝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</si>
  <si>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Paul Smith*VALEGRO</t>
    </r>
    <r>
      <rPr>
        <sz val="9"/>
        <color rgb="FF111111"/>
        <rFont val="DejaVu Sans"/>
        <family val="2"/>
      </rPr>
      <t xml:space="preserve">星空紫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</si>
  <si>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</t>
    </r>
    <r>
      <rPr>
        <sz val="9"/>
        <color rgb="FF111111"/>
        <rFont val="DejaVu Sans"/>
        <family val="2"/>
      </rPr>
      <t xml:space="preserve">哑光黑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</si>
  <si>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 </t>
    </r>
    <r>
      <rPr>
        <sz val="9"/>
        <color rgb="FF111111"/>
        <rFont val="DejaVu Sans"/>
        <family val="2"/>
      </rPr>
      <t xml:space="preserve">特别版 紫白色 </t>
    </r>
    <r>
      <rPr>
        <sz val="9"/>
        <color rgb="FF111111"/>
        <rFont val="Arial"/>
        <family val="0"/>
        <charset val="1"/>
      </rPr>
      <t xml:space="preserve">M</t>
    </r>
  </si>
  <si>
    <t xml:space="preserve">把带</t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</si>
  <si>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黑白</t>
    </r>
  </si>
  <si>
    <t xml:space="preserve">GUEE</t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</si>
  <si>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把带 黑色 塑料袋包装</t>
    </r>
  </si>
  <si>
    <r>
      <rPr>
        <sz val="9"/>
        <color rgb="FF111111"/>
        <rFont val="Arial"/>
        <family val="0"/>
        <charset val="1"/>
      </rPr>
      <t xml:space="preserve">BURGH </t>
    </r>
    <r>
      <rPr>
        <sz val="9"/>
        <color rgb="FF111111"/>
        <rFont val="DejaVu Sans"/>
        <family val="2"/>
      </rPr>
      <t xml:space="preserve">把带 黑底白色花纹款</t>
    </r>
  </si>
  <si>
    <t xml:space="preserve">BURGH</t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</si>
  <si>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白色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</si>
  <si>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金色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</si>
  <si>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粉色</t>
    </r>
  </si>
  <si>
    <r>
      <rPr>
        <sz val="9"/>
        <color rgb="FF111111"/>
        <rFont val="Arial"/>
        <family val="0"/>
        <charset val="1"/>
      </rPr>
      <t xml:space="preserve">NPY </t>
    </r>
    <r>
      <rPr>
        <sz val="9"/>
        <color rgb="FF111111"/>
        <rFont val="DejaVu Sans"/>
        <family val="2"/>
      </rPr>
      <t xml:space="preserve">把带 塑料盒包装</t>
    </r>
  </si>
  <si>
    <t xml:space="preserve">NPY</t>
  </si>
  <si>
    <r>
      <rPr>
        <sz val="9"/>
        <color rgb="FF111111"/>
        <rFont val="Arial"/>
        <family val="0"/>
        <charset val="1"/>
      </rPr>
      <t xml:space="preserve">NPY </t>
    </r>
    <r>
      <rPr>
        <sz val="9"/>
        <color rgb="FF111111"/>
        <rFont val="DejaVu Sans"/>
        <family val="2"/>
      </rPr>
      <t xml:space="preserve">把带 塑料板塑封包装（白色）</t>
    </r>
  </si>
  <si>
    <r>
      <rPr>
        <sz val="9"/>
        <color rgb="FF111111"/>
        <rFont val="Arial"/>
        <family val="0"/>
        <charset val="1"/>
      </rPr>
      <t xml:space="preserve">NPY </t>
    </r>
    <r>
      <rPr>
        <sz val="9"/>
        <color rgb="FF111111"/>
        <rFont val="DejaVu Sans"/>
        <family val="2"/>
      </rPr>
      <t xml:space="preserve">把带 塑料板塑封包装（黑色）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</si>
  <si>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灰色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</si>
  <si>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银色花纹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</si>
  <si>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红色</t>
    </r>
  </si>
  <si>
    <r>
      <rPr>
        <sz val="9"/>
        <color rgb="FF111111"/>
        <rFont val="Arial"/>
        <family val="0"/>
        <charset val="1"/>
      </rPr>
      <t xml:space="preserve">NPY </t>
    </r>
    <r>
      <rPr>
        <sz val="9"/>
        <color rgb="FF111111"/>
        <rFont val="DejaVu Sans"/>
        <family val="2"/>
      </rPr>
      <t xml:space="preserve">把带 塑料袋包装</t>
    </r>
  </si>
  <si>
    <t xml:space="preserve">── 把带 合计</t>
  </si>
  <si>
    <t xml:space="preserve">眼镜</t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</si>
  <si>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RCC PT </t>
    </r>
    <r>
      <rPr>
        <sz val="9"/>
        <color rgb="FF111111"/>
        <rFont val="DejaVu Sans"/>
        <family val="2"/>
      </rPr>
      <t xml:space="preserve">黑</t>
    </r>
  </si>
  <si>
    <t xml:space="preserve">Rapha</t>
  </si>
  <si>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黄白</t>
    </r>
  </si>
  <si>
    <t xml:space="preserve">KOO</t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</si>
  <si>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Rapha pro team </t>
    </r>
    <r>
      <rPr>
        <sz val="9"/>
        <color rgb="FF111111"/>
        <rFont val="DejaVu Sans"/>
        <family val="2"/>
      </rPr>
      <t xml:space="preserve">海军蓝</t>
    </r>
  </si>
  <si>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白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</si>
  <si>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Rapha pro team </t>
    </r>
    <r>
      <rPr>
        <sz val="9"/>
        <color rgb="FF111111"/>
        <rFont val="DejaVu Sans"/>
        <family val="2"/>
      </rPr>
      <t xml:space="preserve">白色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</si>
  <si>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无边框 </t>
    </r>
    <r>
      <rPr>
        <sz val="9"/>
        <color rgb="FF111111"/>
        <rFont val="Arial"/>
        <family val="0"/>
        <charset val="1"/>
      </rPr>
      <t xml:space="preserve">1800</t>
    </r>
    <r>
      <rPr>
        <sz val="9"/>
        <color rgb="FF111111"/>
        <rFont val="DejaVu Sans"/>
        <family val="2"/>
      </rPr>
      <t xml:space="preserve">元无边框有原盒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</si>
  <si>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无边框 在</t>
    </r>
    <r>
      <rPr>
        <sz val="9"/>
        <color rgb="FF111111"/>
        <rFont val="Arial"/>
        <family val="0"/>
        <charset val="1"/>
      </rPr>
      <t xml:space="preserve">ROO</t>
    </r>
    <r>
      <rPr>
        <sz val="9"/>
        <color rgb="FF111111"/>
        <rFont val="DejaVu Sans"/>
        <family val="2"/>
      </rPr>
      <t xml:space="preserve">盒子里面</t>
    </r>
  </si>
  <si>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果冻白</t>
    </r>
  </si>
  <si>
    <t xml:space="preserve">Kplus</t>
  </si>
  <si>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KOO</t>
    </r>
    <r>
      <rPr>
        <sz val="9"/>
        <color rgb="FF111111"/>
        <rFont val="DejaVu Sans"/>
        <family val="2"/>
      </rPr>
      <t xml:space="preserve">白腿无框蓝片</t>
    </r>
  </si>
  <si>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松柏红</t>
    </r>
  </si>
  <si>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烟熏灰</t>
    </r>
  </si>
  <si>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白框透明片 </t>
    </r>
    <r>
      <rPr>
        <sz val="9"/>
        <color rgb="FF111111"/>
        <rFont val="Arial"/>
        <family val="0"/>
        <charset val="1"/>
      </rPr>
      <t xml:space="preserve">VCCA</t>
    </r>
    <r>
      <rPr>
        <sz val="9"/>
        <color rgb="FF111111"/>
        <rFont val="DejaVu Sans"/>
        <family val="2"/>
      </rPr>
      <t xml:space="preserve">系列</t>
    </r>
  </si>
  <si>
    <t xml:space="preserve">GRC</t>
  </si>
  <si>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藏蓝色</t>
    </r>
  </si>
  <si>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黑框红片 </t>
    </r>
    <r>
      <rPr>
        <sz val="9"/>
        <color rgb="FF111111"/>
        <rFont val="Arial"/>
        <family val="0"/>
        <charset val="1"/>
      </rPr>
      <t xml:space="preserve">VCCA</t>
    </r>
    <r>
      <rPr>
        <sz val="9"/>
        <color rgb="FF111111"/>
        <rFont val="DejaVu Sans"/>
        <family val="2"/>
      </rPr>
      <t xml:space="preserve">系列</t>
    </r>
  </si>
  <si>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灰框透明片 </t>
    </r>
    <r>
      <rPr>
        <sz val="9"/>
        <color rgb="FF111111"/>
        <rFont val="Arial"/>
        <family val="0"/>
        <charset val="1"/>
      </rPr>
      <t xml:space="preserve">THCH</t>
    </r>
    <r>
      <rPr>
        <sz val="9"/>
        <color rgb="FF111111"/>
        <rFont val="DejaVu Sans"/>
        <family val="2"/>
      </rPr>
      <t xml:space="preserve">系列</t>
    </r>
  </si>
  <si>
    <t xml:space="preserve">── 眼镜 合计</t>
  </si>
  <si>
    <t xml:space="preserve">骑行服</t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</si>
  <si>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断码</t>
    </r>
    <r>
      <rPr>
        <sz val="9"/>
        <color rgb="FF111111"/>
        <rFont val="Arial"/>
        <family val="0"/>
        <charset val="1"/>
      </rPr>
      <t xml:space="preserve">T</t>
    </r>
    <r>
      <rPr>
        <sz val="9"/>
        <color rgb="FF111111"/>
        <rFont val="DejaVu Sans"/>
        <family val="2"/>
      </rPr>
      <t xml:space="preserve">恤 </t>
    </r>
    <r>
      <rPr>
        <sz val="9"/>
        <color rgb="FF111111"/>
        <rFont val="Arial"/>
        <family val="0"/>
        <charset val="1"/>
      </rPr>
      <t xml:space="preserve">¥888</t>
    </r>
  </si>
  <si>
    <t xml:space="preserve">RAPHA</t>
  </si>
  <si>
    <r>
      <rPr>
        <sz val="9"/>
        <color rgb="FF111111"/>
        <rFont val="DejaVu Sans"/>
        <family val="2"/>
      </rPr>
      <t xml:space="preserve">其他 骑行服 断码骑行短裤 </t>
    </r>
    <r>
      <rPr>
        <sz val="9"/>
        <color rgb="FF111111"/>
        <rFont val="DejaVu Sans"/>
        <family val="0"/>
        <charset val="134"/>
      </rPr>
      <t xml:space="preserve">¥1298</t>
    </r>
  </si>
  <si>
    <t xml:space="preserve">其他</t>
  </si>
  <si>
    <r>
      <rPr>
        <sz val="9"/>
        <color rgb="FF111111"/>
        <rFont val="Arial"/>
        <family val="0"/>
        <charset val="1"/>
      </rPr>
      <t xml:space="preserve">VB </t>
    </r>
    <r>
      <rPr>
        <sz val="9"/>
        <color rgb="FF111111"/>
        <rFont val="DejaVu Sans"/>
        <family val="2"/>
      </rPr>
      <t xml:space="preserve">骑行服 短袖上衣</t>
    </r>
    <r>
      <rPr>
        <sz val="9"/>
        <color rgb="FF111111"/>
        <rFont val="Arial"/>
        <family val="0"/>
        <charset val="1"/>
      </rPr>
      <t xml:space="preserve">T</t>
    </r>
    <r>
      <rPr>
        <sz val="9"/>
        <color rgb="FF111111"/>
        <rFont val="DejaVu Sans"/>
        <family val="2"/>
      </rPr>
      <t xml:space="preserve">恤 </t>
    </r>
    <r>
      <rPr>
        <sz val="9"/>
        <color rgb="FF111111"/>
        <rFont val="Arial"/>
        <family val="0"/>
        <charset val="1"/>
      </rPr>
      <t xml:space="preserve">¥2080</t>
    </r>
  </si>
  <si>
    <t xml:space="preserve">VB</t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</si>
  <si>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短袖 </t>
    </r>
    <r>
      <rPr>
        <sz val="9"/>
        <color rgb="FF111111"/>
        <rFont val="Arial"/>
        <family val="0"/>
        <charset val="1"/>
      </rPr>
      <t xml:space="preserve">¥1599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</si>
  <si>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七分骑行裤 </t>
    </r>
    <r>
      <rPr>
        <sz val="9"/>
        <color rgb="FF111111"/>
        <rFont val="Arial"/>
        <family val="0"/>
        <charset val="1"/>
      </rPr>
      <t xml:space="preserve">BSL ¥2360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</si>
  <si>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拖鞋</t>
    </r>
  </si>
  <si>
    <t xml:space="preserve">RCC</t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</si>
  <si>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马甲 </t>
    </r>
    <r>
      <rPr>
        <sz val="9"/>
        <color rgb="FF111111"/>
        <rFont val="Arial"/>
        <family val="0"/>
        <charset val="1"/>
      </rPr>
      <t xml:space="preserve">BIG ¥1720</t>
    </r>
    <r>
      <rPr>
        <sz val="9"/>
        <color rgb="FF111111"/>
        <rFont val="DejaVu Sans"/>
        <family val="2"/>
      </rPr>
      <t xml:space="preserve">（厚）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</si>
  <si>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连体骑行裤 </t>
    </r>
    <r>
      <rPr>
        <sz val="9"/>
        <color rgb="FF111111"/>
        <rFont val="Arial"/>
        <family val="0"/>
        <charset val="1"/>
      </rPr>
      <t xml:space="preserve">¥2450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</si>
  <si>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风衣 </t>
    </r>
    <r>
      <rPr>
        <sz val="9"/>
        <color rgb="FF111111"/>
        <rFont val="Arial"/>
        <family val="0"/>
        <charset val="1"/>
      </rPr>
      <t xml:space="preserve">CRR ¥1430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</si>
  <si>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长裤 </t>
    </r>
    <r>
      <rPr>
        <sz val="9"/>
        <color rgb="FF111111"/>
        <rFont val="Arial"/>
        <family val="0"/>
        <charset val="1"/>
      </rPr>
      <t xml:space="preserve">AHO ¥1560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</si>
  <si>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骑行裤 </t>
    </r>
    <r>
      <rPr>
        <sz val="9"/>
        <color rgb="FF111111"/>
        <rFont val="Arial"/>
        <family val="0"/>
        <charset val="1"/>
      </rPr>
      <t xml:space="preserve">¥2900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</si>
  <si>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队版连体服 （</t>
    </r>
    <r>
      <rPr>
        <sz val="9"/>
        <color rgb="FF111111"/>
        <rFont val="Arial"/>
        <family val="0"/>
        <charset val="1"/>
      </rPr>
      <t xml:space="preserve">UAEM012R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L</t>
    </r>
    <r>
      <rPr>
        <sz val="9"/>
        <color rgb="FF111111"/>
        <rFont val="DejaVu Sans"/>
        <family val="2"/>
      </rPr>
      <t xml:space="preserve">码</t>
    </r>
  </si>
  <si>
    <t xml:space="preserve">PISSEI</t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</si>
  <si>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队版连体服 （</t>
    </r>
    <r>
      <rPr>
        <sz val="9"/>
        <color rgb="FF111111"/>
        <rFont val="Arial"/>
        <family val="0"/>
        <charset val="1"/>
      </rPr>
      <t xml:space="preserve">UAEM012R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XL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</si>
  <si>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葡萄牙国家冠军 连体服（</t>
    </r>
    <r>
      <rPr>
        <sz val="9"/>
        <color rgb="FF111111"/>
        <rFont val="Arial"/>
        <family val="0"/>
        <charset val="1"/>
      </rPr>
      <t xml:space="preserve">UAEM012PR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XXL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</si>
  <si>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马甲 </t>
    </r>
    <r>
      <rPr>
        <sz val="9"/>
        <color rgb="FF111111"/>
        <rFont val="Arial"/>
        <family val="0"/>
        <charset val="1"/>
      </rPr>
      <t xml:space="preserve">BGL ¥1220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</si>
  <si>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短袖</t>
    </r>
    <r>
      <rPr>
        <sz val="9"/>
        <color rgb="FF111111"/>
        <rFont val="Arial"/>
        <family val="0"/>
        <charset val="1"/>
      </rPr>
      <t xml:space="preserve">T</t>
    </r>
    <r>
      <rPr>
        <sz val="9"/>
        <color rgb="FF111111"/>
        <rFont val="DejaVu Sans"/>
        <family val="2"/>
      </rPr>
      <t xml:space="preserve">恤 </t>
    </r>
    <r>
      <rPr>
        <sz val="9"/>
        <color rgb="FF111111"/>
        <rFont val="Arial"/>
        <family val="0"/>
        <charset val="1"/>
      </rPr>
      <t xml:space="preserve">¥1220</t>
    </r>
  </si>
  <si>
    <r>
      <rPr>
        <sz val="9"/>
        <color rgb="FF111111"/>
        <rFont val="Arial"/>
        <family val="0"/>
        <charset val="1"/>
      </rPr>
      <t xml:space="preserve">VB </t>
    </r>
    <r>
      <rPr>
        <sz val="9"/>
        <color rgb="FF111111"/>
        <rFont val="DejaVu Sans"/>
        <family val="2"/>
      </rPr>
      <t xml:space="preserve">骑行服 连体骑行短裤 </t>
    </r>
    <r>
      <rPr>
        <sz val="9"/>
        <color rgb="FF111111"/>
        <rFont val="Arial"/>
        <family val="0"/>
        <charset val="1"/>
      </rPr>
      <t xml:space="preserve">¥2280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</si>
  <si>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长袖上衣 </t>
    </r>
    <r>
      <rPr>
        <sz val="9"/>
        <color rgb="FF111111"/>
        <rFont val="Arial"/>
        <family val="0"/>
        <charset val="1"/>
      </rPr>
      <t xml:space="preserve">BJR ¥1850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</si>
  <si>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卫衣 </t>
    </r>
    <r>
      <rPr>
        <sz val="9"/>
        <color rgb="FF111111"/>
        <rFont val="Arial"/>
        <family val="0"/>
        <charset val="1"/>
      </rPr>
      <t xml:space="preserve">LPH ¥868</t>
    </r>
  </si>
  <si>
    <r>
      <rPr>
        <sz val="9"/>
        <color rgb="FF111111"/>
        <rFont val="DejaVu Sans"/>
        <family val="2"/>
      </rPr>
      <t xml:space="preserve">其他 骑行服 断码风衣 </t>
    </r>
    <r>
      <rPr>
        <sz val="9"/>
        <color rgb="FF111111"/>
        <rFont val="DejaVu Sans"/>
        <family val="0"/>
        <charset val="134"/>
      </rPr>
      <t xml:space="preserve">¥1650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</si>
  <si>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断码风衣 </t>
    </r>
    <r>
      <rPr>
        <sz val="9"/>
        <color rgb="FF111111"/>
        <rFont val="Arial"/>
        <family val="0"/>
        <charset val="1"/>
      </rPr>
      <t xml:space="preserve">¥1599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</si>
  <si>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长袖上衣 </t>
    </r>
    <r>
      <rPr>
        <sz val="9"/>
        <color rgb="FF111111"/>
        <rFont val="Arial"/>
        <family val="0"/>
        <charset val="1"/>
      </rPr>
      <t xml:space="preserve">CLL ¥1560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</si>
  <si>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袜子 </t>
    </r>
    <r>
      <rPr>
        <sz val="9"/>
        <color rgb="FF111111"/>
        <rFont val="Arial"/>
        <family val="0"/>
        <charset val="1"/>
      </rPr>
      <t xml:space="preserve">¥199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</si>
  <si>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</t>
    </r>
    <r>
      <rPr>
        <sz val="9"/>
        <color rgb="FF111111"/>
        <rFont val="Arial"/>
        <family val="0"/>
        <charset val="1"/>
      </rPr>
      <t xml:space="preserve">UAE  RACE </t>
    </r>
    <r>
      <rPr>
        <sz val="9"/>
        <color rgb="FF111111"/>
        <rFont val="DejaVu Sans"/>
        <family val="2"/>
      </rPr>
      <t xml:space="preserve">短袖上衣 （</t>
    </r>
    <r>
      <rPr>
        <sz val="9"/>
        <color rgb="FF111111"/>
        <rFont val="Arial"/>
        <family val="0"/>
        <charset val="1"/>
      </rPr>
      <t xml:space="preserve">UAEM0CH</t>
    </r>
    <r>
      <rPr>
        <sz val="9"/>
        <color rgb="FF111111"/>
        <rFont val="DejaVu Sans"/>
        <family val="2"/>
      </rPr>
      <t xml:space="preserve">） </t>
    </r>
    <r>
      <rPr>
        <sz val="9"/>
        <color rgb="FF111111"/>
        <rFont val="Arial"/>
        <family val="0"/>
        <charset val="1"/>
      </rPr>
      <t xml:space="preserve">M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</si>
  <si>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</t>
    </r>
    <r>
      <rPr>
        <sz val="9"/>
        <color rgb="FF111111"/>
        <rFont val="Arial"/>
        <family val="0"/>
        <charset val="1"/>
      </rPr>
      <t xml:space="preserve">UAE  RACE </t>
    </r>
    <r>
      <rPr>
        <sz val="9"/>
        <color rgb="FF111111"/>
        <rFont val="DejaVu Sans"/>
        <family val="2"/>
      </rPr>
      <t xml:space="preserve">短袖上衣 （</t>
    </r>
    <r>
      <rPr>
        <sz val="9"/>
        <color rgb="FF111111"/>
        <rFont val="Arial"/>
        <family val="0"/>
        <charset val="1"/>
      </rPr>
      <t xml:space="preserve">UAEM0CH</t>
    </r>
    <r>
      <rPr>
        <sz val="9"/>
        <color rgb="FF111111"/>
        <rFont val="DejaVu Sans"/>
        <family val="2"/>
      </rPr>
      <t xml:space="preserve">） </t>
    </r>
    <r>
      <rPr>
        <sz val="9"/>
        <color rgb="FF111111"/>
        <rFont val="Arial"/>
        <family val="0"/>
        <charset val="1"/>
      </rPr>
      <t xml:space="preserve">XL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</si>
  <si>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</t>
    </r>
    <r>
      <rPr>
        <sz val="9"/>
        <color rgb="FF111111"/>
        <rFont val="Arial"/>
        <family val="0"/>
        <charset val="1"/>
      </rPr>
      <t xml:space="preserve">UAE  RACE </t>
    </r>
    <r>
      <rPr>
        <sz val="9"/>
        <color rgb="FF111111"/>
        <rFont val="DejaVu Sans"/>
        <family val="2"/>
      </rPr>
      <t xml:space="preserve">短袖上衣 （</t>
    </r>
    <r>
      <rPr>
        <sz val="9"/>
        <color rgb="FF111111"/>
        <rFont val="Arial"/>
        <family val="0"/>
        <charset val="1"/>
      </rPr>
      <t xml:space="preserve">UAEM0CH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L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</si>
  <si>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 </t>
    </r>
    <r>
      <rPr>
        <sz val="9"/>
        <color rgb="FF111111"/>
        <rFont val="Arial"/>
        <family val="0"/>
        <charset val="1"/>
      </rPr>
      <t xml:space="preserve">RACE </t>
    </r>
    <r>
      <rPr>
        <sz val="9"/>
        <color rgb="FF111111"/>
        <rFont val="DejaVu Sans"/>
        <family val="2"/>
      </rPr>
      <t xml:space="preserve">短袖上衣 （</t>
    </r>
    <r>
      <rPr>
        <sz val="9"/>
        <color rgb="FF111111"/>
        <rFont val="Arial"/>
        <family val="0"/>
        <charset val="1"/>
      </rPr>
      <t xml:space="preserve">UAEM0CH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</si>
  <si>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葡萄牙国家冠军 </t>
    </r>
    <r>
      <rPr>
        <sz val="9"/>
        <color rgb="FF111111"/>
        <rFont val="Arial"/>
        <family val="0"/>
        <charset val="1"/>
      </rPr>
      <t xml:space="preserve">RACE </t>
    </r>
    <r>
      <rPr>
        <sz val="9"/>
        <color rgb="FF111111"/>
        <rFont val="DejaVu Sans"/>
        <family val="2"/>
      </rPr>
      <t xml:space="preserve">短袖上衣（</t>
    </r>
    <r>
      <rPr>
        <sz val="9"/>
        <color rgb="FF111111"/>
        <rFont val="Arial"/>
        <family val="0"/>
        <charset val="1"/>
      </rPr>
      <t xml:space="preserve">UAEM01P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</si>
  <si>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马甲 </t>
    </r>
    <r>
      <rPr>
        <sz val="9"/>
        <color rgb="FF111111"/>
        <rFont val="Arial"/>
        <family val="0"/>
        <charset val="1"/>
      </rPr>
      <t xml:space="preserve">¥1000</t>
    </r>
  </si>
  <si>
    <r>
      <rPr>
        <sz val="9"/>
        <color rgb="FF111111"/>
        <rFont val="DejaVu Sans"/>
        <family val="2"/>
      </rPr>
      <t xml:space="preserve">其他 骑行服 断码外套 </t>
    </r>
    <r>
      <rPr>
        <sz val="9"/>
        <color rgb="FF111111"/>
        <rFont val="DejaVu Sans"/>
        <family val="0"/>
        <charset val="134"/>
      </rPr>
      <t xml:space="preserve">¥888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</si>
  <si>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粉色短袖 </t>
    </r>
    <r>
      <rPr>
        <sz val="9"/>
        <color rgb="FF111111"/>
        <rFont val="Arial"/>
        <family val="0"/>
        <charset val="1"/>
      </rPr>
      <t xml:space="preserve">¥830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</si>
  <si>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手套黑色带光条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</si>
  <si>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队版马甲 （</t>
    </r>
    <r>
      <rPr>
        <sz val="9"/>
        <color rgb="FF111111"/>
        <rFont val="Arial"/>
        <family val="0"/>
        <charset val="1"/>
      </rPr>
      <t xml:space="preserve">UAEM06R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</si>
  <si>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队版马甲 （</t>
    </r>
    <r>
      <rPr>
        <sz val="9"/>
        <color rgb="FF111111"/>
        <rFont val="Arial"/>
        <family val="0"/>
        <charset val="1"/>
      </rPr>
      <t xml:space="preserve">UAEM06R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</si>
  <si>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队版马甲 （</t>
    </r>
    <r>
      <rPr>
        <sz val="9"/>
        <color rgb="FF111111"/>
        <rFont val="Arial"/>
        <family val="0"/>
        <charset val="1"/>
      </rPr>
      <t xml:space="preserve">UAEM06R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XXS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</si>
  <si>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HIRZL </t>
    </r>
    <r>
      <rPr>
        <sz val="9"/>
        <color rgb="FF111111"/>
        <rFont val="DejaVu Sans"/>
        <family val="2"/>
      </rPr>
      <t xml:space="preserve">骑行服 </t>
    </r>
    <r>
      <rPr>
        <sz val="9"/>
        <color rgb="FF111111"/>
        <rFont val="Arial"/>
        <family val="0"/>
        <charset val="1"/>
      </rPr>
      <t xml:space="preserve">GRIPPP TOUR 2.0 </t>
    </r>
    <r>
      <rPr>
        <sz val="9"/>
        <color rgb="FF111111"/>
        <rFont val="DejaVu Sans"/>
        <family val="2"/>
      </rPr>
      <t xml:space="preserve">手套</t>
    </r>
  </si>
  <si>
    <t xml:space="preserve">HIRZL</t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</si>
  <si>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队版夏季骑行手套 </t>
    </r>
    <r>
      <rPr>
        <sz val="9"/>
        <color rgb="FF111111"/>
        <rFont val="Arial"/>
        <family val="0"/>
        <charset val="1"/>
      </rPr>
      <t xml:space="preserve">XS</t>
    </r>
  </si>
  <si>
    <r>
      <rPr>
        <sz val="9"/>
        <color rgb="FF111111"/>
        <rFont val="Arial"/>
        <family val="0"/>
        <charset val="1"/>
      </rPr>
      <t xml:space="preserve">Turtle Rabbit </t>
    </r>
    <r>
      <rPr>
        <sz val="9"/>
        <color rgb="FF111111"/>
        <rFont val="DejaVu Sans"/>
        <family val="2"/>
      </rPr>
      <t xml:space="preserve">骑行服 骑行上衣 男款 短袖 </t>
    </r>
    <r>
      <rPr>
        <sz val="9"/>
        <color rgb="FF111111"/>
        <rFont val="Arial"/>
        <family val="0"/>
        <charset val="1"/>
      </rPr>
      <t xml:space="preserve">¥589</t>
    </r>
  </si>
  <si>
    <t xml:space="preserve">Turtle Rabbit</t>
  </si>
  <si>
    <r>
      <rPr>
        <sz val="9"/>
        <color rgb="FF111111"/>
        <rFont val="Arial"/>
        <family val="0"/>
        <charset val="1"/>
      </rPr>
      <t xml:space="preserve">Turtle Rabbit </t>
    </r>
    <r>
      <rPr>
        <sz val="9"/>
        <color rgb="FF111111"/>
        <rFont val="DejaVu Sans"/>
        <family val="2"/>
      </rPr>
      <t xml:space="preserve">骑行服 骑行裤 男款 短裤 </t>
    </r>
    <r>
      <rPr>
        <sz val="9"/>
        <color rgb="FF111111"/>
        <rFont val="Arial"/>
        <family val="0"/>
        <charset val="1"/>
      </rPr>
      <t xml:space="preserve">¥739</t>
    </r>
  </si>
  <si>
    <t xml:space="preserve">── 骑行服 合计</t>
  </si>
  <si>
    <t xml:space="preserve">   配件  小计</t>
  </si>
  <si>
    <t xml:space="preserve">   铺货商品</t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</si>
  <si>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V4RS </t>
    </r>
    <r>
      <rPr>
        <sz val="9"/>
        <color rgb="FF111111"/>
        <rFont val="DejaVu Sans"/>
        <family val="2"/>
      </rPr>
      <t xml:space="preserve">黄色 </t>
    </r>
    <r>
      <rPr>
        <sz val="9"/>
        <color rgb="FF111111"/>
        <rFont val="Arial"/>
        <family val="0"/>
        <charset val="1"/>
      </rPr>
      <t xml:space="preserve">455</t>
    </r>
    <r>
      <rPr>
        <sz val="9"/>
        <color rgb="FF111111"/>
        <rFont val="DejaVu Sans"/>
        <family val="2"/>
      </rPr>
      <t xml:space="preserve">（环法）</t>
    </r>
  </si>
  <si>
    <r>
      <rPr>
        <sz val="9"/>
        <color rgb="FF111111"/>
        <rFont val="Arial"/>
        <family val="0"/>
        <charset val="1"/>
      </rPr>
      <t xml:space="preserve">Specialised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SL7 </t>
    </r>
    <r>
      <rPr>
        <sz val="9"/>
        <color rgb="FF111111"/>
        <rFont val="DejaVu Sans"/>
        <family val="2"/>
      </rPr>
      <t xml:space="preserve">冲刺王 绿</t>
    </r>
  </si>
  <si>
    <t xml:space="preserve">Specialised</t>
  </si>
  <si>
    <r>
      <rPr>
        <sz val="9"/>
        <color rgb="FF111111"/>
        <rFont val="Arial"/>
        <family val="0"/>
        <charset val="1"/>
      </rPr>
      <t xml:space="preserve">BMC </t>
    </r>
    <r>
      <rPr>
        <sz val="9"/>
        <color rgb="FF111111"/>
        <rFont val="DejaVu Sans"/>
        <family val="2"/>
      </rPr>
      <t xml:space="preserve">车架 蓝红色 </t>
    </r>
    <r>
      <rPr>
        <sz val="9"/>
        <color rgb="FF111111"/>
        <rFont val="Arial"/>
        <family val="0"/>
        <charset val="1"/>
      </rPr>
      <t xml:space="preserve">47</t>
    </r>
  </si>
  <si>
    <t xml:space="preserve">BMC</t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</si>
  <si>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V4RS </t>
    </r>
    <r>
      <rPr>
        <sz val="9"/>
        <color rgb="FF111111"/>
        <rFont val="DejaVu Sans"/>
        <family val="2"/>
      </rPr>
      <t xml:space="preserve">彩虹 </t>
    </r>
    <r>
      <rPr>
        <sz val="9"/>
        <color rgb="FF111111"/>
        <rFont val="Arial"/>
        <family val="0"/>
        <charset val="1"/>
      </rPr>
      <t xml:space="preserve">510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</si>
  <si>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Y1RS L</t>
    </r>
    <r>
      <rPr>
        <sz val="9"/>
        <color rgb="FF111111"/>
        <rFont val="DejaVu Sans"/>
        <family val="2"/>
      </rPr>
      <t xml:space="preserve">码 彩虹（带把）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</si>
  <si>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Y1RS M</t>
    </r>
    <r>
      <rPr>
        <sz val="9"/>
        <color rgb="FF111111"/>
        <rFont val="DejaVu Sans"/>
        <family val="2"/>
      </rPr>
      <t xml:space="preserve">码 彩虹（带把）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</si>
  <si>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Y1RS M</t>
    </r>
    <r>
      <rPr>
        <sz val="9"/>
        <color rgb="FF111111"/>
        <rFont val="DejaVu Sans"/>
        <family val="2"/>
      </rPr>
      <t xml:space="preserve">码 黑色彩虹（带把）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</si>
  <si>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</t>
    </r>
    <r>
      <rPr>
        <sz val="9"/>
        <color rgb="FF111111"/>
        <rFont val="Arial"/>
        <family val="0"/>
        <charset val="1"/>
      </rPr>
      <t xml:space="preserve">ZWIFT 540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</si>
  <si>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变色龙 </t>
    </r>
    <r>
      <rPr>
        <sz val="9"/>
        <color rgb="FF111111"/>
        <rFont val="Arial"/>
        <family val="0"/>
        <charset val="1"/>
      </rPr>
      <t xml:space="preserve">515</t>
    </r>
    <r>
      <rPr>
        <sz val="9"/>
        <color rgb="FF111111"/>
        <rFont val="DejaVu Sans"/>
        <family val="2"/>
      </rPr>
      <t xml:space="preserve">（带车把）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</si>
  <si>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粉白车身 白色车标 </t>
    </r>
    <r>
      <rPr>
        <sz val="9"/>
        <color rgb="FF111111"/>
        <rFont val="Arial"/>
        <family val="0"/>
        <charset val="1"/>
      </rPr>
      <t xml:space="preserve">540</t>
    </r>
    <r>
      <rPr>
        <sz val="9"/>
        <color rgb="FF111111"/>
        <rFont val="DejaVu Sans"/>
        <family val="2"/>
      </rPr>
      <t xml:space="preserve">（带白把））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</si>
  <si>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粉白车身 金色车标 </t>
    </r>
    <r>
      <rPr>
        <sz val="9"/>
        <color rgb="FF111111"/>
        <rFont val="Arial"/>
        <family val="0"/>
        <charset val="1"/>
      </rPr>
      <t xml:space="preserve">515</t>
    </r>
    <r>
      <rPr>
        <sz val="9"/>
        <color rgb="FF111111"/>
        <rFont val="DejaVu Sans"/>
        <family val="2"/>
      </rPr>
      <t xml:space="preserve">（带粉白把））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</si>
  <si>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蓝金 </t>
    </r>
    <r>
      <rPr>
        <sz val="9"/>
        <color rgb="FF111111"/>
        <rFont val="Arial"/>
        <family val="0"/>
        <charset val="1"/>
      </rPr>
      <t xml:space="preserve">530</t>
    </r>
    <r>
      <rPr>
        <sz val="9"/>
        <color rgb="FF111111"/>
        <rFont val="DejaVu Sans"/>
        <family val="2"/>
      </rPr>
      <t xml:space="preserve">（带金色车把</t>
    </r>
    <r>
      <rPr>
        <sz val="9"/>
        <color rgb="FF111111"/>
        <rFont val="Arial"/>
        <family val="0"/>
        <charset val="1"/>
      </rPr>
      <t xml:space="preserve">42-100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</si>
  <si>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全金 </t>
    </r>
    <r>
      <rPr>
        <sz val="9"/>
        <color rgb="FF111111"/>
        <rFont val="Arial"/>
        <family val="0"/>
        <charset val="1"/>
      </rPr>
      <t xml:space="preserve">515</t>
    </r>
    <r>
      <rPr>
        <sz val="9"/>
        <color rgb="FF111111"/>
        <rFont val="DejaVu Sans"/>
        <family val="2"/>
      </rPr>
      <t xml:space="preserve">（带金色车把</t>
    </r>
    <r>
      <rPr>
        <sz val="9"/>
        <color rgb="FF111111"/>
        <rFont val="Arial"/>
        <family val="0"/>
        <charset val="1"/>
      </rPr>
      <t xml:space="preserve">42-120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</si>
  <si>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LOOK </t>
    </r>
    <r>
      <rPr>
        <sz val="9"/>
        <color rgb="FF111111"/>
        <rFont val="DejaVu Sans"/>
        <family val="2"/>
      </rPr>
      <t xml:space="preserve">车架 队版 </t>
    </r>
    <r>
      <rPr>
        <sz val="9"/>
        <color rgb="FF111111"/>
        <rFont val="Arial"/>
        <family val="0"/>
        <charset val="1"/>
      </rPr>
      <t xml:space="preserve">M</t>
    </r>
    <r>
      <rPr>
        <sz val="9"/>
        <color rgb="FF111111"/>
        <rFont val="DejaVu Sans"/>
        <family val="2"/>
      </rPr>
      <t xml:space="preserve">码</t>
    </r>
  </si>
  <si>
    <t xml:space="preserve">LOOK</t>
  </si>
  <si>
    <r>
      <rPr>
        <sz val="9"/>
        <color rgb="FF111111"/>
        <rFont val="Arial"/>
        <family val="0"/>
        <charset val="1"/>
      </rPr>
      <t xml:space="preserve">LOOK </t>
    </r>
    <r>
      <rPr>
        <sz val="9"/>
        <color rgb="FF111111"/>
        <rFont val="DejaVu Sans"/>
        <family val="2"/>
      </rPr>
      <t xml:space="preserve">车架 红色 </t>
    </r>
    <r>
      <rPr>
        <sz val="9"/>
        <color rgb="FF111111"/>
        <rFont val="Arial"/>
        <family val="0"/>
        <charset val="1"/>
      </rPr>
      <t xml:space="preserve">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</si>
  <si>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SPECIALIZED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SL7  </t>
    </r>
    <r>
      <rPr>
        <sz val="9"/>
        <color rgb="FF111111"/>
        <rFont val="DejaVu Sans"/>
        <family val="2"/>
      </rPr>
      <t xml:space="preserve">彩虹冰裂纹 （签名版）</t>
    </r>
    <r>
      <rPr>
        <sz val="9"/>
        <color rgb="FF111111"/>
        <rFont val="Arial"/>
        <family val="0"/>
        <charset val="1"/>
      </rPr>
      <t xml:space="preserve">54</t>
    </r>
  </si>
  <si>
    <r>
      <rPr>
        <sz val="9"/>
        <color rgb="FF111111"/>
        <rFont val="DejaVu Sans"/>
        <family val="2"/>
      </rPr>
      <t xml:space="preserve">帕索尼 车架 虎纹 </t>
    </r>
    <r>
      <rPr>
        <sz val="9"/>
        <color rgb="FF111111"/>
        <rFont val="DejaVu Sans"/>
        <family val="0"/>
        <charset val="134"/>
      </rPr>
      <t xml:space="preserve">54</t>
    </r>
  </si>
  <si>
    <t xml:space="preserve">帕索尼</t>
  </si>
  <si>
    <t xml:space="preserve">帕索尼 轮组 五福</t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</si>
  <si>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KICKR CORE </t>
    </r>
    <r>
      <rPr>
        <sz val="9"/>
        <color rgb="FF111111"/>
        <rFont val="DejaVu Sans"/>
        <family val="2"/>
      </rPr>
      <t xml:space="preserve">自行车骑行台（</t>
    </r>
    <r>
      <rPr>
        <sz val="9"/>
        <color rgb="FF111111"/>
        <rFont val="Arial"/>
        <family val="0"/>
        <charset val="1"/>
      </rPr>
      <t xml:space="preserve">CLIMB</t>
    </r>
    <r>
      <rPr>
        <sz val="9"/>
        <color rgb="FF111111"/>
        <rFont val="DejaVu Sans"/>
        <family val="2"/>
      </rPr>
      <t xml:space="preserve">通用）</t>
    </r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</si>
  <si>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KICKR </t>
    </r>
    <r>
      <rPr>
        <sz val="9"/>
        <color rgb="FF111111"/>
        <rFont val="DejaVu Sans"/>
        <family val="2"/>
      </rPr>
      <t xml:space="preserve">自行车智能骑行台 </t>
    </r>
    <r>
      <rPr>
        <sz val="9"/>
        <color rgb="FF111111"/>
        <rFont val="Arial"/>
        <family val="0"/>
        <charset val="1"/>
      </rPr>
      <t xml:space="preserve">WI-FI</t>
    </r>
    <r>
      <rPr>
        <sz val="9"/>
        <color rgb="FF111111"/>
        <rFont val="DejaVu Sans"/>
        <family val="2"/>
      </rPr>
      <t xml:space="preserve">版本</t>
    </r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</si>
  <si>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KIKCR CLIMB</t>
    </r>
    <r>
      <rPr>
        <sz val="9"/>
        <color rgb="FF111111"/>
        <rFont val="DejaVu Sans"/>
        <family val="2"/>
      </rPr>
      <t xml:space="preserve">爬坡模拟器</t>
    </r>
  </si>
  <si>
    <t xml:space="preserve">   铺货商品  小计</t>
  </si>
  <si>
    <t xml:space="preserve">   未标注</t>
  </si>
  <si>
    <t xml:space="preserve">滨江仓库</t>
  </si>
  <si>
    <t xml:space="preserve">—成本缺失</t>
  </si>
  <si>
    <r>
      <rPr>
        <sz val="9"/>
        <color rgb="FF111111"/>
        <rFont val="Arial"/>
        <family val="0"/>
        <charset val="1"/>
      </rPr>
      <t xml:space="preserve">BONTRAGER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RSL 62</t>
    </r>
  </si>
  <si>
    <t xml:space="preserve">BONTRAGER</t>
  </si>
  <si>
    <t xml:space="preserve">未标注  小计</t>
  </si>
  <si>
    <t xml:space="preserve">   电助力相关</t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</si>
  <si>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套件组 🚲无前拨</t>
    </r>
  </si>
  <si>
    <t xml:space="preserve">电助力相关</t>
  </si>
  <si>
    <t xml:space="preserve">电助力相关  小计</t>
  </si>
  <si>
    <t xml:space="preserve">全部合计</t>
  </si>
  <si>
    <r>
      <rPr>
        <sz val="8"/>
        <color rgb="FF999999"/>
        <rFont val="DejaVu Sans"/>
        <family val="2"/>
      </rPr>
      <t xml:space="preserve">数据来源：宇宙销售统计中心 </t>
    </r>
    <r>
      <rPr>
        <sz val="8"/>
        <color rgb="FF999999"/>
        <rFont val="DejaVu Sans"/>
        <family val="0"/>
        <charset val="134"/>
      </rPr>
      <t xml:space="preserve">· 2026 </t>
    </r>
    <r>
      <rPr>
        <sz val="8"/>
        <color rgb="FF999999"/>
        <rFont val="DejaVu Sans"/>
        <family val="2"/>
      </rPr>
      <t xml:space="preserve">商品</t>
    </r>
    <r>
      <rPr>
        <sz val="8"/>
        <color rgb="FF999999"/>
        <rFont val="DejaVu Sans"/>
        <family val="0"/>
        <charset val="134"/>
      </rPr>
      <t xml:space="preserve">SKU / </t>
    </r>
    <r>
      <rPr>
        <sz val="8"/>
        <color rgb="FF999999"/>
        <rFont val="DejaVu Sans"/>
        <family val="2"/>
      </rPr>
      <t xml:space="preserve">库存产品 </t>
    </r>
    <r>
      <rPr>
        <sz val="8"/>
        <color rgb="FF999999"/>
        <rFont val="DejaVu Sans"/>
        <family val="0"/>
        <charset val="134"/>
      </rPr>
      <t xml:space="preserve">· </t>
    </r>
    <r>
      <rPr>
        <sz val="8"/>
        <color rgb="FF999999"/>
        <rFont val="DejaVu Sans"/>
        <family val="2"/>
      </rPr>
      <t xml:space="preserve">截至 </t>
    </r>
    <r>
      <rPr>
        <sz val="8"/>
        <color rgb="FF999999"/>
        <rFont val="DejaVu Sans"/>
        <family val="0"/>
        <charset val="134"/>
      </rPr>
      <t xml:space="preserve">2026-03-11 · *</t>
    </r>
    <r>
      <rPr>
        <sz val="8"/>
        <color rgb="FF999999"/>
        <rFont val="DejaVu Sans"/>
        <family val="2"/>
      </rPr>
      <t xml:space="preserve">负责人依据</t>
    </r>
    <r>
      <rPr>
        <sz val="8"/>
        <color rgb="FF999999"/>
        <rFont val="DejaVu Sans"/>
        <family val="0"/>
        <charset val="134"/>
      </rPr>
      <t xml:space="preserve">2026</t>
    </r>
    <r>
      <rPr>
        <sz val="8"/>
        <color rgb="FF999999"/>
        <rFont val="DejaVu Sans"/>
        <family val="2"/>
      </rPr>
      <t xml:space="preserve">年初清库分配截图</t>
    </r>
  </si>
  <si>
    <t xml:space="preserve">库存变动对比</t>
  </si>
  <si>
    <r>
      <rPr>
        <sz val="9"/>
        <color rgb="FF999999"/>
        <rFont val="DejaVu Sans"/>
        <family val="2"/>
      </rPr>
      <t xml:space="preserve">对比周期：上次</t>
    </r>
    <r>
      <rPr>
        <sz val="9"/>
        <color rgb="FF999999"/>
        <rFont val="DejaVu Sans"/>
        <family val="0"/>
        <charset val="134"/>
      </rPr>
      <t xml:space="preserve">(3/11</t>
    </r>
    <r>
      <rPr>
        <sz val="9"/>
        <color rgb="FF999999"/>
        <rFont val="DejaVu Sans"/>
        <family val="2"/>
      </rPr>
      <t xml:space="preserve">基准</t>
    </r>
    <r>
      <rPr>
        <sz val="9"/>
        <color rgb="FF999999"/>
        <rFont val="DejaVu Sans"/>
        <family val="0"/>
        <charset val="134"/>
      </rPr>
      <t xml:space="preserve">) vs </t>
    </r>
    <r>
      <rPr>
        <sz val="9"/>
        <color rgb="FF999999"/>
        <rFont val="DejaVu Sans"/>
        <family val="2"/>
      </rPr>
      <t xml:space="preserve">本次</t>
    </r>
    <r>
      <rPr>
        <sz val="9"/>
        <color rgb="FF999999"/>
        <rFont val="DejaVu Sans"/>
        <family val="0"/>
        <charset val="134"/>
      </rPr>
      <t xml:space="preserve">(3/12) · </t>
    </r>
    <r>
      <rPr>
        <sz val="9"/>
        <color rgb="FF999999"/>
        <rFont val="DejaVu Sans"/>
        <family val="2"/>
      </rPr>
      <t xml:space="preserve">变动列自动计算</t>
    </r>
  </si>
  <si>
    <r>
      <rPr>
        <b val="true"/>
        <sz val="9"/>
        <color rgb="FF8B1A1A"/>
        <rFont val="DejaVu Sans"/>
        <family val="2"/>
      </rPr>
      <t xml:space="preserve">数据更新：</t>
    </r>
    <r>
      <rPr>
        <b val="true"/>
        <sz val="9"/>
        <color rgb="FF8B1A1A"/>
        <rFont val="DejaVu Sans"/>
        <family val="0"/>
        <charset val="134"/>
      </rPr>
      <t xml:space="preserve">3/12</t>
    </r>
    <r>
      <rPr>
        <b val="true"/>
        <sz val="9"/>
        <color rgb="FF8B1A1A"/>
        <rFont val="DejaVu Sans"/>
        <family val="2"/>
      </rPr>
      <t xml:space="preserve">数据已更新。变动</t>
    </r>
    <r>
      <rPr>
        <b val="true"/>
        <sz val="9"/>
        <color rgb="FF8B1A1A"/>
        <rFont val="DejaVu Sans"/>
        <family val="0"/>
        <charset val="134"/>
      </rPr>
      <t xml:space="preserve">=</t>
    </r>
    <r>
      <rPr>
        <b val="true"/>
        <sz val="9"/>
        <color rgb="FF8B1A1A"/>
        <rFont val="DejaVu Sans"/>
        <family val="2"/>
      </rPr>
      <t xml:space="preserve">本次</t>
    </r>
    <r>
      <rPr>
        <b val="true"/>
        <sz val="9"/>
        <color rgb="FF8B1A1A"/>
        <rFont val="DejaVu Sans"/>
        <family val="0"/>
        <charset val="134"/>
      </rPr>
      <t xml:space="preserve">-</t>
    </r>
    <r>
      <rPr>
        <b val="true"/>
        <sz val="9"/>
        <color rgb="FF8B1A1A"/>
        <rFont val="DejaVu Sans"/>
        <family val="2"/>
      </rPr>
      <t xml:space="preserve">上次，负数表示库存减少。</t>
    </r>
  </si>
  <si>
    <t xml:space="preserve">负责人</t>
  </si>
  <si>
    <r>
      <rPr>
        <b val="true"/>
        <sz val="8"/>
        <color rgb="FF111111"/>
        <rFont val="DejaVu Sans"/>
        <family val="2"/>
      </rPr>
      <t xml:space="preserve">上次
件数
</t>
    </r>
    <r>
      <rPr>
        <b val="true"/>
        <sz val="8"/>
        <color rgb="FF111111"/>
        <rFont val="DejaVu Sans"/>
        <family val="0"/>
        <charset val="134"/>
      </rPr>
      <t xml:space="preserve">(3/11)</t>
    </r>
  </si>
  <si>
    <r>
      <rPr>
        <b val="true"/>
        <sz val="8"/>
        <color rgb="FF111111"/>
        <rFont val="DejaVu Sans"/>
        <family val="2"/>
      </rPr>
      <t xml:space="preserve">上次
成本
</t>
    </r>
    <r>
      <rPr>
        <b val="true"/>
        <sz val="8"/>
        <color rgb="FF111111"/>
        <rFont val="DejaVu Sans"/>
        <family val="0"/>
        <charset val="134"/>
      </rPr>
      <t xml:space="preserve">(3/11)</t>
    </r>
  </si>
  <si>
    <r>
      <rPr>
        <b val="true"/>
        <sz val="8"/>
        <color rgb="FF111111"/>
        <rFont val="DejaVu Sans"/>
        <family val="2"/>
      </rPr>
      <t xml:space="preserve">本次
件数
</t>
    </r>
    <r>
      <rPr>
        <b val="true"/>
        <sz val="8"/>
        <color rgb="FF111111"/>
        <rFont val="DejaVu Sans"/>
        <family val="0"/>
        <charset val="134"/>
      </rPr>
      <t xml:space="preserve">(3/12)</t>
    </r>
  </si>
  <si>
    <r>
      <rPr>
        <b val="true"/>
        <sz val="8"/>
        <color rgb="FF111111"/>
        <rFont val="DejaVu Sans"/>
        <family val="2"/>
      </rPr>
      <t xml:space="preserve">本次
成本
</t>
    </r>
    <r>
      <rPr>
        <b val="true"/>
        <sz val="8"/>
        <color rgb="FF111111"/>
        <rFont val="DejaVu Sans"/>
        <family val="0"/>
        <charset val="134"/>
      </rPr>
      <t xml:space="preserve">(3/12)</t>
    </r>
  </si>
  <si>
    <t xml:space="preserve">变动
件数</t>
  </si>
  <si>
    <t xml:space="preserve">变动
成本</t>
  </si>
  <si>
    <r>
      <rPr>
        <sz val="8"/>
        <color rgb="FF999999"/>
        <rFont val="DejaVu Sans"/>
        <family val="2"/>
      </rPr>
      <t xml:space="preserve">使用说明：每次收到新数据 → 将最新库存件数填入</t>
    </r>
    <r>
      <rPr>
        <sz val="8"/>
        <color rgb="FF999999"/>
        <rFont val="DejaVu Sans"/>
        <family val="0"/>
        <charset val="134"/>
      </rPr>
      <t xml:space="preserve">I</t>
    </r>
    <r>
      <rPr>
        <sz val="8"/>
        <color rgb="FF999999"/>
        <rFont val="DejaVu Sans"/>
        <family val="2"/>
      </rPr>
      <t xml:space="preserve">列、成本填入</t>
    </r>
    <r>
      <rPr>
        <sz val="8"/>
        <color rgb="FF999999"/>
        <rFont val="DejaVu Sans"/>
        <family val="0"/>
        <charset val="134"/>
      </rPr>
      <t xml:space="preserve">J</t>
    </r>
    <r>
      <rPr>
        <sz val="8"/>
        <color rgb="FF999999"/>
        <rFont val="DejaVu Sans"/>
        <family val="2"/>
      </rPr>
      <t xml:space="preserve">列 → </t>
    </r>
    <r>
      <rPr>
        <sz val="8"/>
        <color rgb="FF999999"/>
        <rFont val="DejaVu Sans"/>
        <family val="0"/>
        <charset val="134"/>
      </rPr>
      <t xml:space="preserve">K/L</t>
    </r>
    <r>
      <rPr>
        <sz val="8"/>
        <color rgb="FF999999"/>
        <rFont val="DejaVu Sans"/>
        <family val="2"/>
      </rPr>
      <t xml:space="preserve">列自动计算变动量 </t>
    </r>
    <r>
      <rPr>
        <sz val="8"/>
        <color rgb="FF999999"/>
        <rFont val="DejaVu Sans"/>
        <family val="0"/>
        <charset val="134"/>
      </rPr>
      <t xml:space="preserve">· </t>
    </r>
    <r>
      <rPr>
        <sz val="8"/>
        <color rgb="FF999999"/>
        <rFont val="DejaVu Sans"/>
        <family val="2"/>
      </rPr>
      <t xml:space="preserve">增加为正，减少为负</t>
    </r>
  </si>
  <si>
    <r>
      <rPr>
        <sz val="8"/>
        <color rgb="FF999999"/>
        <rFont val="DejaVu Sans"/>
        <family val="2"/>
      </rPr>
      <t xml:space="preserve">数据来源：宇宙销售统计中心 </t>
    </r>
    <r>
      <rPr>
        <sz val="8"/>
        <color rgb="FF999999"/>
        <rFont val="DejaVu Sans"/>
        <family val="0"/>
        <charset val="134"/>
      </rPr>
      <t xml:space="preserve">· 2026 </t>
    </r>
    <r>
      <rPr>
        <sz val="8"/>
        <color rgb="FF999999"/>
        <rFont val="DejaVu Sans"/>
        <family val="2"/>
      </rPr>
      <t xml:space="preserve">商品</t>
    </r>
    <r>
      <rPr>
        <sz val="8"/>
        <color rgb="FF999999"/>
        <rFont val="DejaVu Sans"/>
        <family val="0"/>
        <charset val="134"/>
      </rPr>
      <t xml:space="preserve">SKU · </t>
    </r>
    <r>
      <rPr>
        <sz val="8"/>
        <color rgb="FF999999"/>
        <rFont val="DejaVu Sans"/>
        <family val="2"/>
      </rPr>
      <t xml:space="preserve">上次基准 </t>
    </r>
    <r>
      <rPr>
        <sz val="8"/>
        <color rgb="FF999999"/>
        <rFont val="DejaVu Sans"/>
        <family val="0"/>
        <charset val="134"/>
      </rPr>
      <t xml:space="preserve">2026-03-11 → </t>
    </r>
    <r>
      <rPr>
        <sz val="8"/>
        <color rgb="FF999999"/>
        <rFont val="DejaVu Sans"/>
        <family val="2"/>
      </rPr>
      <t xml:space="preserve">本次更新 </t>
    </r>
    <r>
      <rPr>
        <sz val="8"/>
        <color rgb="FF999999"/>
        <rFont val="DejaVu Sans"/>
        <family val="0"/>
        <charset val="134"/>
      </rPr>
      <t xml:space="preserve">2026-03-12</t>
    </r>
  </si>
  <si>
    <t xml:space="preserve">库存清理跟踪</t>
  </si>
  <si>
    <r>
      <rPr>
        <sz val="9"/>
        <color rgb="FF999999"/>
        <rFont val="DejaVu Sans"/>
        <family val="2"/>
      </rPr>
      <t xml:space="preserve">数据基准：</t>
    </r>
    <r>
      <rPr>
        <sz val="9"/>
        <color rgb="FF999999"/>
        <rFont val="DejaVu Sans"/>
        <family val="0"/>
        <charset val="134"/>
      </rPr>
      <t xml:space="preserve">3/11</t>
    </r>
    <r>
      <rPr>
        <sz val="9"/>
        <color rgb="FF999999"/>
        <rFont val="DejaVu Sans"/>
        <family val="2"/>
      </rPr>
      <t xml:space="preserve">（上次） → </t>
    </r>
    <r>
      <rPr>
        <sz val="9"/>
        <color rgb="FF999999"/>
        <rFont val="DejaVu Sans"/>
        <family val="0"/>
        <charset val="134"/>
      </rPr>
      <t xml:space="preserve">3/12</t>
    </r>
    <r>
      <rPr>
        <sz val="9"/>
        <color rgb="FF999999"/>
        <rFont val="DejaVu Sans"/>
        <family val="2"/>
      </rPr>
      <t xml:space="preserve">（本次更新） </t>
    </r>
    <r>
      <rPr>
        <sz val="9"/>
        <color rgb="FF999999"/>
        <rFont val="DejaVu Sans"/>
        <family val="0"/>
        <charset val="134"/>
      </rPr>
      <t xml:space="preserve">· </t>
    </r>
    <r>
      <rPr>
        <sz val="9"/>
        <color rgb="FF999999"/>
        <rFont val="DejaVu Sans"/>
        <family val="2"/>
      </rPr>
      <t xml:space="preserve">黄色</t>
    </r>
    <r>
      <rPr>
        <sz val="9"/>
        <color rgb="FF999999"/>
        <rFont val="DejaVu Sans"/>
        <family val="0"/>
        <charset val="134"/>
      </rPr>
      <t xml:space="preserve">=</t>
    </r>
    <r>
      <rPr>
        <sz val="9"/>
        <color rgb="FF999999"/>
        <rFont val="DejaVu Sans"/>
        <family val="2"/>
      </rPr>
      <t xml:space="preserve">手动填写目标值 </t>
    </r>
    <r>
      <rPr>
        <sz val="9"/>
        <color rgb="FF999999"/>
        <rFont val="DejaVu Sans"/>
        <family val="0"/>
        <charset val="134"/>
      </rPr>
      <t xml:space="preserve">· </t>
    </r>
    <r>
      <rPr>
        <sz val="9"/>
        <color rgb="FF999999"/>
        <rFont val="DejaVu Sans"/>
        <family val="2"/>
      </rPr>
      <t xml:space="preserve">已清列自动计算</t>
    </r>
  </si>
  <si>
    <r>
      <rPr>
        <b val="true"/>
        <sz val="9"/>
        <color rgb="FF8B1A1A"/>
        <rFont val="Arial"/>
        <family val="0"/>
        <charset val="1"/>
      </rPr>
      <t xml:space="preserve">✅  3/12</t>
    </r>
    <r>
      <rPr>
        <b val="true"/>
        <sz val="9"/>
        <color rgb="FF8B1A1A"/>
        <rFont val="DejaVu Sans"/>
        <family val="2"/>
      </rPr>
      <t xml:space="preserve">数据已更新：</t>
    </r>
    <r>
      <rPr>
        <b val="true"/>
        <sz val="9"/>
        <color rgb="FF8B1A1A"/>
        <rFont val="Arial"/>
        <family val="0"/>
        <charset val="1"/>
      </rPr>
      <t xml:space="preserve">G/H</t>
    </r>
    <r>
      <rPr>
        <b val="true"/>
        <sz val="9"/>
        <color rgb="FF8B1A1A"/>
        <rFont val="DejaVu Sans"/>
        <family val="2"/>
      </rPr>
      <t xml:space="preserve">列（</t>
    </r>
    <r>
      <rPr>
        <b val="true"/>
        <sz val="9"/>
        <color rgb="FF8B1A1A"/>
        <rFont val="Arial"/>
        <family val="0"/>
        <charset val="1"/>
      </rPr>
      <t xml:space="preserve">3/12</t>
    </r>
    <r>
      <rPr>
        <b val="true"/>
        <sz val="9"/>
        <color rgb="FF8B1A1A"/>
        <rFont val="DejaVu Sans"/>
        <family val="2"/>
      </rPr>
      <t xml:space="preserve">件数</t>
    </r>
    <r>
      <rPr>
        <b val="true"/>
        <sz val="9"/>
        <color rgb="FF8B1A1A"/>
        <rFont val="Arial"/>
        <family val="0"/>
        <charset val="1"/>
      </rPr>
      <t xml:space="preserve">/</t>
    </r>
    <r>
      <rPr>
        <b val="true"/>
        <sz val="9"/>
        <color rgb="FF8B1A1A"/>
        <rFont val="DejaVu Sans"/>
        <family val="2"/>
      </rPr>
      <t xml:space="preserve">成本）已填入。已清件数</t>
    </r>
    <r>
      <rPr>
        <b val="true"/>
        <sz val="9"/>
        <color rgb="FF8B1A1A"/>
        <rFont val="Arial"/>
        <family val="0"/>
        <charset val="1"/>
      </rPr>
      <t xml:space="preserve">/</t>
    </r>
    <r>
      <rPr>
        <b val="true"/>
        <sz val="9"/>
        <color rgb="FF8B1A1A"/>
        <rFont val="DejaVu Sans"/>
        <family val="2"/>
      </rPr>
      <t xml:space="preserve">成本已自动计算。</t>
    </r>
  </si>
  <si>
    <r>
      <rPr>
        <sz val="9"/>
        <color rgb="FF999999"/>
        <rFont val="DejaVu Sans"/>
        <family val="2"/>
      </rPr>
      <t xml:space="preserve">使用方式：</t>
    </r>
    <r>
      <rPr>
        <sz val="9"/>
        <color rgb="FF999999"/>
        <rFont val="DejaVu Sans"/>
        <family val="0"/>
        <charset val="134"/>
      </rPr>
      <t xml:space="preserve">Mia </t>
    </r>
    <r>
      <rPr>
        <sz val="9"/>
        <color rgb="FF999999"/>
        <rFont val="DejaVu Sans"/>
        <family val="2"/>
      </rPr>
      <t xml:space="preserve">每次发送最新数据导出 → 更新</t>
    </r>
    <r>
      <rPr>
        <sz val="9"/>
        <color rgb="FF999999"/>
        <rFont val="DejaVu Sans"/>
        <family val="0"/>
        <charset val="134"/>
      </rPr>
      <t xml:space="preserve">G</t>
    </r>
    <r>
      <rPr>
        <sz val="9"/>
        <color rgb="FF999999"/>
        <rFont val="DejaVu Sans"/>
        <family val="2"/>
      </rPr>
      <t xml:space="preserve">列</t>
    </r>
    <r>
      <rPr>
        <sz val="9"/>
        <color rgb="FF999999"/>
        <rFont val="DejaVu Sans"/>
        <family val="0"/>
        <charset val="134"/>
      </rPr>
      <t xml:space="preserve">(</t>
    </r>
    <r>
      <rPr>
        <sz val="9"/>
        <color rgb="FF999999"/>
        <rFont val="DejaVu Sans"/>
        <family val="2"/>
      </rPr>
      <t xml:space="preserve">件数</t>
    </r>
    <r>
      <rPr>
        <sz val="9"/>
        <color rgb="FF999999"/>
        <rFont val="DejaVu Sans"/>
        <family val="0"/>
        <charset val="134"/>
      </rPr>
      <t xml:space="preserve">)</t>
    </r>
    <r>
      <rPr>
        <sz val="9"/>
        <color rgb="FF999999"/>
        <rFont val="DejaVu Sans"/>
        <family val="2"/>
      </rPr>
      <t xml:space="preserve">和</t>
    </r>
    <r>
      <rPr>
        <sz val="9"/>
        <color rgb="FF999999"/>
        <rFont val="DejaVu Sans"/>
        <family val="0"/>
        <charset val="134"/>
      </rPr>
      <t xml:space="preserve">H</t>
    </r>
    <r>
      <rPr>
        <sz val="9"/>
        <color rgb="FF999999"/>
        <rFont val="DejaVu Sans"/>
        <family val="2"/>
      </rPr>
      <t xml:space="preserve">列</t>
    </r>
    <r>
      <rPr>
        <sz val="9"/>
        <color rgb="FF999999"/>
        <rFont val="DejaVu Sans"/>
        <family val="0"/>
        <charset val="134"/>
      </rPr>
      <t xml:space="preserve">(</t>
    </r>
    <r>
      <rPr>
        <sz val="9"/>
        <color rgb="FF999999"/>
        <rFont val="DejaVu Sans"/>
        <family val="2"/>
      </rPr>
      <t xml:space="preserve">成本</t>
    </r>
    <r>
      <rPr>
        <sz val="9"/>
        <color rgb="FF999999"/>
        <rFont val="DejaVu Sans"/>
        <family val="0"/>
        <charset val="134"/>
      </rPr>
      <t xml:space="preserve">) → I/J</t>
    </r>
    <r>
      <rPr>
        <sz val="9"/>
        <color rgb="FF999999"/>
        <rFont val="DejaVu Sans"/>
        <family val="2"/>
      </rPr>
      <t xml:space="preserve">列自动算已清数量 → </t>
    </r>
    <r>
      <rPr>
        <sz val="9"/>
        <color rgb="FF999999"/>
        <rFont val="DejaVu Sans"/>
        <family val="0"/>
        <charset val="134"/>
      </rPr>
      <t xml:space="preserve">K/N</t>
    </r>
    <r>
      <rPr>
        <sz val="9"/>
        <color rgb="FF999999"/>
        <rFont val="DejaVu Sans"/>
        <family val="2"/>
      </rPr>
      <t xml:space="preserve">列填写目标</t>
    </r>
    <r>
      <rPr>
        <sz val="9"/>
        <color rgb="FF999999"/>
        <rFont val="DejaVu Sans"/>
        <family val="0"/>
        <charset val="134"/>
      </rPr>
      <t xml:space="preserve">(</t>
    </r>
    <r>
      <rPr>
        <sz val="9"/>
        <color rgb="FF999999"/>
        <rFont val="DejaVu Sans"/>
        <family val="2"/>
      </rPr>
      <t xml:space="preserve">件数</t>
    </r>
    <r>
      <rPr>
        <sz val="9"/>
        <color rgb="FF999999"/>
        <rFont val="DejaVu Sans"/>
        <family val="0"/>
        <charset val="134"/>
      </rPr>
      <t xml:space="preserve">)</t>
    </r>
  </si>
  <si>
    <r>
      <rPr>
        <b val="true"/>
        <sz val="8"/>
        <color rgb="FF111111"/>
        <rFont val="Arial"/>
        <family val="0"/>
        <charset val="1"/>
      </rPr>
      <t xml:space="preserve">SKU</t>
    </r>
    <r>
      <rPr>
        <b val="true"/>
        <sz val="8"/>
        <color rgb="FF111111"/>
        <rFont val="DejaVu Sans"/>
        <family val="2"/>
      </rPr>
      <t xml:space="preserve">名称
</t>
    </r>
    <r>
      <rPr>
        <b val="true"/>
        <sz val="8"/>
        <color rgb="FF111111"/>
        <rFont val="Arial"/>
        <family val="0"/>
        <charset val="1"/>
      </rPr>
      <t xml:space="preserve">(</t>
    </r>
    <r>
      <rPr>
        <b val="true"/>
        <sz val="8"/>
        <color rgb="FF111111"/>
        <rFont val="DejaVu Sans"/>
        <family val="2"/>
      </rPr>
      <t xml:space="preserve">同库存</t>
    </r>
    <r>
      <rPr>
        <b val="true"/>
        <sz val="8"/>
        <color rgb="FF111111"/>
        <rFont val="Arial"/>
        <family val="0"/>
        <charset val="1"/>
      </rPr>
      <t xml:space="preserve">SKU</t>
    </r>
    <r>
      <rPr>
        <b val="true"/>
        <sz val="8"/>
        <color rgb="FF111111"/>
        <rFont val="DejaVu Sans"/>
        <family val="2"/>
      </rPr>
      <t xml:space="preserve">明细</t>
    </r>
    <r>
      <rPr>
        <b val="true"/>
        <sz val="8"/>
        <color rgb="FF111111"/>
        <rFont val="Arial"/>
        <family val="0"/>
        <charset val="1"/>
      </rPr>
      <t xml:space="preserve">)</t>
    </r>
  </si>
  <si>
    <r>
      <rPr>
        <b val="true"/>
        <sz val="8"/>
        <color rgb="FF111111"/>
        <rFont val="Arial"/>
        <family val="0"/>
        <charset val="1"/>
      </rPr>
      <t xml:space="preserve">3/11
</t>
    </r>
    <r>
      <rPr>
        <b val="true"/>
        <sz val="8"/>
        <color rgb="FF111111"/>
        <rFont val="DejaVu Sans"/>
        <family val="2"/>
      </rPr>
      <t xml:space="preserve">件数</t>
    </r>
  </si>
  <si>
    <r>
      <rPr>
        <b val="true"/>
        <sz val="8"/>
        <color rgb="FF111111"/>
        <rFont val="Arial"/>
        <family val="0"/>
        <charset val="1"/>
      </rPr>
      <t xml:space="preserve">3/11
</t>
    </r>
    <r>
      <rPr>
        <b val="true"/>
        <sz val="8"/>
        <color rgb="FF111111"/>
        <rFont val="DejaVu Sans"/>
        <family val="2"/>
      </rPr>
      <t xml:space="preserve">成本</t>
    </r>
  </si>
  <si>
    <r>
      <rPr>
        <b val="true"/>
        <sz val="8"/>
        <color rgb="FF111111"/>
        <rFont val="DejaVu Sans"/>
        <family val="0"/>
        <charset val="134"/>
      </rPr>
      <t xml:space="preserve">3/12
</t>
    </r>
    <r>
      <rPr>
        <b val="true"/>
        <sz val="8"/>
        <color rgb="FF111111"/>
        <rFont val="DejaVu Sans"/>
        <family val="2"/>
      </rPr>
      <t xml:space="preserve">件数</t>
    </r>
  </si>
  <si>
    <r>
      <rPr>
        <b val="true"/>
        <sz val="8"/>
        <color rgb="FF111111"/>
        <rFont val="DejaVu Sans"/>
        <family val="0"/>
        <charset val="134"/>
      </rPr>
      <t xml:space="preserve">3/12
</t>
    </r>
    <r>
      <rPr>
        <b val="true"/>
        <sz val="8"/>
        <color rgb="FF111111"/>
        <rFont val="DejaVu Sans"/>
        <family val="2"/>
      </rPr>
      <t xml:space="preserve">成本</t>
    </r>
  </si>
  <si>
    <t xml:space="preserve">已清
件数</t>
  </si>
  <si>
    <t xml:space="preserve">已清
成本</t>
  </si>
  <si>
    <r>
      <rPr>
        <b val="true"/>
        <sz val="8"/>
        <color rgb="FF111111"/>
        <rFont val="Arial"/>
        <family val="0"/>
        <charset val="1"/>
      </rPr>
      <t xml:space="preserve">4/15
</t>
    </r>
    <r>
      <rPr>
        <b val="true"/>
        <sz val="8"/>
        <color rgb="FF111111"/>
        <rFont val="DejaVu Sans"/>
        <family val="2"/>
      </rPr>
      <t xml:space="preserve">目标</t>
    </r>
    <r>
      <rPr>
        <b val="true"/>
        <sz val="8"/>
        <color rgb="FF111111"/>
        <rFont val="Arial"/>
        <family val="0"/>
        <charset val="1"/>
      </rPr>
      <t xml:space="preserve">(</t>
    </r>
    <r>
      <rPr>
        <b val="true"/>
        <sz val="8"/>
        <color rgb="FF111111"/>
        <rFont val="DejaVu Sans"/>
        <family val="2"/>
      </rPr>
      <t xml:space="preserve">件</t>
    </r>
    <r>
      <rPr>
        <b val="true"/>
        <sz val="8"/>
        <color rgb="FF111111"/>
        <rFont val="Arial"/>
        <family val="0"/>
        <charset val="1"/>
      </rPr>
      <t xml:space="preserve">)</t>
    </r>
  </si>
  <si>
    <r>
      <rPr>
        <b val="true"/>
        <sz val="8"/>
        <color rgb="FF111111"/>
        <rFont val="Arial"/>
        <family val="0"/>
        <charset val="1"/>
      </rPr>
      <t xml:space="preserve">4/15
</t>
    </r>
    <r>
      <rPr>
        <b val="true"/>
        <sz val="8"/>
        <color rgb="FF111111"/>
        <rFont val="DejaVu Sans"/>
        <family val="2"/>
      </rPr>
      <t xml:space="preserve">实际</t>
    </r>
    <r>
      <rPr>
        <b val="true"/>
        <sz val="8"/>
        <color rgb="FF111111"/>
        <rFont val="Arial"/>
        <family val="0"/>
        <charset val="1"/>
      </rPr>
      <t xml:space="preserve">(</t>
    </r>
    <r>
      <rPr>
        <b val="true"/>
        <sz val="8"/>
        <color rgb="FF111111"/>
        <rFont val="DejaVu Sans"/>
        <family val="2"/>
      </rPr>
      <t xml:space="preserve">件</t>
    </r>
    <r>
      <rPr>
        <b val="true"/>
        <sz val="8"/>
        <color rgb="FF111111"/>
        <rFont val="Arial"/>
        <family val="0"/>
        <charset val="1"/>
      </rPr>
      <t xml:space="preserve">)</t>
    </r>
  </si>
  <si>
    <t xml:space="preserve">完成率</t>
  </si>
  <si>
    <r>
      <rPr>
        <b val="true"/>
        <sz val="8"/>
        <color rgb="FF111111"/>
        <rFont val="Arial"/>
        <family val="0"/>
        <charset val="1"/>
      </rPr>
      <t xml:space="preserve">6/15
</t>
    </r>
    <r>
      <rPr>
        <b val="true"/>
        <sz val="8"/>
        <color rgb="FF111111"/>
        <rFont val="DejaVu Sans"/>
        <family val="2"/>
      </rPr>
      <t xml:space="preserve">目标</t>
    </r>
    <r>
      <rPr>
        <b val="true"/>
        <sz val="8"/>
        <color rgb="FF111111"/>
        <rFont val="Arial"/>
        <family val="0"/>
        <charset val="1"/>
      </rPr>
      <t xml:space="preserve">(</t>
    </r>
    <r>
      <rPr>
        <b val="true"/>
        <sz val="8"/>
        <color rgb="FF111111"/>
        <rFont val="DejaVu Sans"/>
        <family val="2"/>
      </rPr>
      <t xml:space="preserve">件</t>
    </r>
    <r>
      <rPr>
        <b val="true"/>
        <sz val="8"/>
        <color rgb="FF111111"/>
        <rFont val="Arial"/>
        <family val="0"/>
        <charset val="1"/>
      </rPr>
      <t xml:space="preserve">)</t>
    </r>
  </si>
  <si>
    <t xml:space="preserve">备注</t>
  </si>
  <si>
    <r>
      <rPr>
        <b val="true"/>
        <sz val="10"/>
        <color rgb="FF8B1A1A"/>
        <rFont val="DejaVu Sans"/>
        <family val="2"/>
      </rPr>
      <t xml:space="preserve">▸  张振  —  </t>
    </r>
    <r>
      <rPr>
        <b val="true"/>
        <sz val="10"/>
        <color rgb="FF8B1A1A"/>
        <rFont val="DejaVu Sans"/>
        <family val="0"/>
        <charset val="134"/>
      </rPr>
      <t xml:space="preserve">93</t>
    </r>
    <r>
      <rPr>
        <b val="true"/>
        <sz val="10"/>
        <color rgb="FF8B1A1A"/>
        <rFont val="DejaVu Sans"/>
        <family val="2"/>
      </rPr>
      <t xml:space="preserve">件  </t>
    </r>
    <r>
      <rPr>
        <b val="true"/>
        <sz val="10"/>
        <color rgb="FF8B1A1A"/>
        <rFont val="DejaVu Sans"/>
        <family val="0"/>
        <charset val="134"/>
      </rPr>
      <t xml:space="preserve">/  ¥95.4</t>
    </r>
    <r>
      <rPr>
        <b val="true"/>
        <sz val="10"/>
        <color rgb="FF8B1A1A"/>
        <rFont val="DejaVu Sans"/>
        <family val="2"/>
      </rPr>
      <t xml:space="preserve">万</t>
    </r>
  </si>
  <si>
    <r>
      <rPr>
        <b val="true"/>
        <sz val="10"/>
        <color rgb="FF8B1A1A"/>
        <rFont val="DejaVu Sans"/>
        <family val="2"/>
      </rPr>
      <t xml:space="preserve">▸  郭城  —  </t>
    </r>
    <r>
      <rPr>
        <b val="true"/>
        <sz val="10"/>
        <color rgb="FF8B1A1A"/>
        <rFont val="DejaVu Sans"/>
        <family val="0"/>
        <charset val="134"/>
      </rPr>
      <t xml:space="preserve">20</t>
    </r>
    <r>
      <rPr>
        <b val="true"/>
        <sz val="10"/>
        <color rgb="FF8B1A1A"/>
        <rFont val="DejaVu Sans"/>
        <family val="2"/>
      </rPr>
      <t xml:space="preserve">件  </t>
    </r>
    <r>
      <rPr>
        <b val="true"/>
        <sz val="10"/>
        <color rgb="FF8B1A1A"/>
        <rFont val="DejaVu Sans"/>
        <family val="0"/>
        <charset val="134"/>
      </rPr>
      <t xml:space="preserve">/  ¥29.9</t>
    </r>
    <r>
      <rPr>
        <b val="true"/>
        <sz val="10"/>
        <color rgb="FF8B1A1A"/>
        <rFont val="DejaVu Sans"/>
        <family val="2"/>
      </rPr>
      <t xml:space="preserve">万</t>
    </r>
  </si>
  <si>
    <r>
      <rPr>
        <b val="true"/>
        <sz val="10"/>
        <color rgb="FF8B1A1A"/>
        <rFont val="DejaVu Sans"/>
        <family val="2"/>
      </rPr>
      <t xml:space="preserve">▸  潘昊  —  </t>
    </r>
    <r>
      <rPr>
        <b val="true"/>
        <sz val="10"/>
        <color rgb="FF8B1A1A"/>
        <rFont val="DejaVu Sans"/>
        <family val="0"/>
        <charset val="134"/>
      </rPr>
      <t xml:space="preserve">18</t>
    </r>
    <r>
      <rPr>
        <b val="true"/>
        <sz val="10"/>
        <color rgb="FF8B1A1A"/>
        <rFont val="DejaVu Sans"/>
        <family val="2"/>
      </rPr>
      <t xml:space="preserve">件  </t>
    </r>
    <r>
      <rPr>
        <b val="true"/>
        <sz val="10"/>
        <color rgb="FF8B1A1A"/>
        <rFont val="DejaVu Sans"/>
        <family val="0"/>
        <charset val="134"/>
      </rPr>
      <t xml:space="preserve">/  ¥8.6</t>
    </r>
    <r>
      <rPr>
        <b val="true"/>
        <sz val="10"/>
        <color rgb="FF8B1A1A"/>
        <rFont val="DejaVu Sans"/>
        <family val="2"/>
      </rPr>
      <t xml:space="preserve">万</t>
    </r>
  </si>
  <si>
    <r>
      <rPr>
        <b val="true"/>
        <sz val="10"/>
        <color rgb="FF8B1A1A"/>
        <rFont val="DejaVu Sans"/>
        <family val="2"/>
      </rPr>
      <t xml:space="preserve">▸  海尔  —  </t>
    </r>
    <r>
      <rPr>
        <b val="true"/>
        <sz val="10"/>
        <color rgb="FF8B1A1A"/>
        <rFont val="DejaVu Sans"/>
        <family val="0"/>
        <charset val="134"/>
      </rPr>
      <t xml:space="preserve">3</t>
    </r>
    <r>
      <rPr>
        <b val="true"/>
        <sz val="10"/>
        <color rgb="FF8B1A1A"/>
        <rFont val="DejaVu Sans"/>
        <family val="2"/>
      </rPr>
      <t xml:space="preserve">件  </t>
    </r>
    <r>
      <rPr>
        <b val="true"/>
        <sz val="10"/>
        <color rgb="FF8B1A1A"/>
        <rFont val="DejaVu Sans"/>
        <family val="0"/>
        <charset val="134"/>
      </rPr>
      <t xml:space="preserve">/  ¥7.0</t>
    </r>
    <r>
      <rPr>
        <b val="true"/>
        <sz val="10"/>
        <color rgb="FF8B1A1A"/>
        <rFont val="DejaVu Sans"/>
        <family val="2"/>
      </rPr>
      <t xml:space="preserve">万</t>
    </r>
  </si>
  <si>
    <r>
      <rPr>
        <b val="true"/>
        <sz val="10"/>
        <color rgb="FF8B1A1A"/>
        <rFont val="DejaVu Sans"/>
        <family val="2"/>
      </rPr>
      <t xml:space="preserve">▸  程总  —  </t>
    </r>
    <r>
      <rPr>
        <b val="true"/>
        <sz val="10"/>
        <color rgb="FF8B1A1A"/>
        <rFont val="DejaVu Sans"/>
        <family val="0"/>
        <charset val="134"/>
      </rPr>
      <t xml:space="preserve">1</t>
    </r>
    <r>
      <rPr>
        <b val="true"/>
        <sz val="10"/>
        <color rgb="FF8B1A1A"/>
        <rFont val="DejaVu Sans"/>
        <family val="2"/>
      </rPr>
      <t xml:space="preserve">件  </t>
    </r>
    <r>
      <rPr>
        <b val="true"/>
        <sz val="10"/>
        <color rgb="FF8B1A1A"/>
        <rFont val="DejaVu Sans"/>
        <family val="0"/>
        <charset val="134"/>
      </rPr>
      <t xml:space="preserve">/  ¥0.2</t>
    </r>
    <r>
      <rPr>
        <b val="true"/>
        <sz val="10"/>
        <color rgb="FF8B1A1A"/>
        <rFont val="DejaVu Sans"/>
        <family val="2"/>
      </rPr>
      <t xml:space="preserve">万</t>
    </r>
  </si>
  <si>
    <r>
      <rPr>
        <b val="true"/>
        <sz val="10"/>
        <color rgb="FFCC6600"/>
        <rFont val="Times New Roman"/>
        <family val="0"/>
        <charset val="1"/>
      </rPr>
      <t xml:space="preserve">▸  (</t>
    </r>
    <r>
      <rPr>
        <b val="true"/>
        <sz val="10"/>
        <color rgb="FFCC6600"/>
        <rFont val="DejaVu Sans"/>
        <family val="2"/>
      </rPr>
      <t xml:space="preserve">待确认</t>
    </r>
    <r>
      <rPr>
        <b val="true"/>
        <sz val="10"/>
        <color rgb="FFCC6600"/>
        <rFont val="Times New Roman"/>
        <family val="0"/>
        <charset val="1"/>
      </rPr>
      <t xml:space="preserve">)  —  113</t>
    </r>
    <r>
      <rPr>
        <b val="true"/>
        <sz val="10"/>
        <color rgb="FFCC6600"/>
        <rFont val="DejaVu Sans"/>
        <family val="2"/>
      </rPr>
      <t xml:space="preserve">件  </t>
    </r>
    <r>
      <rPr>
        <b val="true"/>
        <sz val="10"/>
        <color rgb="FFCC6600"/>
        <rFont val="Times New Roman"/>
        <family val="0"/>
        <charset val="1"/>
      </rPr>
      <t xml:space="preserve">/  ¥2.3</t>
    </r>
    <r>
      <rPr>
        <b val="true"/>
        <sz val="10"/>
        <color rgb="FFCC6600"/>
        <rFont val="DejaVu Sans"/>
        <family val="2"/>
      </rPr>
      <t xml:space="preserve">万</t>
    </r>
  </si>
  <si>
    <r>
      <rPr>
        <sz val="8"/>
        <color rgb="FF8B1A1A"/>
        <rFont val="DejaVu Sans"/>
        <family val="2"/>
      </rPr>
      <t xml:space="preserve">⚠  萨玛仕座垫</t>
    </r>
    <r>
      <rPr>
        <sz val="8"/>
        <color rgb="FF8B1A1A"/>
        <rFont val="DejaVu Sans"/>
        <family val="0"/>
        <charset val="134"/>
      </rPr>
      <t xml:space="preserve">3D</t>
    </r>
    <r>
      <rPr>
        <sz val="8"/>
        <color rgb="FF8B1A1A"/>
        <rFont val="DejaVu Sans"/>
        <family val="2"/>
      </rPr>
      <t xml:space="preserve">打印（电助力用）</t>
    </r>
    <r>
      <rPr>
        <sz val="8"/>
        <color rgb="FF8B1A1A"/>
        <rFont val="DejaVu Sans"/>
        <family val="0"/>
        <charset val="134"/>
      </rPr>
      <t xml:space="preserve">113</t>
    </r>
    <r>
      <rPr>
        <sz val="8"/>
        <color rgb="FF8B1A1A"/>
        <rFont val="DejaVu Sans"/>
        <family val="2"/>
      </rPr>
      <t xml:space="preserve">件</t>
    </r>
    <r>
      <rPr>
        <sz val="8"/>
        <color rgb="FF8B1A1A"/>
        <rFont val="DejaVu Sans"/>
        <family val="0"/>
        <charset val="134"/>
      </rPr>
      <t xml:space="preserve">/¥2.3</t>
    </r>
    <r>
      <rPr>
        <sz val="8"/>
        <color rgb="FF8B1A1A"/>
        <rFont val="DejaVu Sans"/>
        <family val="2"/>
      </rPr>
      <t xml:space="preserve">万 标注为</t>
    </r>
    <r>
      <rPr>
        <sz val="8"/>
        <color rgb="FF8B1A1A"/>
        <rFont val="DejaVu Sans"/>
        <family val="0"/>
        <charset val="134"/>
      </rPr>
      <t xml:space="preserve">(</t>
    </r>
    <r>
      <rPr>
        <sz val="8"/>
        <color rgb="FF8B1A1A"/>
        <rFont val="DejaVu Sans"/>
        <family val="2"/>
      </rPr>
      <t xml:space="preserve">待确认</t>
    </r>
    <r>
      <rPr>
        <sz val="8"/>
        <color rgb="FF8B1A1A"/>
        <rFont val="DejaVu Sans"/>
        <family val="0"/>
        <charset val="134"/>
      </rPr>
      <t xml:space="preserve">)</t>
    </r>
    <r>
      <rPr>
        <sz val="8"/>
        <color rgb="FF8B1A1A"/>
        <rFont val="DejaVu Sans"/>
        <family val="2"/>
      </rPr>
      <t xml:space="preserve">，请确认是否归入公路车清库或另行处理</t>
    </r>
  </si>
  <si>
    <r>
      <rPr>
        <sz val="8"/>
        <color rgb="FF8B1A1A"/>
        <rFont val="DejaVu Sans"/>
        <family val="2"/>
      </rPr>
      <t xml:space="preserve">⚠  郭城负责的</t>
    </r>
    <r>
      <rPr>
        <sz val="8"/>
        <color rgb="FF8B1A1A"/>
        <rFont val="DejaVu Sans"/>
        <family val="0"/>
        <charset val="134"/>
      </rPr>
      <t xml:space="preserve">ZIPP</t>
    </r>
    <r>
      <rPr>
        <sz val="8"/>
        <color rgb="FF8B1A1A"/>
        <rFont val="DejaVu Sans"/>
        <family val="2"/>
      </rPr>
      <t xml:space="preserve">轮组</t>
    </r>
    <r>
      <rPr>
        <sz val="8"/>
        <color rgb="FF8B1A1A"/>
        <rFont val="DejaVu Sans"/>
        <family val="0"/>
        <charset val="134"/>
      </rPr>
      <t xml:space="preserve">353</t>
    </r>
    <r>
      <rPr>
        <sz val="8"/>
        <color rgb="FF8B1A1A"/>
        <rFont val="DejaVu Sans"/>
        <family val="2"/>
      </rPr>
      <t xml:space="preserve">共</t>
    </r>
    <r>
      <rPr>
        <sz val="8"/>
        <color rgb="FF8B1A1A"/>
        <rFont val="DejaVu Sans"/>
        <family val="0"/>
        <charset val="134"/>
      </rPr>
      <t xml:space="preserve">17</t>
    </r>
    <r>
      <rPr>
        <sz val="8"/>
        <color rgb="FF8B1A1A"/>
        <rFont val="DejaVu Sans"/>
        <family val="2"/>
      </rPr>
      <t xml:space="preserve">件</t>
    </r>
    <r>
      <rPr>
        <sz val="8"/>
        <color rgb="FF8B1A1A"/>
        <rFont val="DejaVu Sans"/>
        <family val="0"/>
        <charset val="134"/>
      </rPr>
      <t xml:space="preserve">/¥24.3</t>
    </r>
    <r>
      <rPr>
        <sz val="8"/>
        <color rgb="FF8B1A1A"/>
        <rFont val="DejaVu Sans"/>
        <family val="2"/>
      </rPr>
      <t xml:space="preserve">万，是最大单品风险敞口</t>
    </r>
  </si>
  <si>
    <r>
      <rPr>
        <sz val="8"/>
        <color rgb="FF999999"/>
        <rFont val="DejaVu Sans"/>
        <family val="2"/>
      </rPr>
      <t xml:space="preserve">注：</t>
    </r>
    <r>
      <rPr>
        <sz val="8"/>
        <color rgb="FF999999"/>
        <rFont val="DejaVu Sans"/>
        <family val="0"/>
        <charset val="134"/>
      </rPr>
      <t xml:space="preserve">K/N</t>
    </r>
    <r>
      <rPr>
        <sz val="8"/>
        <color rgb="FF999999"/>
        <rFont val="DejaVu Sans"/>
        <family val="2"/>
      </rPr>
      <t xml:space="preserve">列（</t>
    </r>
    <r>
      <rPr>
        <sz val="8"/>
        <color rgb="FF999999"/>
        <rFont val="DejaVu Sans"/>
        <family val="0"/>
        <charset val="134"/>
      </rPr>
      <t xml:space="preserve">4/15</t>
    </r>
    <r>
      <rPr>
        <sz val="8"/>
        <color rgb="FF999999"/>
        <rFont val="DejaVu Sans"/>
        <family val="2"/>
      </rPr>
      <t xml:space="preserve">和</t>
    </r>
    <r>
      <rPr>
        <sz val="8"/>
        <color rgb="FF999999"/>
        <rFont val="DejaVu Sans"/>
        <family val="0"/>
        <charset val="134"/>
      </rPr>
      <t xml:space="preserve">6/15</t>
    </r>
    <r>
      <rPr>
        <sz val="8"/>
        <color rgb="FF999999"/>
        <rFont val="DejaVu Sans"/>
        <family val="2"/>
      </rPr>
      <t xml:space="preserve">目标）为件数目标，每人负责人行自动汇总下辖</t>
    </r>
    <r>
      <rPr>
        <sz val="8"/>
        <color rgb="FF999999"/>
        <rFont val="DejaVu Sans"/>
        <family val="0"/>
        <charset val="134"/>
      </rPr>
      <t xml:space="preserve">SKU</t>
    </r>
    <r>
      <rPr>
        <sz val="8"/>
        <color rgb="FF999999"/>
        <rFont val="DejaVu Sans"/>
        <family val="2"/>
      </rPr>
      <t xml:space="preserve">目标合计</t>
    </r>
  </si>
  <si>
    <r>
      <rPr>
        <sz val="8"/>
        <color rgb="FF999999"/>
        <rFont val="DejaVu Sans"/>
        <family val="2"/>
      </rPr>
      <t xml:space="preserve">注：</t>
    </r>
    <r>
      <rPr>
        <sz val="8"/>
        <color rgb="FF999999"/>
        <rFont val="DejaVu Sans"/>
        <family val="0"/>
        <charset val="134"/>
      </rPr>
      <t xml:space="preserve">G/H</t>
    </r>
    <r>
      <rPr>
        <sz val="8"/>
        <color rgb="FF999999"/>
        <rFont val="DejaVu Sans"/>
        <family val="2"/>
      </rPr>
      <t xml:space="preserve">列（下次件数</t>
    </r>
    <r>
      <rPr>
        <sz val="8"/>
        <color rgb="FF999999"/>
        <rFont val="DejaVu Sans"/>
        <family val="0"/>
        <charset val="134"/>
      </rPr>
      <t xml:space="preserve">/</t>
    </r>
    <r>
      <rPr>
        <sz val="8"/>
        <color rgb="FF999999"/>
        <rFont val="DejaVu Sans"/>
        <family val="2"/>
      </rPr>
      <t xml:space="preserve">成本）为空时，</t>
    </r>
    <r>
      <rPr>
        <sz val="8"/>
        <color rgb="FF999999"/>
        <rFont val="DejaVu Sans"/>
        <family val="0"/>
        <charset val="134"/>
      </rPr>
      <t xml:space="preserve">I/J</t>
    </r>
    <r>
      <rPr>
        <sz val="8"/>
        <color rgb="FF999999"/>
        <rFont val="DejaVu Sans"/>
        <family val="2"/>
      </rPr>
      <t xml:space="preserve">列（已清）显示「—」而不计算，避免误读为已清完</t>
    </r>
  </si>
  <si>
    <r>
      <rPr>
        <sz val="8"/>
        <color rgb="FF999999"/>
        <rFont val="DejaVu Sans"/>
        <family val="2"/>
      </rPr>
      <t xml:space="preserve">数据来源：宇宙销售统计中心 </t>
    </r>
    <r>
      <rPr>
        <sz val="8"/>
        <color rgb="FF999999"/>
        <rFont val="DejaVu Sans"/>
        <family val="0"/>
        <charset val="134"/>
      </rPr>
      <t xml:space="preserve">· 2026 </t>
    </r>
    <r>
      <rPr>
        <sz val="8"/>
        <color rgb="FF999999"/>
        <rFont val="DejaVu Sans"/>
        <family val="2"/>
      </rPr>
      <t xml:space="preserve">商品</t>
    </r>
    <r>
      <rPr>
        <sz val="8"/>
        <color rgb="FF999999"/>
        <rFont val="DejaVu Sans"/>
        <family val="0"/>
        <charset val="134"/>
      </rPr>
      <t xml:space="preserve">SKU · </t>
    </r>
    <r>
      <rPr>
        <sz val="8"/>
        <color rgb="FF999999"/>
        <rFont val="DejaVu Sans"/>
        <family val="2"/>
      </rPr>
      <t xml:space="preserve">上次 </t>
    </r>
    <r>
      <rPr>
        <sz val="8"/>
        <color rgb="FF999999"/>
        <rFont val="DejaVu Sans"/>
        <family val="0"/>
        <charset val="134"/>
      </rPr>
      <t xml:space="preserve">2026-03-11 → </t>
    </r>
    <r>
      <rPr>
        <sz val="8"/>
        <color rgb="FF999999"/>
        <rFont val="DejaVu Sans"/>
        <family val="2"/>
      </rPr>
      <t xml:space="preserve">本次 </t>
    </r>
    <r>
      <rPr>
        <sz val="8"/>
        <color rgb="FF999999"/>
        <rFont val="DejaVu Sans"/>
        <family val="0"/>
        <charset val="134"/>
      </rPr>
      <t xml:space="preserve">2026-03-12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</si>
</sst>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%"/>
  </numFmts>
  <fonts count="4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11111"/>
      <name val="DejaVu Sans"/>
      <family val="2"/>
    </font>
    <font>
      <sz val="9"/>
      <color rgb="FF999999"/>
      <name val="DejaVu Sans"/>
      <family val="2"/>
    </font>
    <font>
      <sz val="9"/>
      <color rgb="FF999999"/>
      <name val="DejaVu Sans"/>
      <family val="0"/>
      <charset val="134"/>
    </font>
    <font>
      <b val="true"/>
      <sz val="11"/>
      <color rgb="FF111111"/>
      <name val="DejaVu Sans"/>
      <family val="2"/>
    </font>
    <font>
      <b val="true"/>
      <sz val="11"/>
      <color rgb="FF111111"/>
      <name val="DejaVu Sans"/>
      <family val="0"/>
      <charset val="134"/>
    </font>
    <font>
      <b val="true"/>
      <sz val="8"/>
      <color rgb="FF111111"/>
      <name val="DejaVu Sans"/>
      <family val="2"/>
    </font>
    <font>
      <b val="true"/>
      <sz val="8"/>
      <color rgb="FF111111"/>
      <name val="Arial"/>
      <family val="0"/>
      <charset val="1"/>
    </font>
    <font>
      <b val="true"/>
      <sz val="8"/>
      <color rgb="FF111111"/>
      <name val="DejaVu Sans"/>
      <family val="0"/>
      <charset val="134"/>
    </font>
    <font>
      <b val="true"/>
      <sz val="9"/>
      <color rgb="FF111111"/>
      <name val="DejaVu Sans"/>
      <family val="2"/>
    </font>
    <font>
      <b val="true"/>
      <sz val="9"/>
      <color rgb="FF111111"/>
      <name val="Calibri"/>
      <family val="0"/>
      <charset val="1"/>
    </font>
    <font>
      <sz val="9"/>
      <color rgb="FF111111"/>
      <name val="DejaVu Sans"/>
      <family val="2"/>
    </font>
    <font>
      <sz val="9"/>
      <color rgb="FF111111"/>
      <name val="Calibri"/>
      <family val="0"/>
      <charset val="1"/>
    </font>
    <font>
      <sz val="9"/>
      <color rgb="FF111111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9"/>
      <color rgb="FF111111"/>
      <name val="Arial"/>
      <family val="0"/>
      <charset val="1"/>
    </font>
    <font>
      <sz val="9"/>
      <color rgb="FF111111"/>
      <name val="DejaVu Sans"/>
      <family val="0"/>
      <charset val="134"/>
    </font>
    <font>
      <sz val="9"/>
      <color rgb="FF8B1A1A"/>
      <name val="Arial"/>
      <family val="0"/>
      <charset val="1"/>
    </font>
    <font>
      <sz val="9"/>
      <color rgb="FF8B1A1A"/>
      <name val="DejaVu Sans"/>
      <family val="2"/>
    </font>
    <font>
      <sz val="9"/>
      <color rgb="FFCC6600"/>
      <name val="Arial"/>
      <family val="0"/>
      <charset val="1"/>
    </font>
    <font>
      <sz val="9"/>
      <color rgb="FFCC6600"/>
      <name val="DejaVu Sans"/>
      <family val="2"/>
    </font>
    <font>
      <sz val="8"/>
      <color rgb="FF999999"/>
      <name val="DejaVu Sans"/>
      <family val="2"/>
    </font>
    <font>
      <sz val="8"/>
      <color rgb="FF999999"/>
      <name val="DejaVu Sans"/>
      <family val="0"/>
      <charset val="134"/>
    </font>
    <font>
      <b val="true"/>
      <sz val="17"/>
      <color rgb="FF111111"/>
      <name val="DejaVu Sans"/>
      <family val="0"/>
      <charset val="134"/>
    </font>
    <font>
      <b val="true"/>
      <sz val="10"/>
      <color rgb="FF8B1A1A"/>
      <name val="DejaVu Sans"/>
      <family val="2"/>
    </font>
    <font>
      <b val="true"/>
      <sz val="9"/>
      <color rgb="FF8B1A1A"/>
      <name val="DejaVu Sans"/>
      <family val="2"/>
    </font>
    <font>
      <sz val="9"/>
      <color rgb="FFCC6600"/>
      <name val="DejaVu Sans"/>
      <family val="0"/>
      <charset val="1"/>
    </font>
    <font>
      <b val="true"/>
      <sz val="10"/>
      <color rgb="FF111111"/>
      <name val="DejaVu Sans"/>
      <family val="2"/>
    </font>
    <font>
      <b val="true"/>
      <sz val="10"/>
      <color rgb="FF111111"/>
      <name val="Times New Roman"/>
      <family val="0"/>
      <charset val="1"/>
    </font>
    <font>
      <b val="true"/>
      <sz val="9"/>
      <color rgb="FF111111"/>
      <name val="Times New Roman"/>
      <family val="0"/>
      <charset val="1"/>
    </font>
    <font>
      <sz val="9"/>
      <color rgb="FF8B1A1A"/>
      <name val="Calibri"/>
      <family val="0"/>
      <charset val="1"/>
    </font>
    <font>
      <b val="true"/>
      <sz val="9"/>
      <color rgb="FF8B1A1A"/>
      <name val="DejaVu Sans"/>
      <family val="0"/>
      <charset val="134"/>
    </font>
    <font>
      <b val="true"/>
      <sz val="9"/>
      <color rgb="FF8B1A1A"/>
      <name val="Arial"/>
      <family val="0"/>
      <charset val="1"/>
    </font>
    <font>
      <b val="true"/>
      <sz val="10"/>
      <color rgb="FF8B1A1A"/>
      <name val="DejaVu Sans"/>
      <family val="0"/>
      <charset val="134"/>
    </font>
    <font>
      <b val="true"/>
      <sz val="10"/>
      <color rgb="FFCC6600"/>
      <name val="Times New Roman"/>
      <family val="0"/>
      <charset val="1"/>
    </font>
    <font>
      <b val="true"/>
      <sz val="10"/>
      <color rgb="FFCC6600"/>
      <name val="DejaVu Sans"/>
      <family val="2"/>
    </font>
    <font>
      <sz val="8"/>
      <color rgb="FF8B1A1A"/>
      <name val="DejaVu Sans"/>
      <family val="2"/>
    </font>
    <font>
      <sz val="8"/>
      <color rgb="FF8B1A1A"/>
      <name val="DejaVu Sans"/>
      <family val="0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0F0"/>
        <bgColor rgb="FFF5F5F5"/>
      </patternFill>
    </fill>
    <fill>
      <patternFill patternType="solid">
        <fgColor rgb="FFF0F4FF"/>
        <bgColor rgb="FFF5F5F5"/>
      </patternFill>
    </fill>
    <fill>
      <patternFill patternType="solid">
        <fgColor rgb="FFF5F5F5"/>
        <bgColor rgb="FFFAF9F6"/>
      </patternFill>
    </fill>
    <fill>
      <patternFill patternType="solid">
        <fgColor rgb="FFFAF9F6"/>
        <bgColor rgb="FFF5F5F5"/>
      </patternFill>
    </fill>
    <fill>
      <patternFill patternType="solid">
        <fgColor rgb="FFE8E8E8"/>
        <bgColor rgb="FFDDDDDD"/>
      </patternFill>
    </fill>
    <fill>
      <patternFill patternType="solid">
        <fgColor rgb="FFFFFF99"/>
        <bgColor rgb="FFFFF0F0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11111"/>
      </bottom>
      <diagonal/>
    </border>
    <border diagonalUp="false" diagonalDown="false">
      <left/>
      <right/>
      <top/>
      <bottom style="thin">
        <color rgb="FF111111"/>
      </bottom>
      <diagonal/>
    </border>
    <border diagonalUp="false" diagonalDown="false">
      <left/>
      <right/>
      <top/>
      <bottom style="thin">
        <color rgb="FFDDDDDD"/>
      </bottom>
      <diagonal/>
    </border>
    <border diagonalUp="false" diagonalDown="false">
      <left/>
      <right/>
      <top style="medium">
        <color rgb="FF111111"/>
      </top>
      <bottom style="medium">
        <color rgb="FF111111"/>
      </bottom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 style="medium">
        <color rgb="FF111111"/>
      </top>
      <bottom style="thin">
        <color rgb="FF111111"/>
      </bottom>
      <diagonal/>
    </border>
    <border diagonalUp="false" diagonalDown="false">
      <left/>
      <right/>
      <top style="thin">
        <color rgb="FF111111"/>
      </top>
      <bottom style="medium">
        <color rgb="FF111111"/>
      </bottom>
      <diagonal/>
    </border>
    <border diagonalUp="false" diagonalDown="false">
      <left/>
      <right/>
      <top style="thin">
        <color rgb="FF111111"/>
      </top>
      <bottom style="thin">
        <color rgb="FF11111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4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4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4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7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6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6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7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7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5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9F6"/>
      <rgbColor rgb="FFFF0000"/>
      <rgbColor rgb="FF00FF00"/>
      <rgbColor rgb="FF0000FF"/>
      <rgbColor rgb="FFFFFF00"/>
      <rgbColor rgb="FFFF00FF"/>
      <rgbColor rgb="FF00FFFF"/>
      <rgbColor rgb="FF800000"/>
      <rgbColor rgb="FF2E6B3E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F0F4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FFF0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C6600"/>
      <rgbColor rgb="FF666699"/>
      <rgbColor rgb="FF999999"/>
      <rgbColor rgb="FF003366"/>
      <rgbColor rgb="FF339966"/>
      <rgbColor rgb="FF111111"/>
      <rgbColor rgb="FF333300"/>
      <rgbColor rgb="FF8B1A1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111"/>
    <pageSetUpPr fitToPage="false"/>
  </sheetPr>
  <dimension ref="B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24"/>
    <col collapsed="false" customWidth="true" hidden="false" outlineLevel="0" max="9" min="9" style="0" width="2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3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4" customFormat="false" ht="7.5" hidden="false" customHeight="true" outlineLevel="0" collapsed="false"/>
    <row r="5" customFormat="false" ht="16.5" hidden="false" customHeight="true" outlineLevel="0" collapsed="false">
      <c r="B5" s="3" t="s">
        <v>2</v>
      </c>
      <c r="C5" s="3"/>
      <c r="D5" s="3"/>
      <c r="E5" s="3"/>
      <c r="F5" s="3"/>
      <c r="G5" s="3"/>
      <c r="H5" s="3"/>
    </row>
    <row r="6" customFormat="false" ht="13.5" hidden="false" customHeight="true" outlineLevel="0" collapsed="false">
      <c r="B6" s="4" t="s">
        <v>3</v>
      </c>
      <c r="C6" s="5" t="s">
        <v>4</v>
      </c>
      <c r="D6" s="6" t="s">
        <v>5</v>
      </c>
      <c r="E6" s="6" t="s">
        <v>6</v>
      </c>
      <c r="F6" s="6" t="s">
        <v>7</v>
      </c>
      <c r="G6" s="4" t="s">
        <v>8</v>
      </c>
      <c r="H6" s="7"/>
    </row>
    <row r="7" customFormat="false" ht="12.75" hidden="false" customHeight="true" outlineLevel="0" collapsed="false">
      <c r="B7" s="8" t="s">
        <v>9</v>
      </c>
      <c r="C7" s="9" t="n">
        <v>63</v>
      </c>
      <c r="D7" s="9" t="n">
        <v>248</v>
      </c>
      <c r="E7" s="10" t="n">
        <v>1433909</v>
      </c>
      <c r="F7" s="11" t="n">
        <v>0.3247503069</v>
      </c>
      <c r="G7" s="12" t="s">
        <v>10</v>
      </c>
      <c r="H7" s="12"/>
    </row>
    <row r="8" customFormat="false" ht="12.75" hidden="false" customHeight="true" outlineLevel="0" collapsed="false">
      <c r="B8" s="13" t="s">
        <v>11</v>
      </c>
      <c r="C8" s="14" t="n">
        <v>36</v>
      </c>
      <c r="D8" s="14" t="n">
        <v>93</v>
      </c>
      <c r="E8" s="15" t="n">
        <v>959745</v>
      </c>
      <c r="F8" s="16" t="n">
        <v>0.2173621082</v>
      </c>
      <c r="G8" s="17" t="s">
        <v>12</v>
      </c>
      <c r="H8" s="17"/>
    </row>
    <row r="9" customFormat="false" ht="12.75" hidden="false" customHeight="true" outlineLevel="0" collapsed="false">
      <c r="B9" s="18" t="s">
        <v>13</v>
      </c>
      <c r="C9" s="19" t="n">
        <v>4</v>
      </c>
      <c r="D9" s="19" t="n">
        <v>20</v>
      </c>
      <c r="E9" s="20" t="n">
        <v>36176</v>
      </c>
      <c r="F9" s="21" t="n">
        <v>0.0081931051</v>
      </c>
      <c r="G9" s="12" t="s">
        <v>14</v>
      </c>
      <c r="H9" s="12"/>
    </row>
    <row r="10" customFormat="false" ht="12.75" hidden="false" customHeight="true" outlineLevel="0" collapsed="false">
      <c r="B10" s="22" t="s">
        <v>15</v>
      </c>
      <c r="C10" s="23" t="n">
        <v>88</v>
      </c>
      <c r="D10" s="23" t="n">
        <v>2074</v>
      </c>
      <c r="E10" s="24" t="n">
        <v>1132249</v>
      </c>
      <c r="F10" s="25" t="n">
        <v>0.2564306453</v>
      </c>
      <c r="G10" s="26"/>
      <c r="H10" s="26"/>
    </row>
    <row r="11" customFormat="false" ht="12.75" hidden="false" customHeight="true" outlineLevel="0" collapsed="false">
      <c r="B11" s="27" t="s">
        <v>16</v>
      </c>
      <c r="C11" s="28" t="n">
        <v>25</v>
      </c>
      <c r="D11" s="28" t="n">
        <v>219</v>
      </c>
      <c r="E11" s="29" t="n">
        <v>332670</v>
      </c>
      <c r="F11" s="30" t="n">
        <v>0.075342776</v>
      </c>
      <c r="G11" s="31"/>
      <c r="H11" s="31"/>
    </row>
    <row r="12" customFormat="false" ht="12.75" hidden="false" customHeight="true" outlineLevel="0" collapsed="false">
      <c r="B12" s="22" t="s">
        <v>17</v>
      </c>
      <c r="C12" s="23" t="n">
        <v>6</v>
      </c>
      <c r="D12" s="23" t="n">
        <v>135</v>
      </c>
      <c r="E12" s="24" t="n">
        <v>293057</v>
      </c>
      <c r="F12" s="25" t="n">
        <v>0.0663712625</v>
      </c>
      <c r="G12" s="26"/>
      <c r="H12" s="26"/>
    </row>
    <row r="13" customFormat="false" ht="12.75" hidden="false" customHeight="true" outlineLevel="0" collapsed="false">
      <c r="B13" s="27" t="s">
        <v>18</v>
      </c>
      <c r="C13" s="28" t="n">
        <v>125</v>
      </c>
      <c r="D13" s="28" t="n">
        <v>767</v>
      </c>
      <c r="E13" s="29" t="n">
        <v>227614</v>
      </c>
      <c r="F13" s="30" t="n">
        <v>0.0515497959</v>
      </c>
      <c r="G13" s="31"/>
      <c r="H13" s="31"/>
    </row>
    <row r="14" customFormat="false" ht="12.75" hidden="false" customHeight="true" outlineLevel="0" collapsed="false">
      <c r="B14" s="22" t="s">
        <v>19</v>
      </c>
      <c r="C14" s="23" t="n">
        <v>21</v>
      </c>
      <c r="D14" s="23" t="n">
        <v>19</v>
      </c>
      <c r="E14" s="24" t="n">
        <v>0</v>
      </c>
      <c r="F14" s="25" t="n">
        <v>0</v>
      </c>
      <c r="G14" s="32" t="s">
        <v>20</v>
      </c>
      <c r="H14" s="32"/>
    </row>
    <row r="15" customFormat="false" ht="13.5" hidden="false" customHeight="true" outlineLevel="0" collapsed="false">
      <c r="B15" s="33" t="s">
        <v>21</v>
      </c>
      <c r="C15" s="34" t="n">
        <v>370</v>
      </c>
      <c r="D15" s="34" t="n">
        <v>3575</v>
      </c>
      <c r="E15" s="35" t="n">
        <v>4415420</v>
      </c>
      <c r="F15" s="36" t="n">
        <v>1</v>
      </c>
      <c r="G15" s="37"/>
      <c r="H15" s="37"/>
    </row>
    <row r="17" customFormat="false" ht="16.5" hidden="false" customHeight="true" outlineLevel="0" collapsed="false">
      <c r="B17" s="3" t="s">
        <v>22</v>
      </c>
      <c r="C17" s="3"/>
      <c r="D17" s="3"/>
      <c r="E17" s="3"/>
      <c r="F17" s="3"/>
      <c r="G17" s="3"/>
      <c r="H17" s="3"/>
    </row>
    <row r="18" customFormat="false" ht="13.5" hidden="false" customHeight="true" outlineLevel="0" collapsed="false">
      <c r="B18" s="38" t="s">
        <v>23</v>
      </c>
      <c r="C18" s="39" t="s">
        <v>24</v>
      </c>
      <c r="D18" s="39"/>
      <c r="E18" s="39"/>
      <c r="F18" s="39"/>
      <c r="G18" s="39" t="s">
        <v>25</v>
      </c>
      <c r="H18" s="39"/>
    </row>
    <row r="19" customFormat="false" ht="33.75" hidden="false" customHeight="true" outlineLevel="0" collapsed="false">
      <c r="B19" s="40" t="s">
        <v>26</v>
      </c>
      <c r="C19" s="41" t="s">
        <v>27</v>
      </c>
      <c r="D19" s="41"/>
      <c r="E19" s="41"/>
      <c r="F19" s="41"/>
      <c r="G19" s="42" t="s">
        <v>28</v>
      </c>
      <c r="H19" s="42"/>
    </row>
    <row r="20" customFormat="false" ht="33.75" hidden="false" customHeight="true" outlineLevel="0" collapsed="false">
      <c r="B20" s="40" t="s">
        <v>29</v>
      </c>
      <c r="C20" s="43" t="s">
        <v>30</v>
      </c>
      <c r="D20" s="43"/>
      <c r="E20" s="43"/>
      <c r="F20" s="43"/>
      <c r="G20" s="42" t="s">
        <v>31</v>
      </c>
      <c r="H20" s="42"/>
    </row>
    <row r="21" customFormat="false" ht="33.75" hidden="false" customHeight="true" outlineLevel="0" collapsed="false">
      <c r="B21" s="40" t="s">
        <v>32</v>
      </c>
      <c r="C21" s="43" t="s">
        <v>33</v>
      </c>
      <c r="D21" s="43"/>
      <c r="E21" s="43"/>
      <c r="F21" s="43"/>
      <c r="G21" s="42" t="s">
        <v>34</v>
      </c>
      <c r="H21" s="42"/>
    </row>
    <row r="22" customFormat="false" ht="33.75" hidden="false" customHeight="true" outlineLevel="0" collapsed="false">
      <c r="B22" s="44" t="s">
        <v>35</v>
      </c>
      <c r="C22" s="45" t="s">
        <v>36</v>
      </c>
      <c r="D22" s="45"/>
      <c r="E22" s="45"/>
      <c r="F22" s="45"/>
      <c r="G22" s="46" t="s">
        <v>37</v>
      </c>
      <c r="H22" s="46"/>
    </row>
    <row r="23" customFormat="false" ht="33.75" hidden="false" customHeight="true" outlineLevel="0" collapsed="false">
      <c r="B23" s="47" t="s">
        <v>38</v>
      </c>
      <c r="C23" s="48" t="s">
        <v>39</v>
      </c>
      <c r="D23" s="48"/>
      <c r="E23" s="48"/>
      <c r="F23" s="48"/>
      <c r="G23" s="49" t="s">
        <v>40</v>
      </c>
      <c r="H23" s="49"/>
    </row>
    <row r="26" customFormat="false" ht="15" hidden="false" customHeight="false" outlineLevel="0" collapsed="false">
      <c r="B26" s="50" t="s">
        <v>41</v>
      </c>
    </row>
  </sheetData>
  <mergeCells count="25">
    <mergeCell ref="B2:H2"/>
    <mergeCell ref="B3:H3"/>
    <mergeCell ref="B5:H5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B17:H17"/>
    <mergeCell ref="C18:F18"/>
    <mergeCell ref="G18:H18"/>
    <mergeCell ref="C19:F19"/>
    <mergeCell ref="G19:H19"/>
    <mergeCell ref="C20:F20"/>
    <mergeCell ref="G20:H20"/>
    <mergeCell ref="C21:F21"/>
    <mergeCell ref="G21:H21"/>
    <mergeCell ref="C22:F22"/>
    <mergeCell ref="G22:H22"/>
    <mergeCell ref="C23:F23"/>
    <mergeCell ref="G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333"/>
    <pageSetUpPr fitToPage="false"/>
  </sheetPr>
  <dimension ref="B1:M463"/>
  <sheetViews>
    <sheetView showFormulas="false" showGridLines="false" showRowColHeaders="true" showZeros="true" rightToLeft="false" tabSelected="true" showOutlineSymbols="true" defaultGridColor="true" view="normal" topLeftCell="A445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10" min="7" style="0" width="6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2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" t="s">
        <v>42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3.5" hidden="false" customHeight="true" outlineLevel="0" collapsed="false">
      <c r="B3" s="51" t="s">
        <v>43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</row>
    <row r="4" customFormat="false" ht="7.5" hidden="false" customHeight="true" outlineLevel="0" collapsed="false"/>
    <row r="5" customFormat="false" ht="12.75" hidden="false" customHeight="true" outlineLevel="0" collapsed="false">
      <c r="B5" s="52" t="s">
        <v>44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</row>
    <row r="6" customFormat="false" ht="7.5" hidden="false" customHeight="true" outlineLevel="0" collapsed="false"/>
    <row r="7" customFormat="false" ht="13.5" hidden="false" customHeight="true" outlineLevel="0" collapsed="false">
      <c r="B7" s="53" t="s">
        <v>45</v>
      </c>
      <c r="C7" s="54" t="s">
        <v>46</v>
      </c>
      <c r="D7" s="53" t="s">
        <v>47</v>
      </c>
      <c r="E7" s="53" t="s">
        <v>3</v>
      </c>
      <c r="F7" s="55" t="s">
        <v>48</v>
      </c>
      <c r="G7" s="56" t="s">
        <v>49</v>
      </c>
      <c r="H7" s="56" t="s">
        <v>50</v>
      </c>
      <c r="I7" s="56" t="s">
        <v>51</v>
      </c>
      <c r="J7" s="56" t="s">
        <v>52</v>
      </c>
      <c r="K7" s="56" t="s">
        <v>53</v>
      </c>
      <c r="L7" s="56" t="s">
        <v>54</v>
      </c>
      <c r="M7" s="56" t="s">
        <v>55</v>
      </c>
    </row>
    <row r="8" customFormat="false" ht="15" hidden="false" customHeight="false" outlineLevel="0" collapsed="false">
      <c r="B8" s="57" t="s">
        <v>56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</row>
    <row r="9" customFormat="false" ht="12.75" hidden="false" customHeight="true" outlineLevel="0" collapsed="false">
      <c r="B9" s="58" t="s">
        <v>57</v>
      </c>
      <c r="C9" s="18" t="s">
        <v>58</v>
      </c>
      <c r="D9" s="18" t="s">
        <v>59</v>
      </c>
      <c r="E9" s="58" t="s">
        <v>9</v>
      </c>
      <c r="F9" s="59" t="s">
        <v>60</v>
      </c>
      <c r="G9" s="19" t="n">
        <v>1</v>
      </c>
      <c r="H9" s="19" t="n">
        <v>1</v>
      </c>
      <c r="I9" s="19" t="n">
        <v>0</v>
      </c>
      <c r="J9" s="19" t="n">
        <v>0</v>
      </c>
      <c r="K9" s="20" t="n">
        <v>12500</v>
      </c>
      <c r="L9" s="20" t="n">
        <v>12500</v>
      </c>
      <c r="M9" s="60" t="s">
        <v>61</v>
      </c>
    </row>
    <row r="10" customFormat="false" ht="12.75" hidden="false" customHeight="true" outlineLevel="0" collapsed="false">
      <c r="B10" s="58" t="s">
        <v>57</v>
      </c>
      <c r="C10" s="18" t="s">
        <v>62</v>
      </c>
      <c r="D10" s="18" t="s">
        <v>63</v>
      </c>
      <c r="E10" s="58" t="s">
        <v>9</v>
      </c>
      <c r="F10" s="59" t="s">
        <v>64</v>
      </c>
      <c r="G10" s="19" t="n">
        <v>1</v>
      </c>
      <c r="H10" s="19" t="n">
        <v>1</v>
      </c>
      <c r="I10" s="19" t="n">
        <v>0</v>
      </c>
      <c r="J10" s="19" t="n">
        <v>0</v>
      </c>
      <c r="K10" s="20" t="n">
        <v>2050</v>
      </c>
      <c r="L10" s="20" t="n">
        <v>2050</v>
      </c>
      <c r="M10" s="60" t="s">
        <v>61</v>
      </c>
    </row>
    <row r="11" customFormat="false" ht="12.75" hidden="false" customHeight="true" outlineLevel="0" collapsed="false">
      <c r="B11" s="61"/>
      <c r="C11" s="62" t="s">
        <v>65</v>
      </c>
      <c r="D11" s="62"/>
      <c r="E11" s="62"/>
      <c r="F11" s="62"/>
      <c r="G11" s="63" t="n">
        <v>2</v>
      </c>
      <c r="H11" s="61"/>
      <c r="I11" s="61"/>
      <c r="J11" s="61"/>
      <c r="K11" s="61"/>
      <c r="L11" s="63" t="n">
        <v>14550</v>
      </c>
      <c r="M11" s="61"/>
    </row>
    <row r="12" customFormat="false" ht="12.75" hidden="false" customHeight="true" outlineLevel="0" collapsed="false">
      <c r="B12" s="58" t="s">
        <v>66</v>
      </c>
      <c r="C12" s="18" t="s">
        <v>67</v>
      </c>
      <c r="D12" s="18" t="s">
        <v>68</v>
      </c>
      <c r="E12" s="58" t="s">
        <v>9</v>
      </c>
      <c r="F12" s="59" t="s">
        <v>60</v>
      </c>
      <c r="G12" s="19" t="n">
        <v>2</v>
      </c>
      <c r="H12" s="19" t="n">
        <v>3</v>
      </c>
      <c r="I12" s="19" t="n">
        <v>0</v>
      </c>
      <c r="J12" s="19" t="n">
        <v>1</v>
      </c>
      <c r="K12" s="20" t="n">
        <v>3300</v>
      </c>
      <c r="L12" s="20" t="n">
        <v>6600</v>
      </c>
      <c r="M12" s="60" t="s">
        <v>61</v>
      </c>
    </row>
    <row r="13" customFormat="false" ht="12.75" hidden="false" customHeight="true" outlineLevel="0" collapsed="false">
      <c r="B13" s="58" t="s">
        <v>66</v>
      </c>
      <c r="C13" s="18" t="s">
        <v>69</v>
      </c>
      <c r="D13" s="18" t="s">
        <v>68</v>
      </c>
      <c r="E13" s="58" t="s">
        <v>9</v>
      </c>
      <c r="F13" s="59" t="s">
        <v>60</v>
      </c>
      <c r="G13" s="19" t="n">
        <v>2</v>
      </c>
      <c r="H13" s="19" t="n">
        <v>3</v>
      </c>
      <c r="I13" s="19" t="n">
        <v>0</v>
      </c>
      <c r="J13" s="19" t="n">
        <v>1</v>
      </c>
      <c r="K13" s="20" t="n">
        <v>2000</v>
      </c>
      <c r="L13" s="20" t="n">
        <v>4000</v>
      </c>
      <c r="M13" s="60" t="s">
        <v>61</v>
      </c>
    </row>
    <row r="14" customFormat="false" ht="12.75" hidden="false" customHeight="true" outlineLevel="0" collapsed="false">
      <c r="B14" s="58" t="s">
        <v>66</v>
      </c>
      <c r="C14" s="18" t="s">
        <v>70</v>
      </c>
      <c r="D14" s="18" t="s">
        <v>68</v>
      </c>
      <c r="E14" s="58" t="s">
        <v>9</v>
      </c>
      <c r="F14" s="59" t="s">
        <v>71</v>
      </c>
      <c r="G14" s="19" t="n">
        <v>1</v>
      </c>
      <c r="H14" s="19" t="n">
        <v>1</v>
      </c>
      <c r="I14" s="19" t="n">
        <v>0</v>
      </c>
      <c r="J14" s="19" t="n">
        <v>0</v>
      </c>
      <c r="K14" s="20" t="n">
        <v>2200</v>
      </c>
      <c r="L14" s="20" t="n">
        <v>2200</v>
      </c>
      <c r="M14" s="60" t="s">
        <v>61</v>
      </c>
    </row>
    <row r="15" customFormat="false" ht="12.75" hidden="false" customHeight="true" outlineLevel="0" collapsed="false">
      <c r="B15" s="61"/>
      <c r="C15" s="62" t="s">
        <v>72</v>
      </c>
      <c r="D15" s="62"/>
      <c r="E15" s="62"/>
      <c r="F15" s="62"/>
      <c r="G15" s="63" t="n">
        <v>5</v>
      </c>
      <c r="H15" s="61"/>
      <c r="I15" s="61"/>
      <c r="J15" s="61"/>
      <c r="K15" s="61"/>
      <c r="L15" s="63" t="n">
        <v>12800</v>
      </c>
      <c r="M15" s="61"/>
    </row>
    <row r="16" customFormat="false" ht="12.75" hidden="false" customHeight="true" outlineLevel="0" collapsed="false">
      <c r="B16" s="58" t="s">
        <v>73</v>
      </c>
      <c r="C16" s="58" t="s">
        <v>74</v>
      </c>
      <c r="D16" s="58" t="s">
        <v>75</v>
      </c>
      <c r="E16" s="58" t="s">
        <v>9</v>
      </c>
      <c r="F16" s="64" t="s">
        <v>76</v>
      </c>
      <c r="G16" s="19" t="n">
        <v>113</v>
      </c>
      <c r="H16" s="19" t="n">
        <v>113</v>
      </c>
      <c r="I16" s="19" t="n">
        <v>0</v>
      </c>
      <c r="J16" s="19" t="n">
        <v>0</v>
      </c>
      <c r="K16" s="20" t="n">
        <v>200</v>
      </c>
      <c r="L16" s="20" t="n">
        <v>22600</v>
      </c>
      <c r="M16" s="60" t="s">
        <v>61</v>
      </c>
    </row>
    <row r="17" customFormat="false" ht="12.75" hidden="false" customHeight="true" outlineLevel="0" collapsed="false">
      <c r="B17" s="58" t="s">
        <v>73</v>
      </c>
      <c r="C17" s="18" t="s">
        <v>77</v>
      </c>
      <c r="D17" s="18" t="s">
        <v>78</v>
      </c>
      <c r="E17" s="58" t="s">
        <v>9</v>
      </c>
      <c r="F17" s="59" t="s">
        <v>64</v>
      </c>
      <c r="G17" s="19" t="n">
        <v>1</v>
      </c>
      <c r="H17" s="19" t="n">
        <v>1</v>
      </c>
      <c r="I17" s="19" t="n">
        <v>0</v>
      </c>
      <c r="J17" s="19" t="n">
        <v>0</v>
      </c>
      <c r="K17" s="20" t="n">
        <v>1596</v>
      </c>
      <c r="L17" s="20" t="n">
        <v>1596</v>
      </c>
      <c r="M17" s="60" t="s">
        <v>61</v>
      </c>
    </row>
    <row r="18" customFormat="false" ht="12.75" hidden="false" customHeight="true" outlineLevel="0" collapsed="false">
      <c r="B18" s="58" t="s">
        <v>73</v>
      </c>
      <c r="C18" s="18" t="s">
        <v>79</v>
      </c>
      <c r="D18" s="18" t="s">
        <v>78</v>
      </c>
      <c r="E18" s="58" t="s">
        <v>9</v>
      </c>
      <c r="F18" s="59" t="s">
        <v>64</v>
      </c>
      <c r="G18" s="19" t="n">
        <v>1</v>
      </c>
      <c r="H18" s="19" t="n">
        <v>1</v>
      </c>
      <c r="I18" s="19" t="n">
        <v>0</v>
      </c>
      <c r="J18" s="19" t="n">
        <v>0</v>
      </c>
      <c r="K18" s="20" t="n">
        <v>1200</v>
      </c>
      <c r="L18" s="20" t="n">
        <v>1200</v>
      </c>
      <c r="M18" s="60" t="s">
        <v>61</v>
      </c>
    </row>
    <row r="19" customFormat="false" ht="12.75" hidden="false" customHeight="true" outlineLevel="0" collapsed="false">
      <c r="B19" s="58" t="s">
        <v>73</v>
      </c>
      <c r="C19" s="18" t="s">
        <v>80</v>
      </c>
      <c r="D19" s="18" t="s">
        <v>78</v>
      </c>
      <c r="E19" s="58" t="s">
        <v>9</v>
      </c>
      <c r="F19" s="59" t="s">
        <v>64</v>
      </c>
      <c r="G19" s="19" t="n">
        <v>1</v>
      </c>
      <c r="H19" s="19" t="n">
        <v>1</v>
      </c>
      <c r="I19" s="19" t="n">
        <v>0</v>
      </c>
      <c r="J19" s="19" t="n">
        <v>0</v>
      </c>
      <c r="K19" s="20" t="n">
        <v>1126</v>
      </c>
      <c r="L19" s="20" t="n">
        <v>1126</v>
      </c>
      <c r="M19" s="60" t="s">
        <v>61</v>
      </c>
    </row>
    <row r="20" customFormat="false" ht="12.75" hidden="false" customHeight="true" outlineLevel="0" collapsed="false">
      <c r="B20" s="58" t="s">
        <v>73</v>
      </c>
      <c r="C20" s="18" t="s">
        <v>81</v>
      </c>
      <c r="D20" s="18" t="s">
        <v>78</v>
      </c>
      <c r="E20" s="58" t="s">
        <v>9</v>
      </c>
      <c r="F20" s="59" t="s">
        <v>64</v>
      </c>
      <c r="G20" s="19" t="n">
        <v>1</v>
      </c>
      <c r="H20" s="19" t="n">
        <v>1</v>
      </c>
      <c r="I20" s="19" t="n">
        <v>0</v>
      </c>
      <c r="J20" s="19" t="n">
        <v>0</v>
      </c>
      <c r="K20" s="20" t="n">
        <v>645</v>
      </c>
      <c r="L20" s="20" t="n">
        <v>645</v>
      </c>
      <c r="M20" s="60" t="s">
        <v>61</v>
      </c>
    </row>
    <row r="21" customFormat="false" ht="12.75" hidden="false" customHeight="true" outlineLevel="0" collapsed="false">
      <c r="B21" s="58" t="s">
        <v>73</v>
      </c>
      <c r="C21" s="18" t="s">
        <v>82</v>
      </c>
      <c r="D21" s="18" t="s">
        <v>78</v>
      </c>
      <c r="E21" s="58" t="s">
        <v>9</v>
      </c>
      <c r="F21" s="59" t="s">
        <v>64</v>
      </c>
      <c r="G21" s="19" t="n">
        <v>1</v>
      </c>
      <c r="H21" s="19" t="n">
        <v>1</v>
      </c>
      <c r="I21" s="19" t="n">
        <v>0</v>
      </c>
      <c r="J21" s="19" t="n">
        <v>0</v>
      </c>
      <c r="K21" s="20" t="n">
        <v>645</v>
      </c>
      <c r="L21" s="20" t="n">
        <v>645</v>
      </c>
      <c r="M21" s="60" t="s">
        <v>61</v>
      </c>
    </row>
    <row r="22" customFormat="false" ht="12.75" hidden="false" customHeight="true" outlineLevel="0" collapsed="false">
      <c r="B22" s="61"/>
      <c r="C22" s="62" t="s">
        <v>83</v>
      </c>
      <c r="D22" s="62"/>
      <c r="E22" s="62"/>
      <c r="F22" s="62"/>
      <c r="G22" s="63" t="n">
        <v>118</v>
      </c>
      <c r="H22" s="61"/>
      <c r="I22" s="61"/>
      <c r="J22" s="61"/>
      <c r="K22" s="61"/>
      <c r="L22" s="63" t="n">
        <v>27812</v>
      </c>
      <c r="M22" s="61"/>
    </row>
    <row r="23" customFormat="false" ht="12.75" hidden="false" customHeight="true" outlineLevel="0" collapsed="false">
      <c r="B23" s="58" t="s">
        <v>84</v>
      </c>
      <c r="C23" s="18" t="s">
        <v>85</v>
      </c>
      <c r="D23" s="18" t="s">
        <v>86</v>
      </c>
      <c r="E23" s="58" t="s">
        <v>9</v>
      </c>
      <c r="F23" s="59" t="s">
        <v>87</v>
      </c>
      <c r="G23" s="19" t="n">
        <v>1</v>
      </c>
      <c r="H23" s="19" t="n">
        <v>1</v>
      </c>
      <c r="I23" s="19" t="n">
        <v>0</v>
      </c>
      <c r="J23" s="19" t="n">
        <v>0</v>
      </c>
      <c r="K23" s="20" t="n">
        <v>41468</v>
      </c>
      <c r="L23" s="20" t="n">
        <v>41468</v>
      </c>
      <c r="M23" s="60" t="s">
        <v>61</v>
      </c>
    </row>
    <row r="24" customFormat="false" ht="12.75" hidden="false" customHeight="true" outlineLevel="0" collapsed="false">
      <c r="B24" s="58" t="s">
        <v>84</v>
      </c>
      <c r="C24" s="18" t="s">
        <v>88</v>
      </c>
      <c r="D24" s="18" t="s">
        <v>89</v>
      </c>
      <c r="E24" s="58" t="s">
        <v>9</v>
      </c>
      <c r="F24" s="59" t="s">
        <v>60</v>
      </c>
      <c r="G24" s="19" t="n">
        <v>1</v>
      </c>
      <c r="H24" s="19" t="n">
        <v>1</v>
      </c>
      <c r="I24" s="19" t="n">
        <v>0</v>
      </c>
      <c r="J24" s="19" t="n">
        <v>0</v>
      </c>
      <c r="K24" s="20" t="n">
        <v>33996</v>
      </c>
      <c r="L24" s="20" t="n">
        <v>33996</v>
      </c>
      <c r="M24" s="60" t="s">
        <v>61</v>
      </c>
    </row>
    <row r="25" customFormat="false" ht="12.75" hidden="false" customHeight="true" outlineLevel="0" collapsed="false">
      <c r="B25" s="58" t="s">
        <v>84</v>
      </c>
      <c r="C25" s="18" t="s">
        <v>90</v>
      </c>
      <c r="D25" s="18" t="s">
        <v>91</v>
      </c>
      <c r="E25" s="58" t="s">
        <v>9</v>
      </c>
      <c r="F25" s="59" t="s">
        <v>60</v>
      </c>
      <c r="G25" s="19" t="n">
        <v>1</v>
      </c>
      <c r="H25" s="19" t="n">
        <v>1</v>
      </c>
      <c r="I25" s="19" t="n">
        <v>0</v>
      </c>
      <c r="J25" s="19" t="n">
        <v>0</v>
      </c>
      <c r="K25" s="20" t="n">
        <v>33916</v>
      </c>
      <c r="L25" s="20" t="n">
        <v>33916</v>
      </c>
      <c r="M25" s="60" t="s">
        <v>61</v>
      </c>
    </row>
    <row r="26" customFormat="false" ht="12.75" hidden="false" customHeight="true" outlineLevel="0" collapsed="false">
      <c r="B26" s="58" t="s">
        <v>84</v>
      </c>
      <c r="C26" s="18" t="s">
        <v>92</v>
      </c>
      <c r="D26" s="18" t="s">
        <v>91</v>
      </c>
      <c r="E26" s="58" t="s">
        <v>9</v>
      </c>
      <c r="F26" s="59" t="s">
        <v>60</v>
      </c>
      <c r="G26" s="19" t="n">
        <v>1</v>
      </c>
      <c r="H26" s="19" t="n">
        <v>1</v>
      </c>
      <c r="I26" s="19" t="n">
        <v>0</v>
      </c>
      <c r="J26" s="19" t="n">
        <v>0</v>
      </c>
      <c r="K26" s="20" t="n">
        <v>31500</v>
      </c>
      <c r="L26" s="20" t="n">
        <v>31500</v>
      </c>
      <c r="M26" s="60" t="s">
        <v>61</v>
      </c>
    </row>
    <row r="27" customFormat="false" ht="12.75" hidden="false" customHeight="true" outlineLevel="0" collapsed="false">
      <c r="B27" s="58" t="s">
        <v>84</v>
      </c>
      <c r="C27" s="18" t="s">
        <v>93</v>
      </c>
      <c r="D27" s="18" t="s">
        <v>91</v>
      </c>
      <c r="E27" s="58" t="s">
        <v>9</v>
      </c>
      <c r="F27" s="59" t="s">
        <v>60</v>
      </c>
      <c r="G27" s="19" t="n">
        <v>1</v>
      </c>
      <c r="H27" s="19" t="n">
        <v>1</v>
      </c>
      <c r="I27" s="19" t="n">
        <v>0</v>
      </c>
      <c r="J27" s="19" t="n">
        <v>0</v>
      </c>
      <c r="K27" s="20" t="n">
        <v>31500</v>
      </c>
      <c r="L27" s="20" t="n">
        <v>31500</v>
      </c>
      <c r="M27" s="60" t="s">
        <v>61</v>
      </c>
    </row>
    <row r="28" customFormat="false" ht="12.75" hidden="false" customHeight="true" outlineLevel="0" collapsed="false">
      <c r="B28" s="58" t="s">
        <v>84</v>
      </c>
      <c r="C28" s="18" t="s">
        <v>94</v>
      </c>
      <c r="D28" s="18" t="s">
        <v>91</v>
      </c>
      <c r="E28" s="58" t="s">
        <v>9</v>
      </c>
      <c r="F28" s="59" t="s">
        <v>60</v>
      </c>
      <c r="G28" s="19" t="n">
        <v>1</v>
      </c>
      <c r="H28" s="19" t="n">
        <v>2</v>
      </c>
      <c r="I28" s="19" t="n">
        <v>0</v>
      </c>
      <c r="J28" s="19" t="n">
        <v>1</v>
      </c>
      <c r="K28" s="20" t="n">
        <v>24400</v>
      </c>
      <c r="L28" s="20" t="n">
        <v>24400</v>
      </c>
      <c r="M28" s="60" t="s">
        <v>61</v>
      </c>
    </row>
    <row r="29" customFormat="false" ht="12.75" hidden="false" customHeight="true" outlineLevel="0" collapsed="false">
      <c r="B29" s="58" t="s">
        <v>84</v>
      </c>
      <c r="C29" s="18" t="s">
        <v>95</v>
      </c>
      <c r="D29" s="18" t="s">
        <v>91</v>
      </c>
      <c r="E29" s="58" t="s">
        <v>9</v>
      </c>
      <c r="F29" s="59" t="s">
        <v>60</v>
      </c>
      <c r="G29" s="19" t="n">
        <v>1</v>
      </c>
      <c r="H29" s="19" t="n">
        <v>1</v>
      </c>
      <c r="I29" s="19" t="n">
        <v>0</v>
      </c>
      <c r="J29" s="19" t="n">
        <v>0</v>
      </c>
      <c r="K29" s="20" t="n">
        <v>24400</v>
      </c>
      <c r="L29" s="20" t="n">
        <v>24400</v>
      </c>
      <c r="M29" s="60" t="s">
        <v>61</v>
      </c>
    </row>
    <row r="30" customFormat="false" ht="12.75" hidden="false" customHeight="true" outlineLevel="0" collapsed="false">
      <c r="B30" s="58" t="s">
        <v>84</v>
      </c>
      <c r="C30" s="18" t="s">
        <v>96</v>
      </c>
      <c r="D30" s="18" t="s">
        <v>91</v>
      </c>
      <c r="E30" s="58" t="s">
        <v>9</v>
      </c>
      <c r="F30" s="59" t="s">
        <v>60</v>
      </c>
      <c r="G30" s="19" t="n">
        <v>1</v>
      </c>
      <c r="H30" s="19" t="n">
        <v>1</v>
      </c>
      <c r="I30" s="19" t="n">
        <v>0</v>
      </c>
      <c r="J30" s="19" t="n">
        <v>0</v>
      </c>
      <c r="K30" s="20" t="n">
        <v>24400</v>
      </c>
      <c r="L30" s="20" t="n">
        <v>24400</v>
      </c>
      <c r="M30" s="60" t="s">
        <v>61</v>
      </c>
    </row>
    <row r="31" customFormat="false" ht="12.75" hidden="false" customHeight="true" outlineLevel="0" collapsed="false">
      <c r="B31" s="58" t="s">
        <v>84</v>
      </c>
      <c r="C31" s="18" t="s">
        <v>97</v>
      </c>
      <c r="D31" s="18" t="s">
        <v>98</v>
      </c>
      <c r="E31" s="58" t="s">
        <v>9</v>
      </c>
      <c r="F31" s="59" t="s">
        <v>60</v>
      </c>
      <c r="G31" s="19" t="n">
        <v>1</v>
      </c>
      <c r="H31" s="19" t="n">
        <v>1</v>
      </c>
      <c r="I31" s="19" t="n">
        <v>0</v>
      </c>
      <c r="J31" s="19" t="n">
        <v>0</v>
      </c>
      <c r="K31" s="20" t="n">
        <v>22500</v>
      </c>
      <c r="L31" s="20" t="n">
        <v>22500</v>
      </c>
      <c r="M31" s="60" t="s">
        <v>61</v>
      </c>
    </row>
    <row r="32" customFormat="false" ht="12.75" hidden="false" customHeight="true" outlineLevel="0" collapsed="false">
      <c r="B32" s="58" t="s">
        <v>84</v>
      </c>
      <c r="C32" s="18" t="s">
        <v>99</v>
      </c>
      <c r="D32" s="18" t="s">
        <v>91</v>
      </c>
      <c r="E32" s="58" t="s">
        <v>9</v>
      </c>
      <c r="F32" s="59" t="s">
        <v>60</v>
      </c>
      <c r="G32" s="19" t="n">
        <v>1</v>
      </c>
      <c r="H32" s="19" t="n">
        <v>1</v>
      </c>
      <c r="I32" s="19" t="n">
        <v>0</v>
      </c>
      <c r="J32" s="19" t="n">
        <v>0</v>
      </c>
      <c r="K32" s="20" t="n">
        <v>20000</v>
      </c>
      <c r="L32" s="20" t="n">
        <v>20000</v>
      </c>
      <c r="M32" s="60" t="s">
        <v>61</v>
      </c>
    </row>
    <row r="33" customFormat="false" ht="12.75" hidden="false" customHeight="true" outlineLevel="0" collapsed="false">
      <c r="B33" s="58" t="s">
        <v>84</v>
      </c>
      <c r="C33" s="18" t="s">
        <v>100</v>
      </c>
      <c r="D33" s="18" t="s">
        <v>91</v>
      </c>
      <c r="E33" s="58" t="s">
        <v>9</v>
      </c>
      <c r="F33" s="59" t="s">
        <v>60</v>
      </c>
      <c r="G33" s="19" t="n">
        <v>1</v>
      </c>
      <c r="H33" s="19" t="n">
        <v>1</v>
      </c>
      <c r="I33" s="19" t="n">
        <v>0</v>
      </c>
      <c r="J33" s="19" t="n">
        <v>0</v>
      </c>
      <c r="K33" s="20" t="n">
        <v>20000</v>
      </c>
      <c r="L33" s="20" t="n">
        <v>20000</v>
      </c>
      <c r="M33" s="60" t="s">
        <v>61</v>
      </c>
    </row>
    <row r="34" customFormat="false" ht="12.75" hidden="false" customHeight="true" outlineLevel="0" collapsed="false">
      <c r="B34" s="58" t="s">
        <v>84</v>
      </c>
      <c r="C34" s="18" t="s">
        <v>101</v>
      </c>
      <c r="D34" s="18" t="s">
        <v>91</v>
      </c>
      <c r="E34" s="58" t="s">
        <v>9</v>
      </c>
      <c r="F34" s="59" t="s">
        <v>60</v>
      </c>
      <c r="G34" s="19" t="n">
        <v>0</v>
      </c>
      <c r="H34" s="19" t="n">
        <v>1</v>
      </c>
      <c r="I34" s="19" t="n">
        <v>0</v>
      </c>
      <c r="J34" s="19" t="n">
        <v>1</v>
      </c>
      <c r="K34" s="20" t="n">
        <v>31500</v>
      </c>
      <c r="L34" s="19" t="n">
        <v>0</v>
      </c>
      <c r="M34" s="60" t="s">
        <v>61</v>
      </c>
    </row>
    <row r="35" customFormat="false" ht="12.75" hidden="false" customHeight="true" outlineLevel="0" collapsed="false">
      <c r="B35" s="58" t="s">
        <v>84</v>
      </c>
      <c r="C35" s="18" t="s">
        <v>102</v>
      </c>
      <c r="D35" s="18" t="s">
        <v>103</v>
      </c>
      <c r="E35" s="58" t="s">
        <v>9</v>
      </c>
      <c r="F35" s="59" t="s">
        <v>87</v>
      </c>
      <c r="G35" s="19" t="n">
        <v>1</v>
      </c>
      <c r="H35" s="19" t="n">
        <v>1</v>
      </c>
      <c r="I35" s="19" t="n">
        <v>0</v>
      </c>
      <c r="J35" s="19" t="n">
        <v>0</v>
      </c>
      <c r="K35" s="19"/>
      <c r="L35" s="65" t="n">
        <v>0</v>
      </c>
      <c r="M35" s="60" t="s">
        <v>61</v>
      </c>
    </row>
    <row r="36" customFormat="false" ht="12.75" hidden="false" customHeight="true" outlineLevel="0" collapsed="false">
      <c r="B36" s="61"/>
      <c r="C36" s="62" t="s">
        <v>104</v>
      </c>
      <c r="D36" s="62"/>
      <c r="E36" s="62"/>
      <c r="F36" s="62"/>
      <c r="G36" s="63" t="n">
        <v>12</v>
      </c>
      <c r="H36" s="61"/>
      <c r="I36" s="61"/>
      <c r="J36" s="61"/>
      <c r="K36" s="61"/>
      <c r="L36" s="63" t="n">
        <v>308080</v>
      </c>
      <c r="M36" s="61"/>
    </row>
    <row r="37" customFormat="false" ht="12.75" hidden="false" customHeight="true" outlineLevel="0" collapsed="false">
      <c r="B37" s="58" t="s">
        <v>105</v>
      </c>
      <c r="C37" s="18" t="s">
        <v>106</v>
      </c>
      <c r="D37" s="18" t="s">
        <v>63</v>
      </c>
      <c r="E37" s="58" t="s">
        <v>9</v>
      </c>
      <c r="F37" s="59" t="s">
        <v>64</v>
      </c>
      <c r="G37" s="19" t="n">
        <v>5</v>
      </c>
      <c r="H37" s="19" t="n">
        <v>5</v>
      </c>
      <c r="I37" s="19" t="n">
        <v>0</v>
      </c>
      <c r="J37" s="19" t="n">
        <v>0</v>
      </c>
      <c r="K37" s="20" t="n">
        <v>494</v>
      </c>
      <c r="L37" s="20" t="n">
        <v>2470</v>
      </c>
      <c r="M37" s="60" t="s">
        <v>61</v>
      </c>
    </row>
    <row r="38" customFormat="false" ht="12.75" hidden="false" customHeight="true" outlineLevel="0" collapsed="false">
      <c r="B38" s="58" t="s">
        <v>105</v>
      </c>
      <c r="C38" s="18" t="s">
        <v>107</v>
      </c>
      <c r="D38" s="18" t="s">
        <v>63</v>
      </c>
      <c r="E38" s="58" t="s">
        <v>9</v>
      </c>
      <c r="F38" s="59" t="s">
        <v>64</v>
      </c>
      <c r="G38" s="19" t="n">
        <v>1</v>
      </c>
      <c r="H38" s="19" t="n">
        <v>1</v>
      </c>
      <c r="I38" s="19" t="n">
        <v>0</v>
      </c>
      <c r="J38" s="19" t="n">
        <v>0</v>
      </c>
      <c r="K38" s="20" t="n">
        <v>494</v>
      </c>
      <c r="L38" s="20" t="n">
        <v>494</v>
      </c>
      <c r="M38" s="60" t="s">
        <v>61</v>
      </c>
    </row>
    <row r="39" customFormat="false" ht="12.75" hidden="false" customHeight="true" outlineLevel="0" collapsed="false">
      <c r="B39" s="61"/>
      <c r="C39" s="62" t="s">
        <v>108</v>
      </c>
      <c r="D39" s="62"/>
      <c r="E39" s="62"/>
      <c r="F39" s="62"/>
      <c r="G39" s="63" t="n">
        <v>6</v>
      </c>
      <c r="H39" s="61"/>
      <c r="I39" s="61"/>
      <c r="J39" s="61"/>
      <c r="K39" s="61"/>
      <c r="L39" s="63" t="n">
        <v>2964</v>
      </c>
      <c r="M39" s="61"/>
    </row>
    <row r="40" customFormat="false" ht="12.75" hidden="false" customHeight="true" outlineLevel="0" collapsed="false">
      <c r="B40" s="58" t="s">
        <v>109</v>
      </c>
      <c r="C40" s="18" t="s">
        <v>110</v>
      </c>
      <c r="D40" s="18" t="s">
        <v>111</v>
      </c>
      <c r="E40" s="58" t="s">
        <v>9</v>
      </c>
      <c r="F40" s="59" t="s">
        <v>60</v>
      </c>
      <c r="G40" s="19" t="n">
        <v>15</v>
      </c>
      <c r="H40" s="19" t="n">
        <v>16</v>
      </c>
      <c r="I40" s="19" t="n">
        <v>0</v>
      </c>
      <c r="J40" s="19" t="n">
        <v>1</v>
      </c>
      <c r="K40" s="20" t="n">
        <v>2800</v>
      </c>
      <c r="L40" s="20" t="n">
        <v>42000</v>
      </c>
      <c r="M40" s="60" t="s">
        <v>61</v>
      </c>
    </row>
    <row r="41" customFormat="false" ht="12.75" hidden="false" customHeight="true" outlineLevel="0" collapsed="false">
      <c r="B41" s="58" t="s">
        <v>109</v>
      </c>
      <c r="C41" s="18" t="s">
        <v>112</v>
      </c>
      <c r="D41" s="18" t="s">
        <v>111</v>
      </c>
      <c r="E41" s="58" t="s">
        <v>9</v>
      </c>
      <c r="F41" s="59" t="s">
        <v>60</v>
      </c>
      <c r="G41" s="19" t="n">
        <v>11</v>
      </c>
      <c r="H41" s="19" t="n">
        <v>11</v>
      </c>
      <c r="I41" s="19" t="n">
        <v>0</v>
      </c>
      <c r="J41" s="19" t="n">
        <v>0</v>
      </c>
      <c r="K41" s="20" t="n">
        <v>2800</v>
      </c>
      <c r="L41" s="20" t="n">
        <v>30800</v>
      </c>
      <c r="M41" s="60" t="s">
        <v>61</v>
      </c>
    </row>
    <row r="42" customFormat="false" ht="12.75" hidden="false" customHeight="true" outlineLevel="0" collapsed="false">
      <c r="B42" s="58" t="s">
        <v>109</v>
      </c>
      <c r="C42" s="18" t="s">
        <v>113</v>
      </c>
      <c r="D42" s="18" t="s">
        <v>111</v>
      </c>
      <c r="E42" s="58" t="s">
        <v>9</v>
      </c>
      <c r="F42" s="59" t="s">
        <v>60</v>
      </c>
      <c r="G42" s="19" t="n">
        <v>9</v>
      </c>
      <c r="H42" s="19" t="n">
        <v>9</v>
      </c>
      <c r="I42" s="19" t="n">
        <v>1</v>
      </c>
      <c r="J42" s="19" t="n">
        <v>1</v>
      </c>
      <c r="K42" s="20" t="n">
        <v>2800</v>
      </c>
      <c r="L42" s="20" t="n">
        <v>25200</v>
      </c>
      <c r="M42" s="60" t="s">
        <v>61</v>
      </c>
    </row>
    <row r="43" customFormat="false" ht="12.75" hidden="false" customHeight="true" outlineLevel="0" collapsed="false">
      <c r="B43" s="58" t="s">
        <v>109</v>
      </c>
      <c r="C43" s="18" t="s">
        <v>114</v>
      </c>
      <c r="D43" s="18" t="s">
        <v>115</v>
      </c>
      <c r="E43" s="58" t="s">
        <v>9</v>
      </c>
      <c r="F43" s="59" t="s">
        <v>60</v>
      </c>
      <c r="G43" s="19" t="n">
        <v>3</v>
      </c>
      <c r="H43" s="19" t="n">
        <v>3</v>
      </c>
      <c r="I43" s="19" t="n">
        <v>0</v>
      </c>
      <c r="J43" s="19" t="n">
        <v>0</v>
      </c>
      <c r="K43" s="20" t="n">
        <v>7520</v>
      </c>
      <c r="L43" s="20" t="n">
        <v>22560</v>
      </c>
      <c r="M43" s="60" t="s">
        <v>61</v>
      </c>
    </row>
    <row r="44" customFormat="false" ht="12.75" hidden="false" customHeight="true" outlineLevel="0" collapsed="false">
      <c r="B44" s="58" t="s">
        <v>109</v>
      </c>
      <c r="C44" s="18" t="s">
        <v>116</v>
      </c>
      <c r="D44" s="18" t="s">
        <v>111</v>
      </c>
      <c r="E44" s="58" t="s">
        <v>9</v>
      </c>
      <c r="F44" s="59" t="s">
        <v>60</v>
      </c>
      <c r="G44" s="19" t="n">
        <v>8</v>
      </c>
      <c r="H44" s="19" t="n">
        <v>9</v>
      </c>
      <c r="I44" s="19" t="n">
        <v>0</v>
      </c>
      <c r="J44" s="19" t="n">
        <v>1</v>
      </c>
      <c r="K44" s="20" t="n">
        <v>2800</v>
      </c>
      <c r="L44" s="20" t="n">
        <v>22400</v>
      </c>
      <c r="M44" s="60" t="s">
        <v>61</v>
      </c>
    </row>
    <row r="45" customFormat="false" ht="12.75" hidden="false" customHeight="true" outlineLevel="0" collapsed="false">
      <c r="B45" s="58" t="s">
        <v>109</v>
      </c>
      <c r="C45" s="18" t="s">
        <v>117</v>
      </c>
      <c r="D45" s="18" t="s">
        <v>111</v>
      </c>
      <c r="E45" s="58" t="s">
        <v>9</v>
      </c>
      <c r="F45" s="59" t="s">
        <v>60</v>
      </c>
      <c r="G45" s="19" t="n">
        <v>7</v>
      </c>
      <c r="H45" s="19" t="n">
        <v>8</v>
      </c>
      <c r="I45" s="19" t="n">
        <v>0</v>
      </c>
      <c r="J45" s="19" t="n">
        <v>1</v>
      </c>
      <c r="K45" s="20" t="n">
        <v>2800</v>
      </c>
      <c r="L45" s="20" t="n">
        <v>19600</v>
      </c>
      <c r="M45" s="60" t="s">
        <v>61</v>
      </c>
    </row>
    <row r="46" customFormat="false" ht="12.75" hidden="false" customHeight="true" outlineLevel="0" collapsed="false">
      <c r="B46" s="58" t="s">
        <v>109</v>
      </c>
      <c r="C46" s="18" t="s">
        <v>118</v>
      </c>
      <c r="D46" s="18" t="s">
        <v>115</v>
      </c>
      <c r="E46" s="58" t="s">
        <v>9</v>
      </c>
      <c r="F46" s="59" t="s">
        <v>60</v>
      </c>
      <c r="G46" s="19" t="n">
        <v>1</v>
      </c>
      <c r="H46" s="19" t="n">
        <v>1</v>
      </c>
      <c r="I46" s="19" t="n">
        <v>0</v>
      </c>
      <c r="J46" s="19" t="n">
        <v>0</v>
      </c>
      <c r="K46" s="20" t="n">
        <v>7520</v>
      </c>
      <c r="L46" s="20" t="n">
        <v>7520</v>
      </c>
      <c r="M46" s="60" t="s">
        <v>61</v>
      </c>
    </row>
    <row r="47" customFormat="false" ht="12.75" hidden="false" customHeight="true" outlineLevel="0" collapsed="false">
      <c r="B47" s="58" t="s">
        <v>109</v>
      </c>
      <c r="C47" s="18" t="s">
        <v>119</v>
      </c>
      <c r="D47" s="18" t="s">
        <v>111</v>
      </c>
      <c r="E47" s="58" t="s">
        <v>9</v>
      </c>
      <c r="F47" s="59" t="s">
        <v>60</v>
      </c>
      <c r="G47" s="19" t="n">
        <v>1</v>
      </c>
      <c r="H47" s="19" t="n">
        <v>1</v>
      </c>
      <c r="I47" s="19" t="n">
        <v>0</v>
      </c>
      <c r="J47" s="19" t="n">
        <v>0</v>
      </c>
      <c r="K47" s="20" t="n">
        <v>2800</v>
      </c>
      <c r="L47" s="20" t="n">
        <v>2800</v>
      </c>
      <c r="M47" s="60" t="s">
        <v>61</v>
      </c>
    </row>
    <row r="48" customFormat="false" ht="12.75" hidden="false" customHeight="true" outlineLevel="0" collapsed="false">
      <c r="B48" s="58" t="s">
        <v>109</v>
      </c>
      <c r="C48" s="18" t="s">
        <v>120</v>
      </c>
      <c r="D48" s="18" t="s">
        <v>111</v>
      </c>
      <c r="E48" s="58" t="s">
        <v>9</v>
      </c>
      <c r="F48" s="59" t="s">
        <v>60</v>
      </c>
      <c r="G48" s="19" t="n">
        <v>1</v>
      </c>
      <c r="H48" s="19" t="n">
        <v>2</v>
      </c>
      <c r="I48" s="19" t="n">
        <v>0</v>
      </c>
      <c r="J48" s="19" t="n">
        <v>1</v>
      </c>
      <c r="K48" s="20" t="n">
        <v>2800</v>
      </c>
      <c r="L48" s="20" t="n">
        <v>2800</v>
      </c>
      <c r="M48" s="60" t="s">
        <v>61</v>
      </c>
    </row>
    <row r="49" customFormat="false" ht="12.75" hidden="false" customHeight="true" outlineLevel="0" collapsed="false">
      <c r="B49" s="58" t="s">
        <v>109</v>
      </c>
      <c r="C49" s="18" t="s">
        <v>121</v>
      </c>
      <c r="D49" s="18" t="s">
        <v>122</v>
      </c>
      <c r="E49" s="58" t="s">
        <v>9</v>
      </c>
      <c r="F49" s="59" t="s">
        <v>60</v>
      </c>
      <c r="G49" s="19" t="n">
        <v>1</v>
      </c>
      <c r="H49" s="19" t="n">
        <v>1</v>
      </c>
      <c r="I49" s="19" t="n">
        <v>0</v>
      </c>
      <c r="J49" s="19" t="n">
        <v>0</v>
      </c>
      <c r="K49" s="20" t="n">
        <v>600</v>
      </c>
      <c r="L49" s="20" t="n">
        <v>600</v>
      </c>
      <c r="M49" s="60" t="s">
        <v>61</v>
      </c>
    </row>
    <row r="50" customFormat="false" ht="12.75" hidden="false" customHeight="true" outlineLevel="0" collapsed="false">
      <c r="B50" s="58" t="s">
        <v>109</v>
      </c>
      <c r="C50" s="18" t="s">
        <v>123</v>
      </c>
      <c r="D50" s="18" t="s">
        <v>124</v>
      </c>
      <c r="E50" s="58" t="s">
        <v>9</v>
      </c>
      <c r="F50" s="59" t="s">
        <v>60</v>
      </c>
      <c r="G50" s="19" t="n">
        <v>1</v>
      </c>
      <c r="H50" s="19" t="n">
        <v>1</v>
      </c>
      <c r="I50" s="19" t="n">
        <v>0</v>
      </c>
      <c r="J50" s="19" t="n">
        <v>0</v>
      </c>
      <c r="K50" s="20" t="n">
        <v>600</v>
      </c>
      <c r="L50" s="20" t="n">
        <v>600</v>
      </c>
      <c r="M50" s="60" t="s">
        <v>61</v>
      </c>
    </row>
    <row r="51" customFormat="false" ht="12.75" hidden="false" customHeight="true" outlineLevel="0" collapsed="false">
      <c r="B51" s="61"/>
      <c r="C51" s="62" t="s">
        <v>125</v>
      </c>
      <c r="D51" s="62"/>
      <c r="E51" s="62"/>
      <c r="F51" s="62"/>
      <c r="G51" s="63" t="n">
        <v>58</v>
      </c>
      <c r="H51" s="61"/>
      <c r="I51" s="61"/>
      <c r="J51" s="61"/>
      <c r="K51" s="61"/>
      <c r="L51" s="63" t="n">
        <v>176880</v>
      </c>
      <c r="M51" s="61"/>
    </row>
    <row r="52" customFormat="false" ht="12.75" hidden="false" customHeight="true" outlineLevel="0" collapsed="false">
      <c r="B52" s="58" t="s">
        <v>126</v>
      </c>
      <c r="C52" s="18" t="s">
        <v>127</v>
      </c>
      <c r="D52" s="18" t="s">
        <v>91</v>
      </c>
      <c r="E52" s="58" t="s">
        <v>9</v>
      </c>
      <c r="F52" s="59" t="s">
        <v>60</v>
      </c>
      <c r="G52" s="19" t="n">
        <v>2</v>
      </c>
      <c r="H52" s="19" t="n">
        <v>2</v>
      </c>
      <c r="I52" s="19" t="n">
        <v>0</v>
      </c>
      <c r="J52" s="19" t="n">
        <v>0</v>
      </c>
      <c r="K52" s="20" t="n">
        <v>24400</v>
      </c>
      <c r="L52" s="20" t="n">
        <v>48800</v>
      </c>
      <c r="M52" s="60" t="s">
        <v>61</v>
      </c>
    </row>
    <row r="53" customFormat="false" ht="12.75" hidden="false" customHeight="true" outlineLevel="0" collapsed="false">
      <c r="B53" s="58" t="s">
        <v>126</v>
      </c>
      <c r="C53" s="18" t="s">
        <v>128</v>
      </c>
      <c r="D53" s="18" t="s">
        <v>91</v>
      </c>
      <c r="E53" s="58" t="s">
        <v>9</v>
      </c>
      <c r="F53" s="59" t="s">
        <v>60</v>
      </c>
      <c r="G53" s="19" t="n">
        <v>2</v>
      </c>
      <c r="H53" s="19" t="n">
        <v>2</v>
      </c>
      <c r="I53" s="19" t="n">
        <v>0</v>
      </c>
      <c r="J53" s="19" t="n">
        <v>0</v>
      </c>
      <c r="K53" s="20" t="n">
        <v>24400</v>
      </c>
      <c r="L53" s="20" t="n">
        <v>48800</v>
      </c>
      <c r="M53" s="60" t="s">
        <v>61</v>
      </c>
    </row>
    <row r="54" customFormat="false" ht="12.75" hidden="false" customHeight="true" outlineLevel="0" collapsed="false">
      <c r="B54" s="58" t="s">
        <v>126</v>
      </c>
      <c r="C54" s="18" t="s">
        <v>129</v>
      </c>
      <c r="D54" s="18" t="s">
        <v>91</v>
      </c>
      <c r="E54" s="58" t="s">
        <v>9</v>
      </c>
      <c r="F54" s="59" t="s">
        <v>60</v>
      </c>
      <c r="G54" s="19" t="n">
        <v>2</v>
      </c>
      <c r="H54" s="19" t="n">
        <v>2</v>
      </c>
      <c r="I54" s="19" t="n">
        <v>0</v>
      </c>
      <c r="J54" s="19" t="n">
        <v>0</v>
      </c>
      <c r="K54" s="20" t="n">
        <v>24400</v>
      </c>
      <c r="L54" s="20" t="n">
        <v>48800</v>
      </c>
      <c r="M54" s="60" t="s">
        <v>61</v>
      </c>
    </row>
    <row r="55" customFormat="false" ht="12.75" hidden="false" customHeight="true" outlineLevel="0" collapsed="false">
      <c r="B55" s="58" t="s">
        <v>126</v>
      </c>
      <c r="C55" s="18" t="s">
        <v>130</v>
      </c>
      <c r="D55" s="18" t="s">
        <v>86</v>
      </c>
      <c r="E55" s="58" t="s">
        <v>9</v>
      </c>
      <c r="F55" s="59" t="s">
        <v>60</v>
      </c>
      <c r="G55" s="19" t="n">
        <v>1</v>
      </c>
      <c r="H55" s="19" t="n">
        <v>1</v>
      </c>
      <c r="I55" s="19" t="n">
        <v>0</v>
      </c>
      <c r="J55" s="19" t="n">
        <v>0</v>
      </c>
      <c r="K55" s="20" t="n">
        <v>38000</v>
      </c>
      <c r="L55" s="20" t="n">
        <v>38000</v>
      </c>
      <c r="M55" s="60" t="s">
        <v>61</v>
      </c>
    </row>
    <row r="56" customFormat="false" ht="12.75" hidden="false" customHeight="true" outlineLevel="0" collapsed="false">
      <c r="B56" s="58" t="s">
        <v>126</v>
      </c>
      <c r="C56" s="18" t="s">
        <v>131</v>
      </c>
      <c r="D56" s="18" t="s">
        <v>132</v>
      </c>
      <c r="E56" s="58" t="s">
        <v>9</v>
      </c>
      <c r="F56" s="59" t="s">
        <v>60</v>
      </c>
      <c r="G56" s="19" t="n">
        <v>1</v>
      </c>
      <c r="H56" s="19" t="n">
        <v>1</v>
      </c>
      <c r="I56" s="19" t="n">
        <v>0</v>
      </c>
      <c r="J56" s="19" t="n">
        <v>0</v>
      </c>
      <c r="K56" s="20" t="n">
        <v>32760</v>
      </c>
      <c r="L56" s="20" t="n">
        <v>32760</v>
      </c>
      <c r="M56" s="60" t="s">
        <v>61</v>
      </c>
    </row>
    <row r="57" customFormat="false" ht="12.75" hidden="false" customHeight="true" outlineLevel="0" collapsed="false">
      <c r="B57" s="58" t="s">
        <v>126</v>
      </c>
      <c r="C57" s="18" t="s">
        <v>133</v>
      </c>
      <c r="D57" s="18" t="s">
        <v>134</v>
      </c>
      <c r="E57" s="58" t="s">
        <v>9</v>
      </c>
      <c r="F57" s="59" t="s">
        <v>64</v>
      </c>
      <c r="G57" s="19" t="n">
        <v>1</v>
      </c>
      <c r="H57" s="19" t="n">
        <v>1</v>
      </c>
      <c r="I57" s="19" t="n">
        <v>0</v>
      </c>
      <c r="J57" s="19" t="n">
        <v>0</v>
      </c>
      <c r="K57" s="20" t="n">
        <v>31550</v>
      </c>
      <c r="L57" s="20" t="n">
        <v>31550</v>
      </c>
      <c r="M57" s="60" t="s">
        <v>61</v>
      </c>
    </row>
    <row r="58" customFormat="false" ht="12.75" hidden="false" customHeight="true" outlineLevel="0" collapsed="false">
      <c r="B58" s="58" t="s">
        <v>126</v>
      </c>
      <c r="C58" s="18" t="s">
        <v>135</v>
      </c>
      <c r="D58" s="18" t="s">
        <v>136</v>
      </c>
      <c r="E58" s="58" t="s">
        <v>9</v>
      </c>
      <c r="F58" s="59" t="s">
        <v>60</v>
      </c>
      <c r="G58" s="19" t="n">
        <v>2</v>
      </c>
      <c r="H58" s="19" t="n">
        <v>2</v>
      </c>
      <c r="I58" s="19" t="n">
        <v>0</v>
      </c>
      <c r="J58" s="19" t="n">
        <v>0</v>
      </c>
      <c r="K58" s="20" t="n">
        <v>15000</v>
      </c>
      <c r="L58" s="20" t="n">
        <v>30000</v>
      </c>
      <c r="M58" s="60" t="s">
        <v>61</v>
      </c>
    </row>
    <row r="59" customFormat="false" ht="12.75" hidden="false" customHeight="true" outlineLevel="0" collapsed="false">
      <c r="B59" s="58" t="s">
        <v>126</v>
      </c>
      <c r="C59" s="18" t="s">
        <v>137</v>
      </c>
      <c r="D59" s="18" t="s">
        <v>132</v>
      </c>
      <c r="E59" s="58" t="s">
        <v>9</v>
      </c>
      <c r="F59" s="59" t="s">
        <v>60</v>
      </c>
      <c r="G59" s="19" t="n">
        <v>1</v>
      </c>
      <c r="H59" s="19" t="n">
        <v>1</v>
      </c>
      <c r="I59" s="19" t="n">
        <v>0</v>
      </c>
      <c r="J59" s="19" t="n">
        <v>0</v>
      </c>
      <c r="K59" s="20" t="n">
        <v>25220</v>
      </c>
      <c r="L59" s="20" t="n">
        <v>25220</v>
      </c>
      <c r="M59" s="60" t="s">
        <v>61</v>
      </c>
    </row>
    <row r="60" customFormat="false" ht="12.75" hidden="false" customHeight="true" outlineLevel="0" collapsed="false">
      <c r="B60" s="58" t="s">
        <v>126</v>
      </c>
      <c r="C60" s="18" t="s">
        <v>138</v>
      </c>
      <c r="D60" s="18" t="s">
        <v>91</v>
      </c>
      <c r="E60" s="58" t="s">
        <v>9</v>
      </c>
      <c r="F60" s="59" t="s">
        <v>60</v>
      </c>
      <c r="G60" s="19" t="n">
        <v>1</v>
      </c>
      <c r="H60" s="19" t="n">
        <v>1</v>
      </c>
      <c r="I60" s="19" t="n">
        <v>0</v>
      </c>
      <c r="J60" s="19" t="n">
        <v>0</v>
      </c>
      <c r="K60" s="20" t="n">
        <v>24400</v>
      </c>
      <c r="L60" s="20" t="n">
        <v>24400</v>
      </c>
      <c r="M60" s="60" t="s">
        <v>61</v>
      </c>
    </row>
    <row r="61" customFormat="false" ht="12.75" hidden="false" customHeight="true" outlineLevel="0" collapsed="false">
      <c r="B61" s="58" t="s">
        <v>126</v>
      </c>
      <c r="C61" s="18" t="s">
        <v>139</v>
      </c>
      <c r="D61" s="18" t="s">
        <v>91</v>
      </c>
      <c r="E61" s="58" t="s">
        <v>9</v>
      </c>
      <c r="F61" s="59" t="s">
        <v>60</v>
      </c>
      <c r="G61" s="19" t="n">
        <v>1</v>
      </c>
      <c r="H61" s="19" t="n">
        <v>1</v>
      </c>
      <c r="I61" s="19" t="n">
        <v>0</v>
      </c>
      <c r="J61" s="19" t="n">
        <v>0</v>
      </c>
      <c r="K61" s="20" t="n">
        <v>24400</v>
      </c>
      <c r="L61" s="20" t="n">
        <v>24400</v>
      </c>
      <c r="M61" s="60" t="s">
        <v>61</v>
      </c>
    </row>
    <row r="62" customFormat="false" ht="12.75" hidden="false" customHeight="true" outlineLevel="0" collapsed="false">
      <c r="B62" s="58" t="s">
        <v>126</v>
      </c>
      <c r="C62" s="18" t="s">
        <v>140</v>
      </c>
      <c r="D62" s="18" t="s">
        <v>91</v>
      </c>
      <c r="E62" s="58" t="s">
        <v>9</v>
      </c>
      <c r="F62" s="59" t="s">
        <v>60</v>
      </c>
      <c r="G62" s="19" t="n">
        <v>1</v>
      </c>
      <c r="H62" s="19" t="n">
        <v>1</v>
      </c>
      <c r="I62" s="19" t="n">
        <v>0</v>
      </c>
      <c r="J62" s="19" t="n">
        <v>0</v>
      </c>
      <c r="K62" s="20" t="n">
        <v>24400</v>
      </c>
      <c r="L62" s="20" t="n">
        <v>24400</v>
      </c>
      <c r="M62" s="60" t="s">
        <v>61</v>
      </c>
    </row>
    <row r="63" customFormat="false" ht="12.75" hidden="false" customHeight="true" outlineLevel="0" collapsed="false">
      <c r="B63" s="58" t="s">
        <v>126</v>
      </c>
      <c r="C63" s="18" t="s">
        <v>141</v>
      </c>
      <c r="D63" s="18" t="s">
        <v>91</v>
      </c>
      <c r="E63" s="58" t="s">
        <v>9</v>
      </c>
      <c r="F63" s="59" t="s">
        <v>60</v>
      </c>
      <c r="G63" s="19" t="n">
        <v>1</v>
      </c>
      <c r="H63" s="19" t="n">
        <v>1</v>
      </c>
      <c r="I63" s="19" t="n">
        <v>0</v>
      </c>
      <c r="J63" s="19" t="n">
        <v>0</v>
      </c>
      <c r="K63" s="20" t="n">
        <v>24400</v>
      </c>
      <c r="L63" s="20" t="n">
        <v>24400</v>
      </c>
      <c r="M63" s="60" t="s">
        <v>61</v>
      </c>
    </row>
    <row r="64" customFormat="false" ht="12.75" hidden="false" customHeight="true" outlineLevel="0" collapsed="false">
      <c r="B64" s="58" t="s">
        <v>126</v>
      </c>
      <c r="C64" s="18" t="s">
        <v>142</v>
      </c>
      <c r="D64" s="18" t="s">
        <v>91</v>
      </c>
      <c r="E64" s="58" t="s">
        <v>9</v>
      </c>
      <c r="F64" s="59" t="s">
        <v>60</v>
      </c>
      <c r="G64" s="19" t="n">
        <v>1</v>
      </c>
      <c r="H64" s="19" t="n">
        <v>1</v>
      </c>
      <c r="I64" s="19" t="n">
        <v>0</v>
      </c>
      <c r="J64" s="19" t="n">
        <v>0</v>
      </c>
      <c r="K64" s="20" t="n">
        <v>24400</v>
      </c>
      <c r="L64" s="20" t="n">
        <v>24400</v>
      </c>
      <c r="M64" s="60" t="s">
        <v>61</v>
      </c>
    </row>
    <row r="65" customFormat="false" ht="12.75" hidden="false" customHeight="true" outlineLevel="0" collapsed="false">
      <c r="B65" s="58" t="s">
        <v>126</v>
      </c>
      <c r="C65" s="18" t="s">
        <v>143</v>
      </c>
      <c r="D65" s="18" t="s">
        <v>91</v>
      </c>
      <c r="E65" s="58" t="s">
        <v>9</v>
      </c>
      <c r="F65" s="59" t="s">
        <v>60</v>
      </c>
      <c r="G65" s="19" t="n">
        <v>1</v>
      </c>
      <c r="H65" s="19" t="n">
        <v>1</v>
      </c>
      <c r="I65" s="19" t="n">
        <v>0</v>
      </c>
      <c r="J65" s="19" t="n">
        <v>0</v>
      </c>
      <c r="K65" s="20" t="n">
        <v>24400</v>
      </c>
      <c r="L65" s="20" t="n">
        <v>24400</v>
      </c>
      <c r="M65" s="60" t="s">
        <v>61</v>
      </c>
    </row>
    <row r="66" customFormat="false" ht="12.75" hidden="false" customHeight="true" outlineLevel="0" collapsed="false">
      <c r="B66" s="58" t="s">
        <v>126</v>
      </c>
      <c r="C66" s="18" t="s">
        <v>144</v>
      </c>
      <c r="D66" s="18" t="s">
        <v>91</v>
      </c>
      <c r="E66" s="58" t="s">
        <v>9</v>
      </c>
      <c r="F66" s="59" t="s">
        <v>60</v>
      </c>
      <c r="G66" s="19" t="n">
        <v>1</v>
      </c>
      <c r="H66" s="19" t="n">
        <v>1</v>
      </c>
      <c r="I66" s="19" t="n">
        <v>0</v>
      </c>
      <c r="J66" s="19" t="n">
        <v>0</v>
      </c>
      <c r="K66" s="20" t="n">
        <v>24400</v>
      </c>
      <c r="L66" s="20" t="n">
        <v>24400</v>
      </c>
      <c r="M66" s="60" t="s">
        <v>61</v>
      </c>
    </row>
    <row r="67" customFormat="false" ht="12.75" hidden="false" customHeight="true" outlineLevel="0" collapsed="false">
      <c r="B67" s="58" t="s">
        <v>126</v>
      </c>
      <c r="C67" s="18" t="s">
        <v>145</v>
      </c>
      <c r="D67" s="18" t="s">
        <v>132</v>
      </c>
      <c r="E67" s="58" t="s">
        <v>9</v>
      </c>
      <c r="F67" s="59" t="s">
        <v>60</v>
      </c>
      <c r="G67" s="19" t="n">
        <v>1</v>
      </c>
      <c r="H67" s="19" t="n">
        <v>1</v>
      </c>
      <c r="I67" s="19" t="n">
        <v>0</v>
      </c>
      <c r="J67" s="19" t="n">
        <v>0</v>
      </c>
      <c r="K67" s="20" t="n">
        <v>22260</v>
      </c>
      <c r="L67" s="20" t="n">
        <v>22260</v>
      </c>
      <c r="M67" s="60" t="s">
        <v>61</v>
      </c>
    </row>
    <row r="68" customFormat="false" ht="12.75" hidden="false" customHeight="true" outlineLevel="0" collapsed="false">
      <c r="B68" s="58" t="s">
        <v>126</v>
      </c>
      <c r="C68" s="18" t="s">
        <v>146</v>
      </c>
      <c r="D68" s="18" t="s">
        <v>91</v>
      </c>
      <c r="E68" s="58" t="s">
        <v>9</v>
      </c>
      <c r="F68" s="59" t="s">
        <v>60</v>
      </c>
      <c r="G68" s="19" t="n">
        <v>1</v>
      </c>
      <c r="H68" s="19" t="n">
        <v>1</v>
      </c>
      <c r="I68" s="19" t="n">
        <v>0</v>
      </c>
      <c r="J68" s="19" t="n">
        <v>0</v>
      </c>
      <c r="K68" s="20" t="n">
        <v>21720</v>
      </c>
      <c r="L68" s="20" t="n">
        <v>21720</v>
      </c>
      <c r="M68" s="60" t="s">
        <v>61</v>
      </c>
    </row>
    <row r="69" customFormat="false" ht="12.75" hidden="false" customHeight="true" outlineLevel="0" collapsed="false">
      <c r="B69" s="58" t="s">
        <v>126</v>
      </c>
      <c r="C69" s="18" t="s">
        <v>147</v>
      </c>
      <c r="D69" s="18" t="s">
        <v>148</v>
      </c>
      <c r="E69" s="58" t="s">
        <v>9</v>
      </c>
      <c r="F69" s="59" t="s">
        <v>64</v>
      </c>
      <c r="G69" s="19" t="n">
        <v>1</v>
      </c>
      <c r="H69" s="19" t="n">
        <v>1</v>
      </c>
      <c r="I69" s="19" t="n">
        <v>0</v>
      </c>
      <c r="J69" s="19" t="n">
        <v>0</v>
      </c>
      <c r="K69" s="20" t="n">
        <v>18000</v>
      </c>
      <c r="L69" s="20" t="n">
        <v>18000</v>
      </c>
      <c r="M69" s="60" t="s">
        <v>61</v>
      </c>
    </row>
    <row r="70" customFormat="false" ht="12.75" hidden="false" customHeight="true" outlineLevel="0" collapsed="false">
      <c r="B70" s="58" t="s">
        <v>126</v>
      </c>
      <c r="C70" s="18" t="s">
        <v>149</v>
      </c>
      <c r="D70" s="18" t="s">
        <v>136</v>
      </c>
      <c r="E70" s="58" t="s">
        <v>9</v>
      </c>
      <c r="F70" s="59" t="s">
        <v>87</v>
      </c>
      <c r="G70" s="19" t="n">
        <v>1</v>
      </c>
      <c r="H70" s="19" t="n">
        <v>1</v>
      </c>
      <c r="I70" s="19" t="n">
        <v>0</v>
      </c>
      <c r="J70" s="19" t="n">
        <v>0</v>
      </c>
      <c r="K70" s="20" t="n">
        <v>15000</v>
      </c>
      <c r="L70" s="20" t="n">
        <v>15000</v>
      </c>
      <c r="M70" s="60" t="s">
        <v>61</v>
      </c>
    </row>
    <row r="71" customFormat="false" ht="12.75" hidden="false" customHeight="true" outlineLevel="0" collapsed="false">
      <c r="B71" s="58" t="s">
        <v>126</v>
      </c>
      <c r="C71" s="18" t="s">
        <v>150</v>
      </c>
      <c r="D71" s="18" t="s">
        <v>103</v>
      </c>
      <c r="E71" s="58" t="s">
        <v>9</v>
      </c>
      <c r="F71" s="59" t="s">
        <v>64</v>
      </c>
      <c r="G71" s="19" t="n">
        <v>1</v>
      </c>
      <c r="H71" s="19" t="n">
        <v>1</v>
      </c>
      <c r="I71" s="19" t="n">
        <v>0</v>
      </c>
      <c r="J71" s="19" t="n">
        <v>0</v>
      </c>
      <c r="K71" s="20" t="n">
        <v>7825</v>
      </c>
      <c r="L71" s="20" t="n">
        <v>7825</v>
      </c>
      <c r="M71" s="60" t="s">
        <v>61</v>
      </c>
    </row>
    <row r="72" customFormat="false" ht="12.75" hidden="false" customHeight="true" outlineLevel="0" collapsed="false">
      <c r="B72" s="58" t="s">
        <v>126</v>
      </c>
      <c r="C72" s="18" t="s">
        <v>151</v>
      </c>
      <c r="D72" s="18" t="s">
        <v>103</v>
      </c>
      <c r="E72" s="58" t="s">
        <v>9</v>
      </c>
      <c r="F72" s="59" t="s">
        <v>64</v>
      </c>
      <c r="G72" s="19" t="n">
        <v>1</v>
      </c>
      <c r="H72" s="19" t="n">
        <v>1</v>
      </c>
      <c r="I72" s="19" t="n">
        <v>0</v>
      </c>
      <c r="J72" s="19" t="n">
        <v>0</v>
      </c>
      <c r="K72" s="20" t="n">
        <v>7825</v>
      </c>
      <c r="L72" s="20" t="n">
        <v>7825</v>
      </c>
      <c r="M72" s="60" t="s">
        <v>61</v>
      </c>
    </row>
    <row r="73" customFormat="false" ht="12.75" hidden="false" customHeight="true" outlineLevel="0" collapsed="false">
      <c r="B73" s="61"/>
      <c r="C73" s="62" t="s">
        <v>152</v>
      </c>
      <c r="D73" s="62"/>
      <c r="E73" s="62"/>
      <c r="F73" s="62"/>
      <c r="G73" s="63" t="n">
        <v>25</v>
      </c>
      <c r="H73" s="61"/>
      <c r="I73" s="61"/>
      <c r="J73" s="61"/>
      <c r="K73" s="61"/>
      <c r="L73" s="63" t="n">
        <v>567360</v>
      </c>
      <c r="M73" s="61"/>
    </row>
    <row r="74" customFormat="false" ht="12.75" hidden="false" customHeight="true" outlineLevel="0" collapsed="false">
      <c r="B74" s="58" t="s">
        <v>153</v>
      </c>
      <c r="C74" s="18" t="s">
        <v>154</v>
      </c>
      <c r="D74" s="18" t="s">
        <v>155</v>
      </c>
      <c r="E74" s="58" t="s">
        <v>9</v>
      </c>
      <c r="F74" s="59" t="s">
        <v>87</v>
      </c>
      <c r="G74" s="19" t="n">
        <v>17</v>
      </c>
      <c r="H74" s="19" t="n">
        <v>14</v>
      </c>
      <c r="I74" s="19" t="n">
        <v>4</v>
      </c>
      <c r="J74" s="19" t="n">
        <v>1</v>
      </c>
      <c r="K74" s="20" t="n">
        <v>14295</v>
      </c>
      <c r="L74" s="20" t="n">
        <v>243015</v>
      </c>
      <c r="M74" s="60" t="s">
        <v>61</v>
      </c>
    </row>
    <row r="75" customFormat="false" ht="12.75" hidden="false" customHeight="true" outlineLevel="0" collapsed="false">
      <c r="B75" s="58" t="s">
        <v>153</v>
      </c>
      <c r="C75" s="18" t="s">
        <v>156</v>
      </c>
      <c r="D75" s="18" t="s">
        <v>157</v>
      </c>
      <c r="E75" s="58" t="s">
        <v>9</v>
      </c>
      <c r="F75" s="59" t="s">
        <v>158</v>
      </c>
      <c r="G75" s="19" t="n">
        <v>2</v>
      </c>
      <c r="H75" s="19" t="n">
        <v>2</v>
      </c>
      <c r="I75" s="19" t="n">
        <v>0</v>
      </c>
      <c r="J75" s="19" t="n">
        <v>0</v>
      </c>
      <c r="K75" s="20" t="n">
        <v>24000</v>
      </c>
      <c r="L75" s="20" t="n">
        <v>48000</v>
      </c>
      <c r="M75" s="60" t="s">
        <v>61</v>
      </c>
    </row>
    <row r="76" customFormat="false" ht="12.75" hidden="false" customHeight="true" outlineLevel="0" collapsed="false">
      <c r="B76" s="58" t="s">
        <v>153</v>
      </c>
      <c r="C76" s="18" t="s">
        <v>159</v>
      </c>
      <c r="D76" s="18" t="s">
        <v>157</v>
      </c>
      <c r="E76" s="58" t="s">
        <v>9</v>
      </c>
      <c r="F76" s="59" t="s">
        <v>158</v>
      </c>
      <c r="G76" s="19" t="n">
        <v>1</v>
      </c>
      <c r="H76" s="19" t="n">
        <v>1</v>
      </c>
      <c r="I76" s="19" t="n">
        <v>0</v>
      </c>
      <c r="J76" s="19" t="n">
        <v>0</v>
      </c>
      <c r="K76" s="20" t="n">
        <v>22150</v>
      </c>
      <c r="L76" s="20" t="n">
        <v>22150</v>
      </c>
      <c r="M76" s="60" t="s">
        <v>61</v>
      </c>
    </row>
    <row r="77" customFormat="false" ht="12.75" hidden="false" customHeight="true" outlineLevel="0" collapsed="false">
      <c r="B77" s="58" t="s">
        <v>153</v>
      </c>
      <c r="C77" s="18" t="s">
        <v>160</v>
      </c>
      <c r="D77" s="18" t="s">
        <v>161</v>
      </c>
      <c r="E77" s="58" t="s">
        <v>9</v>
      </c>
      <c r="F77" s="59" t="s">
        <v>64</v>
      </c>
      <c r="G77" s="19" t="n">
        <v>1</v>
      </c>
      <c r="H77" s="19" t="n">
        <v>1</v>
      </c>
      <c r="I77" s="19" t="n">
        <v>0</v>
      </c>
      <c r="J77" s="19" t="n">
        <v>0</v>
      </c>
      <c r="K77" s="20" t="n">
        <v>6099</v>
      </c>
      <c r="L77" s="20" t="n">
        <v>6099</v>
      </c>
      <c r="M77" s="60" t="s">
        <v>61</v>
      </c>
    </row>
    <row r="78" customFormat="false" ht="12.75" hidden="false" customHeight="true" outlineLevel="0" collapsed="false">
      <c r="B78" s="58" t="s">
        <v>153</v>
      </c>
      <c r="C78" s="18" t="s">
        <v>162</v>
      </c>
      <c r="D78" s="18" t="s">
        <v>161</v>
      </c>
      <c r="E78" s="58" t="s">
        <v>9</v>
      </c>
      <c r="F78" s="59" t="s">
        <v>64</v>
      </c>
      <c r="G78" s="19" t="n">
        <v>1</v>
      </c>
      <c r="H78" s="19" t="n">
        <v>1</v>
      </c>
      <c r="I78" s="19" t="n">
        <v>0</v>
      </c>
      <c r="J78" s="19" t="n">
        <v>0</v>
      </c>
      <c r="K78" s="20" t="n">
        <v>4199</v>
      </c>
      <c r="L78" s="20" t="n">
        <v>4199</v>
      </c>
      <c r="M78" s="60" t="s">
        <v>61</v>
      </c>
    </row>
    <row r="79" customFormat="false" ht="12.75" hidden="false" customHeight="true" outlineLevel="0" collapsed="false">
      <c r="B79" s="61"/>
      <c r="C79" s="62" t="s">
        <v>163</v>
      </c>
      <c r="D79" s="62"/>
      <c r="E79" s="62"/>
      <c r="F79" s="62"/>
      <c r="G79" s="63" t="n">
        <v>22</v>
      </c>
      <c r="H79" s="61"/>
      <c r="I79" s="61"/>
      <c r="J79" s="61"/>
      <c r="K79" s="61"/>
      <c r="L79" s="63" t="n">
        <v>323463</v>
      </c>
      <c r="M79" s="61"/>
    </row>
    <row r="80" customFormat="false" ht="13.5" hidden="false" customHeight="true" outlineLevel="0" collapsed="false">
      <c r="B80" s="66" t="s">
        <v>164</v>
      </c>
      <c r="C80" s="66"/>
      <c r="D80" s="66"/>
      <c r="E80" s="66"/>
      <c r="F80" s="66"/>
      <c r="G80" s="67" t="n">
        <v>248</v>
      </c>
      <c r="H80" s="68"/>
      <c r="I80" s="68"/>
      <c r="J80" s="68"/>
      <c r="K80" s="68"/>
      <c r="L80" s="67" t="n">
        <v>1433909</v>
      </c>
      <c r="M80" s="68"/>
    </row>
    <row r="81" customFormat="false" ht="7.5" hidden="false" customHeight="true" outlineLevel="0" collapsed="false"/>
    <row r="82" customFormat="false" ht="15" hidden="false" customHeight="false" outlineLevel="0" collapsed="false">
      <c r="B82" s="69" t="s">
        <v>165</v>
      </c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</row>
    <row r="83" customFormat="false" ht="12.75" hidden="false" customHeight="true" outlineLevel="0" collapsed="false">
      <c r="B83" s="13" t="s">
        <v>166</v>
      </c>
      <c r="C83" s="13" t="s">
        <v>167</v>
      </c>
      <c r="D83" s="13" t="s">
        <v>168</v>
      </c>
      <c r="E83" s="13" t="s">
        <v>11</v>
      </c>
      <c r="F83" s="70"/>
      <c r="G83" s="14" t="n">
        <v>16</v>
      </c>
      <c r="H83" s="14" t="n">
        <v>16</v>
      </c>
      <c r="I83" s="14" t="n">
        <v>0</v>
      </c>
      <c r="J83" s="14" t="n">
        <v>0</v>
      </c>
      <c r="K83" s="15" t="n">
        <v>700</v>
      </c>
      <c r="L83" s="15" t="n">
        <v>11200</v>
      </c>
      <c r="M83" s="71" t="s">
        <v>61</v>
      </c>
    </row>
    <row r="84" customFormat="false" ht="12.75" hidden="false" customHeight="true" outlineLevel="0" collapsed="false">
      <c r="B84" s="13" t="s">
        <v>166</v>
      </c>
      <c r="C84" s="13" t="s">
        <v>169</v>
      </c>
      <c r="D84" s="13" t="s">
        <v>170</v>
      </c>
      <c r="E84" s="13" t="s">
        <v>11</v>
      </c>
      <c r="F84" s="70"/>
      <c r="G84" s="14" t="n">
        <v>5</v>
      </c>
      <c r="H84" s="14" t="n">
        <v>5</v>
      </c>
      <c r="I84" s="14" t="n">
        <v>0</v>
      </c>
      <c r="J84" s="14" t="n">
        <v>0</v>
      </c>
      <c r="K84" s="15" t="n">
        <v>600</v>
      </c>
      <c r="L84" s="15" t="n">
        <v>3000</v>
      </c>
      <c r="M84" s="71" t="s">
        <v>61</v>
      </c>
    </row>
    <row r="85" customFormat="false" ht="12.75" hidden="false" customHeight="true" outlineLevel="0" collapsed="false">
      <c r="B85" s="61"/>
      <c r="C85" s="62" t="s">
        <v>171</v>
      </c>
      <c r="D85" s="62"/>
      <c r="E85" s="62"/>
      <c r="F85" s="62"/>
      <c r="G85" s="63" t="n">
        <v>21</v>
      </c>
      <c r="H85" s="61"/>
      <c r="I85" s="61"/>
      <c r="J85" s="61"/>
      <c r="K85" s="61"/>
      <c r="L85" s="63" t="n">
        <v>14200</v>
      </c>
      <c r="M85" s="61"/>
    </row>
    <row r="86" customFormat="false" ht="12.75" hidden="false" customHeight="true" outlineLevel="0" collapsed="false">
      <c r="B86" s="13" t="s">
        <v>105</v>
      </c>
      <c r="C86" s="72" t="s">
        <v>172</v>
      </c>
      <c r="D86" s="72" t="s">
        <v>173</v>
      </c>
      <c r="E86" s="13" t="s">
        <v>11</v>
      </c>
      <c r="F86" s="70"/>
      <c r="G86" s="14" t="n">
        <v>6</v>
      </c>
      <c r="H86" s="14" t="n">
        <v>6</v>
      </c>
      <c r="I86" s="14" t="n">
        <v>0</v>
      </c>
      <c r="J86" s="14" t="n">
        <v>0</v>
      </c>
      <c r="K86" s="15" t="n">
        <v>2200</v>
      </c>
      <c r="L86" s="15" t="n">
        <v>13200</v>
      </c>
      <c r="M86" s="71" t="s">
        <v>61</v>
      </c>
    </row>
    <row r="87" customFormat="false" ht="12.75" hidden="false" customHeight="true" outlineLevel="0" collapsed="false">
      <c r="B87" s="13" t="s">
        <v>105</v>
      </c>
      <c r="C87" s="72" t="s">
        <v>174</v>
      </c>
      <c r="D87" s="72" t="s">
        <v>175</v>
      </c>
      <c r="E87" s="13" t="s">
        <v>11</v>
      </c>
      <c r="F87" s="70"/>
      <c r="G87" s="14" t="n">
        <v>2</v>
      </c>
      <c r="H87" s="14" t="n">
        <v>2</v>
      </c>
      <c r="I87" s="14" t="n">
        <v>0</v>
      </c>
      <c r="J87" s="14" t="n">
        <v>0</v>
      </c>
      <c r="K87" s="15" t="n">
        <v>2086</v>
      </c>
      <c r="L87" s="15" t="n">
        <v>4172</v>
      </c>
      <c r="M87" s="71" t="s">
        <v>61</v>
      </c>
    </row>
    <row r="88" customFormat="false" ht="12.75" hidden="false" customHeight="true" outlineLevel="0" collapsed="false">
      <c r="B88" s="13" t="s">
        <v>105</v>
      </c>
      <c r="C88" s="72" t="s">
        <v>176</v>
      </c>
      <c r="D88" s="72" t="s">
        <v>177</v>
      </c>
      <c r="E88" s="13" t="s">
        <v>11</v>
      </c>
      <c r="F88" s="70"/>
      <c r="G88" s="14" t="n">
        <v>1</v>
      </c>
      <c r="H88" s="14" t="n">
        <v>1</v>
      </c>
      <c r="I88" s="14" t="n">
        <v>1</v>
      </c>
      <c r="J88" s="14" t="n">
        <v>1</v>
      </c>
      <c r="K88" s="15" t="n">
        <v>2650</v>
      </c>
      <c r="L88" s="15" t="n">
        <v>2650</v>
      </c>
      <c r="M88" s="71" t="s">
        <v>61</v>
      </c>
    </row>
    <row r="89" customFormat="false" ht="12.75" hidden="false" customHeight="true" outlineLevel="0" collapsed="false">
      <c r="B89" s="13" t="s">
        <v>105</v>
      </c>
      <c r="C89" s="72" t="s">
        <v>178</v>
      </c>
      <c r="D89" s="72" t="s">
        <v>175</v>
      </c>
      <c r="E89" s="13" t="s">
        <v>11</v>
      </c>
      <c r="F89" s="70"/>
      <c r="G89" s="14" t="n">
        <v>1</v>
      </c>
      <c r="H89" s="14" t="n">
        <v>1</v>
      </c>
      <c r="I89" s="14" t="n">
        <v>0</v>
      </c>
      <c r="J89" s="14" t="n">
        <v>0</v>
      </c>
      <c r="K89" s="15" t="n">
        <v>2086</v>
      </c>
      <c r="L89" s="15" t="n">
        <v>2086</v>
      </c>
      <c r="M89" s="71" t="s">
        <v>61</v>
      </c>
    </row>
    <row r="90" customFormat="false" ht="12.75" hidden="false" customHeight="true" outlineLevel="0" collapsed="false">
      <c r="B90" s="13" t="s">
        <v>105</v>
      </c>
      <c r="C90" s="72" t="s">
        <v>179</v>
      </c>
      <c r="D90" s="72" t="s">
        <v>175</v>
      </c>
      <c r="E90" s="13" t="s">
        <v>11</v>
      </c>
      <c r="F90" s="70"/>
      <c r="G90" s="14" t="n">
        <v>1</v>
      </c>
      <c r="H90" s="14" t="n">
        <v>1</v>
      </c>
      <c r="I90" s="14" t="n">
        <v>0</v>
      </c>
      <c r="J90" s="14" t="n">
        <v>0</v>
      </c>
      <c r="K90" s="15" t="n">
        <v>1736</v>
      </c>
      <c r="L90" s="15" t="n">
        <v>1736</v>
      </c>
      <c r="M90" s="71" t="s">
        <v>61</v>
      </c>
    </row>
    <row r="91" customFormat="false" ht="12.75" hidden="false" customHeight="true" outlineLevel="0" collapsed="false">
      <c r="B91" s="13" t="s">
        <v>105</v>
      </c>
      <c r="C91" s="72" t="s">
        <v>180</v>
      </c>
      <c r="D91" s="72" t="s">
        <v>177</v>
      </c>
      <c r="E91" s="13" t="s">
        <v>11</v>
      </c>
      <c r="F91" s="70"/>
      <c r="G91" s="14" t="n">
        <v>1</v>
      </c>
      <c r="H91" s="14" t="n">
        <v>1</v>
      </c>
      <c r="I91" s="14" t="n">
        <v>0</v>
      </c>
      <c r="J91" s="14" t="n">
        <v>0</v>
      </c>
      <c r="K91" s="15" t="n">
        <v>1580</v>
      </c>
      <c r="L91" s="15" t="n">
        <v>1580</v>
      </c>
      <c r="M91" s="71" t="s">
        <v>61</v>
      </c>
    </row>
    <row r="92" customFormat="false" ht="12.75" hidden="false" customHeight="true" outlineLevel="0" collapsed="false">
      <c r="B92" s="13" t="s">
        <v>105</v>
      </c>
      <c r="C92" s="72" t="s">
        <v>181</v>
      </c>
      <c r="D92" s="72" t="s">
        <v>177</v>
      </c>
      <c r="E92" s="13" t="s">
        <v>11</v>
      </c>
      <c r="F92" s="70"/>
      <c r="G92" s="14" t="n">
        <v>0</v>
      </c>
      <c r="H92" s="14" t="n">
        <v>1</v>
      </c>
      <c r="I92" s="14" t="n">
        <v>0</v>
      </c>
      <c r="J92" s="14" t="n">
        <v>1</v>
      </c>
      <c r="K92" s="15" t="n">
        <v>1580</v>
      </c>
      <c r="L92" s="14" t="n">
        <v>0</v>
      </c>
      <c r="M92" s="71" t="s">
        <v>61</v>
      </c>
    </row>
    <row r="93" customFormat="false" ht="12.75" hidden="false" customHeight="true" outlineLevel="0" collapsed="false">
      <c r="B93" s="61"/>
      <c r="C93" s="62" t="s">
        <v>108</v>
      </c>
      <c r="D93" s="62"/>
      <c r="E93" s="62"/>
      <c r="F93" s="62"/>
      <c r="G93" s="63" t="n">
        <v>12</v>
      </c>
      <c r="H93" s="61"/>
      <c r="I93" s="61"/>
      <c r="J93" s="61"/>
      <c r="K93" s="61"/>
      <c r="L93" s="63" t="n">
        <v>25424</v>
      </c>
      <c r="M93" s="61"/>
    </row>
    <row r="94" customFormat="false" ht="12.75" hidden="false" customHeight="true" outlineLevel="0" collapsed="false">
      <c r="B94" s="13" t="s">
        <v>182</v>
      </c>
      <c r="C94" s="72" t="s">
        <v>183</v>
      </c>
      <c r="D94" s="72" t="s">
        <v>184</v>
      </c>
      <c r="E94" s="13" t="s">
        <v>11</v>
      </c>
      <c r="F94" s="70"/>
      <c r="G94" s="14" t="n">
        <v>1</v>
      </c>
      <c r="H94" s="14" t="n">
        <v>1</v>
      </c>
      <c r="I94" s="14" t="n">
        <v>0</v>
      </c>
      <c r="J94" s="14" t="n">
        <v>0</v>
      </c>
      <c r="K94" s="15" t="n">
        <v>3000</v>
      </c>
      <c r="L94" s="15" t="n">
        <v>3000</v>
      </c>
      <c r="M94" s="71" t="s">
        <v>61</v>
      </c>
    </row>
    <row r="95" customFormat="false" ht="12.75" hidden="false" customHeight="true" outlineLevel="0" collapsed="false">
      <c r="B95" s="61"/>
      <c r="C95" s="62" t="s">
        <v>185</v>
      </c>
      <c r="D95" s="62"/>
      <c r="E95" s="62"/>
      <c r="F95" s="62"/>
      <c r="G95" s="63" t="n">
        <v>1</v>
      </c>
      <c r="H95" s="61"/>
      <c r="I95" s="61"/>
      <c r="J95" s="61"/>
      <c r="K95" s="61"/>
      <c r="L95" s="63" t="n">
        <v>3000</v>
      </c>
      <c r="M95" s="61"/>
    </row>
    <row r="96" customFormat="false" ht="12.75" hidden="false" customHeight="true" outlineLevel="0" collapsed="false">
      <c r="B96" s="13" t="s">
        <v>126</v>
      </c>
      <c r="C96" s="72" t="s">
        <v>186</v>
      </c>
      <c r="D96" s="72" t="s">
        <v>187</v>
      </c>
      <c r="E96" s="13" t="s">
        <v>11</v>
      </c>
      <c r="F96" s="70"/>
      <c r="G96" s="14" t="n">
        <v>2</v>
      </c>
      <c r="H96" s="14" t="n">
        <v>2</v>
      </c>
      <c r="I96" s="14" t="n">
        <v>0</v>
      </c>
      <c r="J96" s="14" t="n">
        <v>0</v>
      </c>
      <c r="K96" s="15" t="n">
        <v>37200</v>
      </c>
      <c r="L96" s="15" t="n">
        <v>74400</v>
      </c>
      <c r="M96" s="71" t="s">
        <v>61</v>
      </c>
    </row>
    <row r="97" customFormat="false" ht="12.75" hidden="false" customHeight="true" outlineLevel="0" collapsed="false">
      <c r="B97" s="13" t="s">
        <v>126</v>
      </c>
      <c r="C97" s="72" t="s">
        <v>188</v>
      </c>
      <c r="D97" s="72" t="s">
        <v>189</v>
      </c>
      <c r="E97" s="13" t="s">
        <v>11</v>
      </c>
      <c r="F97" s="70"/>
      <c r="G97" s="14" t="n">
        <v>1</v>
      </c>
      <c r="H97" s="14" t="n">
        <v>1</v>
      </c>
      <c r="I97" s="14" t="n">
        <v>0</v>
      </c>
      <c r="J97" s="14" t="n">
        <v>0</v>
      </c>
      <c r="K97" s="15" t="n">
        <v>62600</v>
      </c>
      <c r="L97" s="15" t="n">
        <v>62600</v>
      </c>
      <c r="M97" s="71" t="s">
        <v>61</v>
      </c>
    </row>
    <row r="98" customFormat="false" ht="12.75" hidden="false" customHeight="true" outlineLevel="0" collapsed="false">
      <c r="B98" s="13" t="s">
        <v>126</v>
      </c>
      <c r="C98" s="72" t="s">
        <v>190</v>
      </c>
      <c r="D98" s="72" t="s">
        <v>189</v>
      </c>
      <c r="E98" s="13" t="s">
        <v>11</v>
      </c>
      <c r="F98" s="70"/>
      <c r="G98" s="14" t="n">
        <v>1</v>
      </c>
      <c r="H98" s="14" t="n">
        <v>1</v>
      </c>
      <c r="I98" s="14" t="n">
        <v>0</v>
      </c>
      <c r="J98" s="14" t="n">
        <v>0</v>
      </c>
      <c r="K98" s="15" t="n">
        <v>58687.5</v>
      </c>
      <c r="L98" s="15" t="n">
        <v>58688</v>
      </c>
      <c r="M98" s="71" t="s">
        <v>61</v>
      </c>
    </row>
    <row r="99" customFormat="false" ht="12.75" hidden="false" customHeight="true" outlineLevel="0" collapsed="false">
      <c r="B99" s="13" t="s">
        <v>126</v>
      </c>
      <c r="C99" s="72" t="s">
        <v>191</v>
      </c>
      <c r="D99" s="72" t="s">
        <v>187</v>
      </c>
      <c r="E99" s="13" t="s">
        <v>11</v>
      </c>
      <c r="F99" s="70"/>
      <c r="G99" s="14" t="n">
        <v>1</v>
      </c>
      <c r="H99" s="14" t="n">
        <v>1</v>
      </c>
      <c r="I99" s="14" t="n">
        <v>0</v>
      </c>
      <c r="J99" s="14" t="n">
        <v>0</v>
      </c>
      <c r="K99" s="15" t="n">
        <v>39707</v>
      </c>
      <c r="L99" s="15" t="n">
        <v>39707</v>
      </c>
      <c r="M99" s="71" t="s">
        <v>61</v>
      </c>
    </row>
    <row r="100" customFormat="false" ht="12.75" hidden="false" customHeight="true" outlineLevel="0" collapsed="false">
      <c r="B100" s="13" t="s">
        <v>126</v>
      </c>
      <c r="C100" s="72" t="s">
        <v>192</v>
      </c>
      <c r="D100" s="72" t="s">
        <v>187</v>
      </c>
      <c r="E100" s="13" t="s">
        <v>11</v>
      </c>
      <c r="F100" s="70"/>
      <c r="G100" s="14" t="n">
        <v>1</v>
      </c>
      <c r="H100" s="14" t="n">
        <v>1</v>
      </c>
      <c r="I100" s="14" t="n">
        <v>0</v>
      </c>
      <c r="J100" s="14" t="n">
        <v>0</v>
      </c>
      <c r="K100" s="15" t="n">
        <v>37200</v>
      </c>
      <c r="L100" s="15" t="n">
        <v>37200</v>
      </c>
      <c r="M100" s="71" t="s">
        <v>61</v>
      </c>
    </row>
    <row r="101" customFormat="false" ht="12.75" hidden="false" customHeight="true" outlineLevel="0" collapsed="false">
      <c r="B101" s="13" t="s">
        <v>126</v>
      </c>
      <c r="C101" s="72" t="s">
        <v>193</v>
      </c>
      <c r="D101" s="72" t="s">
        <v>187</v>
      </c>
      <c r="E101" s="13" t="s">
        <v>11</v>
      </c>
      <c r="F101" s="70"/>
      <c r="G101" s="14" t="n">
        <v>1</v>
      </c>
      <c r="H101" s="14" t="n">
        <v>1</v>
      </c>
      <c r="I101" s="14" t="n">
        <v>0</v>
      </c>
      <c r="J101" s="14" t="n">
        <v>0</v>
      </c>
      <c r="K101" s="15" t="n">
        <v>37200</v>
      </c>
      <c r="L101" s="15" t="n">
        <v>37200</v>
      </c>
      <c r="M101" s="71" t="s">
        <v>61</v>
      </c>
    </row>
    <row r="102" customFormat="false" ht="12.75" hidden="false" customHeight="true" outlineLevel="0" collapsed="false">
      <c r="B102" s="13" t="s">
        <v>126</v>
      </c>
      <c r="C102" s="72" t="s">
        <v>194</v>
      </c>
      <c r="D102" s="72" t="s">
        <v>187</v>
      </c>
      <c r="E102" s="13" t="s">
        <v>11</v>
      </c>
      <c r="F102" s="70"/>
      <c r="G102" s="14" t="n">
        <v>1</v>
      </c>
      <c r="H102" s="14" t="n">
        <v>1</v>
      </c>
      <c r="I102" s="14" t="n">
        <v>0</v>
      </c>
      <c r="J102" s="14" t="n">
        <v>0</v>
      </c>
      <c r="K102" s="15" t="n">
        <v>37200</v>
      </c>
      <c r="L102" s="15" t="n">
        <v>37200</v>
      </c>
      <c r="M102" s="71" t="s">
        <v>61</v>
      </c>
    </row>
    <row r="103" customFormat="false" ht="12.75" hidden="false" customHeight="true" outlineLevel="0" collapsed="false">
      <c r="B103" s="13" t="s">
        <v>126</v>
      </c>
      <c r="C103" s="72" t="s">
        <v>195</v>
      </c>
      <c r="D103" s="72" t="s">
        <v>187</v>
      </c>
      <c r="E103" s="13" t="s">
        <v>11</v>
      </c>
      <c r="F103" s="70"/>
      <c r="G103" s="14" t="n">
        <v>1</v>
      </c>
      <c r="H103" s="14" t="n">
        <v>1</v>
      </c>
      <c r="I103" s="14" t="n">
        <v>0</v>
      </c>
      <c r="J103" s="14" t="n">
        <v>0</v>
      </c>
      <c r="K103" s="15" t="n">
        <v>37200</v>
      </c>
      <c r="L103" s="15" t="n">
        <v>37200</v>
      </c>
      <c r="M103" s="71" t="s">
        <v>61</v>
      </c>
    </row>
    <row r="104" customFormat="false" ht="12.75" hidden="false" customHeight="true" outlineLevel="0" collapsed="false">
      <c r="B104" s="13" t="s">
        <v>126</v>
      </c>
      <c r="C104" s="72" t="s">
        <v>196</v>
      </c>
      <c r="D104" s="72" t="s">
        <v>187</v>
      </c>
      <c r="E104" s="13" t="s">
        <v>11</v>
      </c>
      <c r="F104" s="70"/>
      <c r="G104" s="14" t="n">
        <v>1</v>
      </c>
      <c r="H104" s="14" t="n">
        <v>1</v>
      </c>
      <c r="I104" s="14" t="n">
        <v>0</v>
      </c>
      <c r="J104" s="14" t="n">
        <v>0</v>
      </c>
      <c r="K104" s="15" t="n">
        <v>37200</v>
      </c>
      <c r="L104" s="15" t="n">
        <v>37200</v>
      </c>
      <c r="M104" s="71" t="s">
        <v>61</v>
      </c>
    </row>
    <row r="105" customFormat="false" ht="12.75" hidden="false" customHeight="true" outlineLevel="0" collapsed="false">
      <c r="B105" s="13" t="s">
        <v>126</v>
      </c>
      <c r="C105" s="72" t="s">
        <v>197</v>
      </c>
      <c r="D105" s="72" t="s">
        <v>187</v>
      </c>
      <c r="E105" s="13" t="s">
        <v>11</v>
      </c>
      <c r="F105" s="70"/>
      <c r="G105" s="14" t="n">
        <v>1</v>
      </c>
      <c r="H105" s="14" t="n">
        <v>1</v>
      </c>
      <c r="I105" s="14" t="n">
        <v>0</v>
      </c>
      <c r="J105" s="14" t="n">
        <v>0</v>
      </c>
      <c r="K105" s="15" t="n">
        <v>37200</v>
      </c>
      <c r="L105" s="15" t="n">
        <v>37200</v>
      </c>
      <c r="M105" s="71" t="s">
        <v>61</v>
      </c>
    </row>
    <row r="106" customFormat="false" ht="12.75" hidden="false" customHeight="true" outlineLevel="0" collapsed="false">
      <c r="B106" s="13" t="s">
        <v>126</v>
      </c>
      <c r="C106" s="72" t="s">
        <v>198</v>
      </c>
      <c r="D106" s="72" t="s">
        <v>187</v>
      </c>
      <c r="E106" s="13" t="s">
        <v>11</v>
      </c>
      <c r="F106" s="70"/>
      <c r="G106" s="14" t="n">
        <v>1</v>
      </c>
      <c r="H106" s="14" t="n">
        <v>1</v>
      </c>
      <c r="I106" s="14" t="n">
        <v>0</v>
      </c>
      <c r="J106" s="14" t="n">
        <v>0</v>
      </c>
      <c r="K106" s="15" t="n">
        <v>37200</v>
      </c>
      <c r="L106" s="15" t="n">
        <v>37200</v>
      </c>
      <c r="M106" s="71" t="s">
        <v>61</v>
      </c>
    </row>
    <row r="107" customFormat="false" ht="12.75" hidden="false" customHeight="true" outlineLevel="0" collapsed="false">
      <c r="B107" s="13" t="s">
        <v>126</v>
      </c>
      <c r="C107" s="72" t="s">
        <v>199</v>
      </c>
      <c r="D107" s="72" t="s">
        <v>187</v>
      </c>
      <c r="E107" s="13" t="s">
        <v>11</v>
      </c>
      <c r="F107" s="70"/>
      <c r="G107" s="14" t="n">
        <v>1</v>
      </c>
      <c r="H107" s="14" t="n">
        <v>1</v>
      </c>
      <c r="I107" s="14" t="n">
        <v>0</v>
      </c>
      <c r="J107" s="14" t="n">
        <v>0</v>
      </c>
      <c r="K107" s="15" t="n">
        <v>37200</v>
      </c>
      <c r="L107" s="15" t="n">
        <v>37200</v>
      </c>
      <c r="M107" s="71" t="s">
        <v>61</v>
      </c>
    </row>
    <row r="108" customFormat="false" ht="12.75" hidden="false" customHeight="true" outlineLevel="0" collapsed="false">
      <c r="B108" s="13" t="s">
        <v>126</v>
      </c>
      <c r="C108" s="72" t="s">
        <v>200</v>
      </c>
      <c r="D108" s="72" t="s">
        <v>187</v>
      </c>
      <c r="E108" s="13" t="s">
        <v>11</v>
      </c>
      <c r="F108" s="70"/>
      <c r="G108" s="14" t="n">
        <v>1</v>
      </c>
      <c r="H108" s="14" t="n">
        <v>1</v>
      </c>
      <c r="I108" s="14" t="n">
        <v>0</v>
      </c>
      <c r="J108" s="14" t="n">
        <v>0</v>
      </c>
      <c r="K108" s="15" t="n">
        <v>37200</v>
      </c>
      <c r="L108" s="15" t="n">
        <v>37200</v>
      </c>
      <c r="M108" s="71" t="s">
        <v>61</v>
      </c>
    </row>
    <row r="109" customFormat="false" ht="12.75" hidden="false" customHeight="true" outlineLevel="0" collapsed="false">
      <c r="B109" s="13" t="s">
        <v>126</v>
      </c>
      <c r="C109" s="72" t="s">
        <v>201</v>
      </c>
      <c r="D109" s="72" t="s">
        <v>202</v>
      </c>
      <c r="E109" s="13" t="s">
        <v>11</v>
      </c>
      <c r="F109" s="70"/>
      <c r="G109" s="14" t="n">
        <v>1</v>
      </c>
      <c r="H109" s="14" t="n">
        <v>1</v>
      </c>
      <c r="I109" s="14" t="n">
        <v>0</v>
      </c>
      <c r="J109" s="14" t="n">
        <v>0</v>
      </c>
      <c r="K109" s="15" t="n">
        <v>28000</v>
      </c>
      <c r="L109" s="15" t="n">
        <v>28000</v>
      </c>
      <c r="M109" s="71" t="s">
        <v>61</v>
      </c>
    </row>
    <row r="110" customFormat="false" ht="12.75" hidden="false" customHeight="true" outlineLevel="0" collapsed="false">
      <c r="B110" s="13" t="s">
        <v>126</v>
      </c>
      <c r="C110" s="72" t="s">
        <v>203</v>
      </c>
      <c r="D110" s="72" t="s">
        <v>187</v>
      </c>
      <c r="E110" s="13" t="s">
        <v>11</v>
      </c>
      <c r="F110" s="70"/>
      <c r="G110" s="14" t="n">
        <v>0</v>
      </c>
      <c r="H110" s="14" t="n">
        <v>1</v>
      </c>
      <c r="I110" s="14" t="n">
        <v>0</v>
      </c>
      <c r="J110" s="14" t="n">
        <v>1</v>
      </c>
      <c r="K110" s="15" t="n">
        <v>37200</v>
      </c>
      <c r="L110" s="14" t="n">
        <v>0</v>
      </c>
      <c r="M110" s="71" t="s">
        <v>61</v>
      </c>
    </row>
    <row r="111" customFormat="false" ht="12.75" hidden="false" customHeight="true" outlineLevel="0" collapsed="false">
      <c r="B111" s="13" t="s">
        <v>126</v>
      </c>
      <c r="C111" s="72" t="s">
        <v>204</v>
      </c>
      <c r="D111" s="72" t="s">
        <v>187</v>
      </c>
      <c r="E111" s="13" t="s">
        <v>11</v>
      </c>
      <c r="F111" s="70"/>
      <c r="G111" s="14" t="n">
        <v>0</v>
      </c>
      <c r="H111" s="14" t="n">
        <v>1</v>
      </c>
      <c r="I111" s="14" t="n">
        <v>0</v>
      </c>
      <c r="J111" s="14" t="n">
        <v>1</v>
      </c>
      <c r="K111" s="15" t="n">
        <v>37200</v>
      </c>
      <c r="L111" s="14" t="n">
        <v>0</v>
      </c>
      <c r="M111" s="71" t="s">
        <v>61</v>
      </c>
    </row>
    <row r="112" customFormat="false" ht="12.75" hidden="false" customHeight="true" outlineLevel="0" collapsed="false">
      <c r="B112" s="13" t="s">
        <v>126</v>
      </c>
      <c r="C112" s="72" t="s">
        <v>205</v>
      </c>
      <c r="D112" s="72" t="s">
        <v>187</v>
      </c>
      <c r="E112" s="13" t="s">
        <v>11</v>
      </c>
      <c r="F112" s="70"/>
      <c r="G112" s="14" t="n">
        <v>0</v>
      </c>
      <c r="H112" s="14" t="n">
        <v>1</v>
      </c>
      <c r="I112" s="14" t="n">
        <v>0</v>
      </c>
      <c r="J112" s="14" t="n">
        <v>1</v>
      </c>
      <c r="K112" s="15" t="n">
        <v>37200</v>
      </c>
      <c r="L112" s="14" t="n">
        <v>0</v>
      </c>
      <c r="M112" s="71" t="s">
        <v>61</v>
      </c>
    </row>
    <row r="113" customFormat="false" ht="12.75" hidden="false" customHeight="true" outlineLevel="0" collapsed="false">
      <c r="B113" s="13" t="s">
        <v>126</v>
      </c>
      <c r="C113" s="72" t="s">
        <v>206</v>
      </c>
      <c r="D113" s="72" t="s">
        <v>207</v>
      </c>
      <c r="E113" s="13" t="s">
        <v>11</v>
      </c>
      <c r="F113" s="70"/>
      <c r="G113" s="14" t="n">
        <v>0</v>
      </c>
      <c r="H113" s="14" t="n">
        <v>0</v>
      </c>
      <c r="I113" s="14" t="n">
        <v>2</v>
      </c>
      <c r="J113" s="14" t="n">
        <v>2</v>
      </c>
      <c r="K113" s="15" t="n">
        <v>38000</v>
      </c>
      <c r="L113" s="14" t="n">
        <v>0</v>
      </c>
      <c r="M113" s="71" t="s">
        <v>61</v>
      </c>
    </row>
    <row r="114" customFormat="false" ht="12.75" hidden="false" customHeight="true" outlineLevel="0" collapsed="false">
      <c r="B114" s="13" t="s">
        <v>126</v>
      </c>
      <c r="C114" s="72" t="s">
        <v>208</v>
      </c>
      <c r="D114" s="72" t="s">
        <v>207</v>
      </c>
      <c r="E114" s="13" t="s">
        <v>11</v>
      </c>
      <c r="F114" s="70"/>
      <c r="G114" s="14" t="n">
        <v>0</v>
      </c>
      <c r="H114" s="14" t="n">
        <v>0</v>
      </c>
      <c r="I114" s="14" t="n">
        <v>1</v>
      </c>
      <c r="J114" s="14" t="n">
        <v>1</v>
      </c>
      <c r="K114" s="15" t="n">
        <v>38000</v>
      </c>
      <c r="L114" s="14" t="n">
        <v>0</v>
      </c>
      <c r="M114" s="71" t="s">
        <v>61</v>
      </c>
    </row>
    <row r="115" customFormat="false" ht="12.75" hidden="false" customHeight="true" outlineLevel="0" collapsed="false">
      <c r="B115" s="13" t="s">
        <v>126</v>
      </c>
      <c r="C115" s="72" t="s">
        <v>209</v>
      </c>
      <c r="D115" s="72" t="s">
        <v>207</v>
      </c>
      <c r="E115" s="13" t="s">
        <v>11</v>
      </c>
      <c r="F115" s="70"/>
      <c r="G115" s="14" t="n">
        <v>0</v>
      </c>
      <c r="H115" s="14" t="n">
        <v>0</v>
      </c>
      <c r="I115" s="14" t="n">
        <v>1</v>
      </c>
      <c r="J115" s="14" t="n">
        <v>1</v>
      </c>
      <c r="K115" s="15" t="n">
        <v>38000</v>
      </c>
      <c r="L115" s="14" t="n">
        <v>0</v>
      </c>
      <c r="M115" s="71" t="s">
        <v>61</v>
      </c>
    </row>
    <row r="116" customFormat="false" ht="12.75" hidden="false" customHeight="true" outlineLevel="0" collapsed="false">
      <c r="B116" s="61"/>
      <c r="C116" s="62" t="s">
        <v>152</v>
      </c>
      <c r="D116" s="62"/>
      <c r="E116" s="62"/>
      <c r="F116" s="62"/>
      <c r="G116" s="63" t="n">
        <v>15</v>
      </c>
      <c r="H116" s="61"/>
      <c r="I116" s="61"/>
      <c r="J116" s="61"/>
      <c r="K116" s="61"/>
      <c r="L116" s="63" t="n">
        <v>598194.5</v>
      </c>
      <c r="M116" s="61"/>
    </row>
    <row r="117" customFormat="false" ht="12.75" hidden="false" customHeight="true" outlineLevel="0" collapsed="false">
      <c r="B117" s="13" t="s">
        <v>153</v>
      </c>
      <c r="C117" s="72" t="s">
        <v>210</v>
      </c>
      <c r="D117" s="72" t="s">
        <v>155</v>
      </c>
      <c r="E117" s="13" t="s">
        <v>11</v>
      </c>
      <c r="F117" s="70"/>
      <c r="G117" s="14" t="n">
        <v>25</v>
      </c>
      <c r="H117" s="14" t="n">
        <v>30</v>
      </c>
      <c r="I117" s="14" t="n">
        <v>2</v>
      </c>
      <c r="J117" s="14" t="n">
        <v>7</v>
      </c>
      <c r="K117" s="15" t="n">
        <v>6500</v>
      </c>
      <c r="L117" s="15" t="n">
        <v>162500</v>
      </c>
      <c r="M117" s="71" t="s">
        <v>61</v>
      </c>
    </row>
    <row r="118" customFormat="false" ht="12.75" hidden="false" customHeight="true" outlineLevel="0" collapsed="false">
      <c r="B118" s="13" t="s">
        <v>153</v>
      </c>
      <c r="C118" s="72" t="s">
        <v>211</v>
      </c>
      <c r="D118" s="72" t="s">
        <v>212</v>
      </c>
      <c r="E118" s="13" t="s">
        <v>11</v>
      </c>
      <c r="F118" s="70"/>
      <c r="G118" s="14" t="n">
        <v>11</v>
      </c>
      <c r="H118" s="14" t="n">
        <v>7</v>
      </c>
      <c r="I118" s="14" t="n">
        <v>26</v>
      </c>
      <c r="J118" s="14" t="n">
        <v>20</v>
      </c>
      <c r="K118" s="15" t="n">
        <v>7343.41</v>
      </c>
      <c r="L118" s="15" t="n">
        <v>80778</v>
      </c>
      <c r="M118" s="71" t="s">
        <v>61</v>
      </c>
    </row>
    <row r="119" customFormat="false" ht="12.75" hidden="false" customHeight="true" outlineLevel="0" collapsed="false">
      <c r="B119" s="13" t="s">
        <v>153</v>
      </c>
      <c r="C119" s="72" t="s">
        <v>213</v>
      </c>
      <c r="D119" s="72" t="s">
        <v>212</v>
      </c>
      <c r="E119" s="13" t="s">
        <v>11</v>
      </c>
      <c r="F119" s="70"/>
      <c r="G119" s="14" t="n">
        <v>6</v>
      </c>
      <c r="H119" s="14" t="n">
        <v>0</v>
      </c>
      <c r="I119" s="14" t="n">
        <v>121</v>
      </c>
      <c r="J119" s="14" t="n">
        <v>113</v>
      </c>
      <c r="K119" s="15" t="n">
        <v>7343.41</v>
      </c>
      <c r="L119" s="15" t="n">
        <v>44060</v>
      </c>
      <c r="M119" s="71" t="s">
        <v>61</v>
      </c>
    </row>
    <row r="120" customFormat="false" ht="12.75" hidden="false" customHeight="true" outlineLevel="0" collapsed="false">
      <c r="B120" s="13" t="s">
        <v>153</v>
      </c>
      <c r="C120" s="72" t="s">
        <v>214</v>
      </c>
      <c r="D120" s="72" t="s">
        <v>215</v>
      </c>
      <c r="E120" s="13" t="s">
        <v>11</v>
      </c>
      <c r="F120" s="70"/>
      <c r="G120" s="14" t="n">
        <v>1</v>
      </c>
      <c r="H120" s="14" t="n">
        <v>1</v>
      </c>
      <c r="I120" s="14" t="n">
        <v>0</v>
      </c>
      <c r="J120" s="14" t="n">
        <v>0</v>
      </c>
      <c r="K120" s="15" t="n">
        <v>18488</v>
      </c>
      <c r="L120" s="15" t="n">
        <v>18488</v>
      </c>
      <c r="M120" s="71" t="s">
        <v>61</v>
      </c>
    </row>
    <row r="121" customFormat="false" ht="12.75" hidden="false" customHeight="true" outlineLevel="0" collapsed="false">
      <c r="B121" s="13" t="s">
        <v>153</v>
      </c>
      <c r="C121" s="72" t="s">
        <v>216</v>
      </c>
      <c r="D121" s="72" t="s">
        <v>217</v>
      </c>
      <c r="E121" s="13" t="s">
        <v>11</v>
      </c>
      <c r="F121" s="70"/>
      <c r="G121" s="14" t="n">
        <v>1</v>
      </c>
      <c r="H121" s="14" t="n">
        <v>1</v>
      </c>
      <c r="I121" s="14" t="n">
        <v>0</v>
      </c>
      <c r="J121" s="14" t="n">
        <v>0</v>
      </c>
      <c r="K121" s="15" t="n">
        <v>13100</v>
      </c>
      <c r="L121" s="15" t="n">
        <v>13100</v>
      </c>
      <c r="M121" s="71" t="s">
        <v>61</v>
      </c>
    </row>
    <row r="122" customFormat="false" ht="12.75" hidden="false" customHeight="true" outlineLevel="0" collapsed="false">
      <c r="B122" s="13" t="s">
        <v>153</v>
      </c>
      <c r="C122" s="72" t="s">
        <v>218</v>
      </c>
      <c r="D122" s="72" t="s">
        <v>155</v>
      </c>
      <c r="E122" s="13" t="s">
        <v>11</v>
      </c>
      <c r="F122" s="70"/>
      <c r="G122" s="14" t="n">
        <v>0</v>
      </c>
      <c r="H122" s="14" t="n">
        <v>1</v>
      </c>
      <c r="I122" s="14" t="n">
        <v>0</v>
      </c>
      <c r="J122" s="14" t="n">
        <v>1</v>
      </c>
      <c r="K122" s="15" t="n">
        <v>6000</v>
      </c>
      <c r="L122" s="14" t="n">
        <v>0</v>
      </c>
      <c r="M122" s="71" t="s">
        <v>61</v>
      </c>
    </row>
    <row r="123" customFormat="false" ht="12.75" hidden="false" customHeight="true" outlineLevel="0" collapsed="false">
      <c r="B123" s="61"/>
      <c r="C123" s="62" t="s">
        <v>163</v>
      </c>
      <c r="D123" s="62"/>
      <c r="E123" s="62"/>
      <c r="F123" s="62"/>
      <c r="G123" s="63" t="n">
        <v>48</v>
      </c>
      <c r="H123" s="61"/>
      <c r="I123" s="61"/>
      <c r="J123" s="61"/>
      <c r="K123" s="61"/>
      <c r="L123" s="63" t="n">
        <v>348299.61</v>
      </c>
      <c r="M123" s="61"/>
    </row>
    <row r="124" customFormat="false" ht="13.5" hidden="false" customHeight="true" outlineLevel="0" collapsed="false">
      <c r="B124" s="66" t="s">
        <v>219</v>
      </c>
      <c r="C124" s="66"/>
      <c r="D124" s="66"/>
      <c r="E124" s="66"/>
      <c r="F124" s="66"/>
      <c r="G124" s="67" t="n">
        <v>97</v>
      </c>
      <c r="H124" s="68"/>
      <c r="I124" s="68"/>
      <c r="J124" s="68"/>
      <c r="K124" s="68"/>
      <c r="L124" s="67" t="n">
        <v>989118.11</v>
      </c>
      <c r="M124" s="68"/>
    </row>
    <row r="125" customFormat="false" ht="7.5" hidden="false" customHeight="true" outlineLevel="0" collapsed="false"/>
    <row r="126" customFormat="false" ht="15" hidden="false" customHeight="false" outlineLevel="0" collapsed="false">
      <c r="B126" s="73" t="s">
        <v>220</v>
      </c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</row>
    <row r="127" customFormat="false" ht="12.75" hidden="false" customHeight="true" outlineLevel="0" collapsed="false">
      <c r="B127" s="58" t="s">
        <v>109</v>
      </c>
      <c r="C127" s="18" t="s">
        <v>221</v>
      </c>
      <c r="D127" s="18" t="s">
        <v>215</v>
      </c>
      <c r="E127" s="18" t="s">
        <v>13</v>
      </c>
      <c r="F127" s="64"/>
      <c r="G127" s="19" t="n">
        <v>10</v>
      </c>
      <c r="H127" s="19" t="n">
        <v>10</v>
      </c>
      <c r="I127" s="19" t="n">
        <v>0</v>
      </c>
      <c r="J127" s="19" t="n">
        <v>0</v>
      </c>
      <c r="K127" s="20" t="n">
        <v>1804</v>
      </c>
      <c r="L127" s="20" t="n">
        <v>18040</v>
      </c>
      <c r="M127" s="60" t="s">
        <v>61</v>
      </c>
    </row>
    <row r="128" customFormat="false" ht="12.75" hidden="false" customHeight="true" outlineLevel="0" collapsed="false">
      <c r="B128" s="58" t="s">
        <v>109</v>
      </c>
      <c r="C128" s="18" t="s">
        <v>222</v>
      </c>
      <c r="D128" s="18" t="s">
        <v>215</v>
      </c>
      <c r="E128" s="18" t="s">
        <v>13</v>
      </c>
      <c r="F128" s="64"/>
      <c r="G128" s="19" t="n">
        <v>9</v>
      </c>
      <c r="H128" s="19" t="n">
        <v>9</v>
      </c>
      <c r="I128" s="19" t="n">
        <v>0</v>
      </c>
      <c r="J128" s="19" t="n">
        <v>0</v>
      </c>
      <c r="K128" s="20" t="n">
        <v>1804</v>
      </c>
      <c r="L128" s="20" t="n">
        <v>16236</v>
      </c>
      <c r="M128" s="60" t="s">
        <v>61</v>
      </c>
    </row>
    <row r="129" customFormat="false" ht="12.75" hidden="false" customHeight="true" outlineLevel="0" collapsed="false">
      <c r="B129" s="58" t="s">
        <v>109</v>
      </c>
      <c r="C129" s="18" t="s">
        <v>223</v>
      </c>
      <c r="D129" s="18" t="s">
        <v>215</v>
      </c>
      <c r="E129" s="18" t="s">
        <v>13</v>
      </c>
      <c r="F129" s="64"/>
      <c r="G129" s="19" t="n">
        <v>1</v>
      </c>
      <c r="H129" s="19" t="n">
        <v>2</v>
      </c>
      <c r="I129" s="19" t="n">
        <v>0</v>
      </c>
      <c r="J129" s="19" t="n">
        <v>1</v>
      </c>
      <c r="K129" s="20" t="n">
        <v>1900</v>
      </c>
      <c r="L129" s="20" t="n">
        <v>1900</v>
      </c>
      <c r="M129" s="60" t="s">
        <v>61</v>
      </c>
    </row>
    <row r="130" customFormat="false" ht="12.75" hidden="false" customHeight="true" outlineLevel="0" collapsed="false">
      <c r="B130" s="58" t="s">
        <v>109</v>
      </c>
      <c r="C130" s="18" t="s">
        <v>224</v>
      </c>
      <c r="D130" s="18" t="s">
        <v>215</v>
      </c>
      <c r="E130" s="18" t="s">
        <v>13</v>
      </c>
      <c r="F130" s="64"/>
      <c r="G130" s="19" t="n">
        <v>0</v>
      </c>
      <c r="H130" s="19" t="n">
        <v>1</v>
      </c>
      <c r="I130" s="19" t="n">
        <v>0</v>
      </c>
      <c r="J130" s="19" t="n">
        <v>1</v>
      </c>
      <c r="K130" s="20" t="n">
        <v>1900</v>
      </c>
      <c r="L130" s="19" t="n">
        <v>0</v>
      </c>
      <c r="M130" s="60" t="s">
        <v>61</v>
      </c>
    </row>
    <row r="131" customFormat="false" ht="12.75" hidden="false" customHeight="true" outlineLevel="0" collapsed="false">
      <c r="B131" s="61"/>
      <c r="C131" s="62" t="s">
        <v>125</v>
      </c>
      <c r="D131" s="62"/>
      <c r="E131" s="62"/>
      <c r="F131" s="62"/>
      <c r="G131" s="63" t="n">
        <v>20</v>
      </c>
      <c r="H131" s="61"/>
      <c r="I131" s="61"/>
      <c r="J131" s="61"/>
      <c r="K131" s="61"/>
      <c r="L131" s="63" t="n">
        <v>36176</v>
      </c>
      <c r="M131" s="61"/>
    </row>
    <row r="132" customFormat="false" ht="13.5" hidden="false" customHeight="true" outlineLevel="0" collapsed="false">
      <c r="B132" s="74" t="s">
        <v>225</v>
      </c>
      <c r="C132" s="74"/>
      <c r="D132" s="74"/>
      <c r="E132" s="74"/>
      <c r="F132" s="74"/>
      <c r="G132" s="67" t="n">
        <v>20</v>
      </c>
      <c r="H132" s="68"/>
      <c r="I132" s="68"/>
      <c r="J132" s="68"/>
      <c r="K132" s="68"/>
      <c r="L132" s="67" t="n">
        <v>36176</v>
      </c>
      <c r="M132" s="68"/>
    </row>
    <row r="133" customFormat="false" ht="7.5" hidden="false" customHeight="true" outlineLevel="0" collapsed="false"/>
    <row r="134" customFormat="false" ht="15" hidden="false" customHeight="false" outlineLevel="0" collapsed="false">
      <c r="B134" s="75" t="s">
        <v>226</v>
      </c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</row>
    <row r="135" customFormat="false" ht="12.75" hidden="false" customHeight="true" outlineLevel="0" collapsed="false">
      <c r="B135" s="27" t="s">
        <v>227</v>
      </c>
      <c r="C135" s="76" t="s">
        <v>228</v>
      </c>
      <c r="D135" s="76" t="s">
        <v>68</v>
      </c>
      <c r="E135" s="27" t="s">
        <v>15</v>
      </c>
      <c r="F135" s="77"/>
      <c r="G135" s="28" t="n">
        <v>2</v>
      </c>
      <c r="H135" s="28" t="n">
        <v>2</v>
      </c>
      <c r="I135" s="28" t="n">
        <v>0</v>
      </c>
      <c r="J135" s="28" t="n">
        <v>0</v>
      </c>
      <c r="K135" s="29" t="n">
        <v>1225</v>
      </c>
      <c r="L135" s="29" t="n">
        <v>2450</v>
      </c>
      <c r="M135" s="78" t="s">
        <v>61</v>
      </c>
    </row>
    <row r="136" customFormat="false" ht="12.75" hidden="false" customHeight="true" outlineLevel="0" collapsed="false">
      <c r="B136" s="22" t="s">
        <v>227</v>
      </c>
      <c r="C136" s="79" t="s">
        <v>229</v>
      </c>
      <c r="D136" s="79" t="s">
        <v>230</v>
      </c>
      <c r="E136" s="22" t="s">
        <v>15</v>
      </c>
      <c r="F136" s="80"/>
      <c r="G136" s="23" t="n">
        <v>0</v>
      </c>
      <c r="H136" s="23" t="n">
        <v>1</v>
      </c>
      <c r="I136" s="23" t="n">
        <v>0</v>
      </c>
      <c r="J136" s="23" t="n">
        <v>1</v>
      </c>
      <c r="K136" s="23"/>
      <c r="L136" s="23" t="n">
        <v>0</v>
      </c>
      <c r="M136" s="81" t="s">
        <v>61</v>
      </c>
    </row>
    <row r="137" customFormat="false" ht="12.75" hidden="false" customHeight="true" outlineLevel="0" collapsed="false">
      <c r="B137" s="61"/>
      <c r="C137" s="62" t="s">
        <v>231</v>
      </c>
      <c r="D137" s="62"/>
      <c r="E137" s="62"/>
      <c r="F137" s="62"/>
      <c r="G137" s="63" t="n">
        <v>2</v>
      </c>
      <c r="H137" s="61"/>
      <c r="I137" s="61"/>
      <c r="J137" s="61"/>
      <c r="K137" s="61"/>
      <c r="L137" s="63" t="n">
        <v>2450</v>
      </c>
      <c r="M137" s="61"/>
    </row>
    <row r="138" customFormat="false" ht="12.75" hidden="false" customHeight="true" outlineLevel="0" collapsed="false">
      <c r="B138" s="27" t="s">
        <v>57</v>
      </c>
      <c r="C138" s="76" t="s">
        <v>232</v>
      </c>
      <c r="D138" s="76" t="s">
        <v>233</v>
      </c>
      <c r="E138" s="27" t="s">
        <v>15</v>
      </c>
      <c r="F138" s="77"/>
      <c r="G138" s="28" t="n">
        <v>0</v>
      </c>
      <c r="H138" s="28" t="n">
        <v>2</v>
      </c>
      <c r="I138" s="28" t="n">
        <v>0</v>
      </c>
      <c r="J138" s="28" t="n">
        <v>2</v>
      </c>
      <c r="K138" s="29" t="n">
        <v>1400</v>
      </c>
      <c r="L138" s="28" t="n">
        <v>0</v>
      </c>
      <c r="M138" s="78" t="s">
        <v>61</v>
      </c>
    </row>
    <row r="139" customFormat="false" ht="12.75" hidden="false" customHeight="true" outlineLevel="0" collapsed="false">
      <c r="B139" s="22" t="s">
        <v>57</v>
      </c>
      <c r="C139" s="79" t="s">
        <v>234</v>
      </c>
      <c r="D139" s="79" t="s">
        <v>235</v>
      </c>
      <c r="E139" s="22" t="s">
        <v>15</v>
      </c>
      <c r="F139" s="80"/>
      <c r="G139" s="23" t="n">
        <v>0</v>
      </c>
      <c r="H139" s="23" t="n">
        <v>1</v>
      </c>
      <c r="I139" s="23" t="n">
        <v>0</v>
      </c>
      <c r="J139" s="23" t="n">
        <v>1</v>
      </c>
      <c r="K139" s="24" t="n">
        <v>1800</v>
      </c>
      <c r="L139" s="23" t="n">
        <v>0</v>
      </c>
      <c r="M139" s="81" t="s">
        <v>61</v>
      </c>
    </row>
    <row r="140" customFormat="false" ht="12.75" hidden="false" customHeight="true" outlineLevel="0" collapsed="false">
      <c r="B140" s="61"/>
      <c r="C140" s="62" t="s">
        <v>65</v>
      </c>
      <c r="D140" s="62"/>
      <c r="E140" s="62"/>
      <c r="F140" s="62"/>
      <c r="G140" s="63" t="n">
        <v>0</v>
      </c>
      <c r="H140" s="61"/>
      <c r="I140" s="61"/>
      <c r="J140" s="61"/>
      <c r="K140" s="61"/>
      <c r="L140" s="63" t="n">
        <v>0</v>
      </c>
      <c r="M140" s="61"/>
    </row>
    <row r="141" customFormat="false" ht="12.75" hidden="false" customHeight="true" outlineLevel="0" collapsed="false">
      <c r="B141" s="27" t="s">
        <v>166</v>
      </c>
      <c r="C141" s="27" t="s">
        <v>236</v>
      </c>
      <c r="D141" s="27" t="s">
        <v>168</v>
      </c>
      <c r="E141" s="27" t="s">
        <v>15</v>
      </c>
      <c r="F141" s="77"/>
      <c r="G141" s="28" t="n">
        <v>381</v>
      </c>
      <c r="H141" s="28" t="n">
        <v>0</v>
      </c>
      <c r="I141" s="28" t="n">
        <v>480</v>
      </c>
      <c r="J141" s="28" t="n">
        <v>99</v>
      </c>
      <c r="K141" s="29" t="n">
        <v>93</v>
      </c>
      <c r="L141" s="29" t="n">
        <v>35433</v>
      </c>
      <c r="M141" s="78" t="s">
        <v>61</v>
      </c>
    </row>
    <row r="142" customFormat="false" ht="12.75" hidden="false" customHeight="true" outlineLevel="0" collapsed="false">
      <c r="B142" s="22" t="s">
        <v>166</v>
      </c>
      <c r="C142" s="22" t="s">
        <v>237</v>
      </c>
      <c r="D142" s="22" t="s">
        <v>168</v>
      </c>
      <c r="E142" s="22" t="s">
        <v>15</v>
      </c>
      <c r="F142" s="80"/>
      <c r="G142" s="23" t="n">
        <v>216</v>
      </c>
      <c r="H142" s="23" t="n">
        <v>49</v>
      </c>
      <c r="I142" s="23" t="n">
        <v>225</v>
      </c>
      <c r="J142" s="23" t="n">
        <v>54</v>
      </c>
      <c r="K142" s="24" t="n">
        <v>84</v>
      </c>
      <c r="L142" s="24" t="n">
        <v>18144</v>
      </c>
      <c r="M142" s="81" t="s">
        <v>61</v>
      </c>
    </row>
    <row r="143" customFormat="false" ht="12.75" hidden="false" customHeight="true" outlineLevel="0" collapsed="false">
      <c r="B143" s="27" t="s">
        <v>166</v>
      </c>
      <c r="C143" s="27" t="s">
        <v>238</v>
      </c>
      <c r="D143" s="27" t="s">
        <v>239</v>
      </c>
      <c r="E143" s="27" t="s">
        <v>15</v>
      </c>
      <c r="F143" s="77"/>
      <c r="G143" s="28" t="n">
        <v>100</v>
      </c>
      <c r="H143" s="28" t="n">
        <v>0</v>
      </c>
      <c r="I143" s="28" t="n">
        <v>100</v>
      </c>
      <c r="J143" s="28" t="n">
        <v>0</v>
      </c>
      <c r="K143" s="29" t="n">
        <v>140</v>
      </c>
      <c r="L143" s="29" t="n">
        <v>14000</v>
      </c>
      <c r="M143" s="78" t="s">
        <v>61</v>
      </c>
    </row>
    <row r="144" customFormat="false" ht="12.75" hidden="false" customHeight="true" outlineLevel="0" collapsed="false">
      <c r="B144" s="22" t="s">
        <v>166</v>
      </c>
      <c r="C144" s="22" t="s">
        <v>240</v>
      </c>
      <c r="D144" s="22" t="s">
        <v>239</v>
      </c>
      <c r="E144" s="22" t="s">
        <v>15</v>
      </c>
      <c r="F144" s="80"/>
      <c r="G144" s="23" t="n">
        <v>80</v>
      </c>
      <c r="H144" s="23" t="n">
        <v>0</v>
      </c>
      <c r="I144" s="23" t="n">
        <v>100</v>
      </c>
      <c r="J144" s="23" t="n">
        <v>0</v>
      </c>
      <c r="K144" s="24" t="n">
        <v>140</v>
      </c>
      <c r="L144" s="24" t="n">
        <v>11200</v>
      </c>
      <c r="M144" s="81" t="s">
        <v>61</v>
      </c>
    </row>
    <row r="145" customFormat="false" ht="12.75" hidden="false" customHeight="true" outlineLevel="0" collapsed="false">
      <c r="B145" s="27" t="s">
        <v>166</v>
      </c>
      <c r="C145" s="27" t="s">
        <v>241</v>
      </c>
      <c r="D145" s="27" t="s">
        <v>242</v>
      </c>
      <c r="E145" s="27" t="s">
        <v>15</v>
      </c>
      <c r="F145" s="77"/>
      <c r="G145" s="28" t="n">
        <v>160</v>
      </c>
      <c r="H145" s="28" t="n">
        <v>114</v>
      </c>
      <c r="I145" s="28" t="n">
        <v>52</v>
      </c>
      <c r="J145" s="28" t="n">
        <v>6</v>
      </c>
      <c r="K145" s="29" t="n">
        <v>84</v>
      </c>
      <c r="L145" s="29" t="n">
        <v>13440</v>
      </c>
      <c r="M145" s="78" t="s">
        <v>61</v>
      </c>
    </row>
    <row r="146" customFormat="false" ht="12.75" hidden="false" customHeight="true" outlineLevel="0" collapsed="false">
      <c r="B146" s="22" t="s">
        <v>166</v>
      </c>
      <c r="C146" s="22" t="s">
        <v>243</v>
      </c>
      <c r="D146" s="22" t="s">
        <v>168</v>
      </c>
      <c r="E146" s="22" t="s">
        <v>15</v>
      </c>
      <c r="F146" s="80"/>
      <c r="G146" s="23" t="n">
        <v>96</v>
      </c>
      <c r="H146" s="23" t="n">
        <v>104</v>
      </c>
      <c r="I146" s="23" t="n">
        <v>0</v>
      </c>
      <c r="J146" s="23" t="n">
        <v>4</v>
      </c>
      <c r="K146" s="24" t="n">
        <v>80</v>
      </c>
      <c r="L146" s="24" t="n">
        <v>7680</v>
      </c>
      <c r="M146" s="81" t="s">
        <v>61</v>
      </c>
    </row>
    <row r="147" customFormat="false" ht="12.75" hidden="false" customHeight="true" outlineLevel="0" collapsed="false">
      <c r="B147" s="27" t="s">
        <v>166</v>
      </c>
      <c r="C147" s="27" t="s">
        <v>244</v>
      </c>
      <c r="D147" s="27" t="s">
        <v>168</v>
      </c>
      <c r="E147" s="27" t="s">
        <v>15</v>
      </c>
      <c r="F147" s="77"/>
      <c r="G147" s="28" t="n">
        <v>42</v>
      </c>
      <c r="H147" s="28" t="n">
        <v>42</v>
      </c>
      <c r="I147" s="28" t="n">
        <v>0</v>
      </c>
      <c r="J147" s="28" t="n">
        <v>0</v>
      </c>
      <c r="K147" s="29" t="n">
        <v>188</v>
      </c>
      <c r="L147" s="29" t="n">
        <v>7896</v>
      </c>
      <c r="M147" s="78" t="s">
        <v>61</v>
      </c>
    </row>
    <row r="148" customFormat="false" ht="12.75" hidden="false" customHeight="true" outlineLevel="0" collapsed="false">
      <c r="B148" s="22" t="s">
        <v>166</v>
      </c>
      <c r="C148" s="22" t="s">
        <v>245</v>
      </c>
      <c r="D148" s="22" t="s">
        <v>239</v>
      </c>
      <c r="E148" s="22" t="s">
        <v>15</v>
      </c>
      <c r="F148" s="80"/>
      <c r="G148" s="23" t="n">
        <v>50</v>
      </c>
      <c r="H148" s="23" t="n">
        <v>0</v>
      </c>
      <c r="I148" s="23" t="n">
        <v>50</v>
      </c>
      <c r="J148" s="23" t="n">
        <v>0</v>
      </c>
      <c r="K148" s="24" t="n">
        <v>135</v>
      </c>
      <c r="L148" s="24" t="n">
        <v>6750</v>
      </c>
      <c r="M148" s="81" t="s">
        <v>61</v>
      </c>
    </row>
    <row r="149" customFormat="false" ht="12.75" hidden="false" customHeight="true" outlineLevel="0" collapsed="false">
      <c r="B149" s="27" t="s">
        <v>166</v>
      </c>
      <c r="C149" s="27" t="s">
        <v>246</v>
      </c>
      <c r="D149" s="27" t="s">
        <v>239</v>
      </c>
      <c r="E149" s="27" t="s">
        <v>15</v>
      </c>
      <c r="F149" s="77"/>
      <c r="G149" s="28" t="n">
        <v>29</v>
      </c>
      <c r="H149" s="28" t="n">
        <v>0</v>
      </c>
      <c r="I149" s="28" t="n">
        <v>50</v>
      </c>
      <c r="J149" s="28" t="n">
        <v>1</v>
      </c>
      <c r="K149" s="29" t="n">
        <v>135</v>
      </c>
      <c r="L149" s="29" t="n">
        <v>3915</v>
      </c>
      <c r="M149" s="78" t="s">
        <v>61</v>
      </c>
    </row>
    <row r="150" customFormat="false" ht="12.75" hidden="false" customHeight="true" outlineLevel="0" collapsed="false">
      <c r="B150" s="22" t="s">
        <v>166</v>
      </c>
      <c r="C150" s="22" t="s">
        <v>247</v>
      </c>
      <c r="D150" s="22" t="s">
        <v>248</v>
      </c>
      <c r="E150" s="22" t="s">
        <v>15</v>
      </c>
      <c r="F150" s="80"/>
      <c r="G150" s="23" t="n">
        <v>15</v>
      </c>
      <c r="H150" s="23" t="n">
        <v>70</v>
      </c>
      <c r="I150" s="23" t="n">
        <v>50</v>
      </c>
      <c r="J150" s="23" t="n">
        <v>103</v>
      </c>
      <c r="K150" s="24" t="n">
        <v>350</v>
      </c>
      <c r="L150" s="24" t="n">
        <v>5250</v>
      </c>
      <c r="M150" s="81" t="s">
        <v>61</v>
      </c>
    </row>
    <row r="151" customFormat="false" ht="12.75" hidden="false" customHeight="true" outlineLevel="0" collapsed="false">
      <c r="B151" s="27" t="s">
        <v>166</v>
      </c>
      <c r="C151" s="27" t="s">
        <v>249</v>
      </c>
      <c r="D151" s="27" t="s">
        <v>250</v>
      </c>
      <c r="E151" s="27" t="s">
        <v>15</v>
      </c>
      <c r="F151" s="77"/>
      <c r="G151" s="28" t="n">
        <v>5</v>
      </c>
      <c r="H151" s="28" t="n">
        <v>55</v>
      </c>
      <c r="I151" s="28" t="n">
        <v>102</v>
      </c>
      <c r="J151" s="28" t="n">
        <v>141</v>
      </c>
      <c r="K151" s="29" t="n">
        <v>270</v>
      </c>
      <c r="L151" s="29" t="n">
        <v>1350</v>
      </c>
      <c r="M151" s="78" t="s">
        <v>61</v>
      </c>
    </row>
    <row r="152" customFormat="false" ht="12.75" hidden="false" customHeight="true" outlineLevel="0" collapsed="false">
      <c r="B152" s="22" t="s">
        <v>166</v>
      </c>
      <c r="C152" s="22" t="s">
        <v>251</v>
      </c>
      <c r="D152" s="22" t="s">
        <v>168</v>
      </c>
      <c r="E152" s="22" t="s">
        <v>15</v>
      </c>
      <c r="F152" s="80"/>
      <c r="G152" s="23" t="n">
        <v>44</v>
      </c>
      <c r="H152" s="23" t="n">
        <v>44</v>
      </c>
      <c r="I152" s="23" t="n">
        <v>0</v>
      </c>
      <c r="J152" s="23" t="n">
        <v>0</v>
      </c>
      <c r="K152" s="24" t="n">
        <v>90</v>
      </c>
      <c r="L152" s="24" t="n">
        <v>3960</v>
      </c>
      <c r="M152" s="81" t="s">
        <v>61</v>
      </c>
    </row>
    <row r="153" customFormat="false" ht="12.75" hidden="false" customHeight="true" outlineLevel="0" collapsed="false">
      <c r="B153" s="27" t="s">
        <v>166</v>
      </c>
      <c r="C153" s="27" t="s">
        <v>252</v>
      </c>
      <c r="D153" s="27" t="s">
        <v>250</v>
      </c>
      <c r="E153" s="27" t="s">
        <v>15</v>
      </c>
      <c r="F153" s="77"/>
      <c r="G153" s="28" t="n">
        <v>14</v>
      </c>
      <c r="H153" s="28" t="n">
        <v>0</v>
      </c>
      <c r="I153" s="28" t="n">
        <v>18</v>
      </c>
      <c r="J153" s="28" t="n">
        <v>4</v>
      </c>
      <c r="K153" s="29" t="n">
        <v>270</v>
      </c>
      <c r="L153" s="29" t="n">
        <v>3780</v>
      </c>
      <c r="M153" s="78" t="s">
        <v>61</v>
      </c>
    </row>
    <row r="154" customFormat="false" ht="12.75" hidden="false" customHeight="true" outlineLevel="0" collapsed="false">
      <c r="B154" s="22" t="s">
        <v>166</v>
      </c>
      <c r="C154" s="22" t="s">
        <v>253</v>
      </c>
      <c r="D154" s="22" t="s">
        <v>254</v>
      </c>
      <c r="E154" s="22" t="s">
        <v>15</v>
      </c>
      <c r="F154" s="80"/>
      <c r="G154" s="23" t="n">
        <v>6</v>
      </c>
      <c r="H154" s="23" t="n">
        <v>6</v>
      </c>
      <c r="I154" s="23" t="n">
        <v>0</v>
      </c>
      <c r="J154" s="23" t="n">
        <v>0</v>
      </c>
      <c r="K154" s="24" t="n">
        <v>229</v>
      </c>
      <c r="L154" s="24" t="n">
        <v>1374</v>
      </c>
      <c r="M154" s="81" t="s">
        <v>61</v>
      </c>
    </row>
    <row r="155" customFormat="false" ht="12.75" hidden="false" customHeight="true" outlineLevel="0" collapsed="false">
      <c r="B155" s="27" t="s">
        <v>166</v>
      </c>
      <c r="C155" s="27" t="s">
        <v>255</v>
      </c>
      <c r="D155" s="27" t="s">
        <v>256</v>
      </c>
      <c r="E155" s="27" t="s">
        <v>15</v>
      </c>
      <c r="F155" s="77"/>
      <c r="G155" s="28" t="n">
        <v>2</v>
      </c>
      <c r="H155" s="28" t="n">
        <v>2</v>
      </c>
      <c r="I155" s="28" t="n">
        <v>0</v>
      </c>
      <c r="J155" s="28" t="n">
        <v>0</v>
      </c>
      <c r="K155" s="29" t="n">
        <v>444</v>
      </c>
      <c r="L155" s="29" t="n">
        <v>888</v>
      </c>
      <c r="M155" s="78" t="s">
        <v>61</v>
      </c>
    </row>
    <row r="156" customFormat="false" ht="12.75" hidden="false" customHeight="true" outlineLevel="0" collapsed="false">
      <c r="B156" s="22" t="s">
        <v>166</v>
      </c>
      <c r="C156" s="22" t="s">
        <v>257</v>
      </c>
      <c r="D156" s="22" t="s">
        <v>248</v>
      </c>
      <c r="E156" s="22" t="s">
        <v>15</v>
      </c>
      <c r="F156" s="80"/>
      <c r="G156" s="23" t="n">
        <v>2</v>
      </c>
      <c r="H156" s="23" t="n">
        <v>2</v>
      </c>
      <c r="I156" s="23" t="n">
        <v>0</v>
      </c>
      <c r="J156" s="23" t="n">
        <v>0</v>
      </c>
      <c r="K156" s="24" t="n">
        <v>400</v>
      </c>
      <c r="L156" s="24" t="n">
        <v>800</v>
      </c>
      <c r="M156" s="81" t="s">
        <v>61</v>
      </c>
    </row>
    <row r="157" customFormat="false" ht="12.75" hidden="false" customHeight="true" outlineLevel="0" collapsed="false">
      <c r="B157" s="27" t="s">
        <v>166</v>
      </c>
      <c r="C157" s="27" t="s">
        <v>258</v>
      </c>
      <c r="D157" s="27" t="s">
        <v>250</v>
      </c>
      <c r="E157" s="27" t="s">
        <v>15</v>
      </c>
      <c r="F157" s="77"/>
      <c r="G157" s="28" t="n">
        <v>0</v>
      </c>
      <c r="H157" s="28" t="n">
        <v>81</v>
      </c>
      <c r="I157" s="28" t="n">
        <v>0</v>
      </c>
      <c r="J157" s="28" t="n">
        <v>79</v>
      </c>
      <c r="K157" s="29" t="n">
        <v>368</v>
      </c>
      <c r="L157" s="29" t="n">
        <v>0</v>
      </c>
      <c r="M157" s="78" t="s">
        <v>61</v>
      </c>
    </row>
    <row r="158" customFormat="false" ht="12.75" hidden="false" customHeight="true" outlineLevel="0" collapsed="false">
      <c r="B158" s="22" t="s">
        <v>166</v>
      </c>
      <c r="C158" s="22" t="s">
        <v>259</v>
      </c>
      <c r="D158" s="22" t="s">
        <v>260</v>
      </c>
      <c r="E158" s="22" t="s">
        <v>15</v>
      </c>
      <c r="F158" s="80"/>
      <c r="G158" s="23" t="n">
        <v>5</v>
      </c>
      <c r="H158" s="23" t="n">
        <v>5</v>
      </c>
      <c r="I158" s="23" t="n">
        <v>0</v>
      </c>
      <c r="J158" s="23" t="n">
        <v>0</v>
      </c>
      <c r="K158" s="24" t="n">
        <v>105</v>
      </c>
      <c r="L158" s="24" t="n">
        <v>525</v>
      </c>
      <c r="M158" s="81" t="s">
        <v>61</v>
      </c>
    </row>
    <row r="159" customFormat="false" ht="12.75" hidden="false" customHeight="true" outlineLevel="0" collapsed="false">
      <c r="B159" s="27" t="s">
        <v>166</v>
      </c>
      <c r="C159" s="27" t="s">
        <v>261</v>
      </c>
      <c r="D159" s="27" t="s">
        <v>262</v>
      </c>
      <c r="E159" s="27" t="s">
        <v>15</v>
      </c>
      <c r="F159" s="77"/>
      <c r="G159" s="28" t="n">
        <v>2</v>
      </c>
      <c r="H159" s="28" t="n">
        <v>2</v>
      </c>
      <c r="I159" s="28" t="n">
        <v>0</v>
      </c>
      <c r="J159" s="28" t="n">
        <v>0</v>
      </c>
      <c r="K159" s="29" t="n">
        <v>239</v>
      </c>
      <c r="L159" s="29" t="n">
        <v>478</v>
      </c>
      <c r="M159" s="78" t="s">
        <v>61</v>
      </c>
    </row>
    <row r="160" customFormat="false" ht="12.75" hidden="false" customHeight="true" outlineLevel="0" collapsed="false">
      <c r="B160" s="22" t="s">
        <v>166</v>
      </c>
      <c r="C160" s="22" t="s">
        <v>263</v>
      </c>
      <c r="D160" s="22" t="s">
        <v>250</v>
      </c>
      <c r="E160" s="22" t="s">
        <v>15</v>
      </c>
      <c r="F160" s="80"/>
      <c r="G160" s="23" t="n">
        <v>0</v>
      </c>
      <c r="H160" s="23" t="n">
        <v>16</v>
      </c>
      <c r="I160" s="23" t="n">
        <v>109</v>
      </c>
      <c r="J160" s="23" t="n">
        <v>125</v>
      </c>
      <c r="K160" s="24" t="n">
        <v>300</v>
      </c>
      <c r="L160" s="23" t="n">
        <v>0</v>
      </c>
      <c r="M160" s="81" t="s">
        <v>61</v>
      </c>
    </row>
    <row r="161" customFormat="false" ht="12.75" hidden="false" customHeight="true" outlineLevel="0" collapsed="false">
      <c r="B161" s="61"/>
      <c r="C161" s="62" t="s">
        <v>171</v>
      </c>
      <c r="D161" s="62"/>
      <c r="E161" s="62"/>
      <c r="F161" s="62"/>
      <c r="G161" s="63" t="n">
        <v>1312</v>
      </c>
      <c r="H161" s="61"/>
      <c r="I161" s="61"/>
      <c r="J161" s="61"/>
      <c r="K161" s="61"/>
      <c r="L161" s="63" t="n">
        <v>147425</v>
      </c>
      <c r="M161" s="61"/>
    </row>
    <row r="162" customFormat="false" ht="12.75" hidden="false" customHeight="true" outlineLevel="0" collapsed="false">
      <c r="B162" s="27" t="s">
        <v>264</v>
      </c>
      <c r="C162" s="76" t="s">
        <v>265</v>
      </c>
      <c r="D162" s="76" t="s">
        <v>266</v>
      </c>
      <c r="E162" s="27" t="s">
        <v>15</v>
      </c>
      <c r="F162" s="77"/>
      <c r="G162" s="28" t="n">
        <v>0</v>
      </c>
      <c r="H162" s="28" t="n">
        <v>2</v>
      </c>
      <c r="I162" s="28" t="n">
        <v>0</v>
      </c>
      <c r="J162" s="28" t="n">
        <v>2</v>
      </c>
      <c r="K162" s="29" t="n">
        <v>252.79</v>
      </c>
      <c r="L162" s="28" t="n">
        <v>0</v>
      </c>
      <c r="M162" s="78" t="s">
        <v>61</v>
      </c>
    </row>
    <row r="163" customFormat="false" ht="12.75" hidden="false" customHeight="true" outlineLevel="0" collapsed="false">
      <c r="B163" s="22" t="s">
        <v>264</v>
      </c>
      <c r="C163" s="79" t="s">
        <v>267</v>
      </c>
      <c r="D163" s="79" t="s">
        <v>266</v>
      </c>
      <c r="E163" s="22" t="s">
        <v>15</v>
      </c>
      <c r="F163" s="80"/>
      <c r="G163" s="23" t="n">
        <v>0</v>
      </c>
      <c r="H163" s="23" t="n">
        <v>0</v>
      </c>
      <c r="I163" s="23" t="n">
        <v>1</v>
      </c>
      <c r="J163" s="23" t="n">
        <v>1</v>
      </c>
      <c r="K163" s="24" t="n">
        <v>1000</v>
      </c>
      <c r="L163" s="23" t="n">
        <v>0</v>
      </c>
      <c r="M163" s="81" t="s">
        <v>61</v>
      </c>
    </row>
    <row r="164" customFormat="false" ht="12.75" hidden="false" customHeight="true" outlineLevel="0" collapsed="false">
      <c r="B164" s="27" t="s">
        <v>264</v>
      </c>
      <c r="C164" s="76" t="s">
        <v>268</v>
      </c>
      <c r="D164" s="76" t="s">
        <v>266</v>
      </c>
      <c r="E164" s="27" t="s">
        <v>15</v>
      </c>
      <c r="F164" s="77"/>
      <c r="G164" s="28" t="n">
        <v>0</v>
      </c>
      <c r="H164" s="28" t="n">
        <v>0</v>
      </c>
      <c r="I164" s="28" t="n">
        <v>1</v>
      </c>
      <c r="J164" s="28" t="n">
        <v>1</v>
      </c>
      <c r="K164" s="29" t="n">
        <v>1000</v>
      </c>
      <c r="L164" s="28" t="n">
        <v>0</v>
      </c>
      <c r="M164" s="78" t="s">
        <v>61</v>
      </c>
    </row>
    <row r="165" customFormat="false" ht="12.75" hidden="false" customHeight="true" outlineLevel="0" collapsed="false">
      <c r="B165" s="61"/>
      <c r="C165" s="62" t="s">
        <v>269</v>
      </c>
      <c r="D165" s="62"/>
      <c r="E165" s="62"/>
      <c r="F165" s="62"/>
      <c r="G165" s="63" t="n">
        <v>0</v>
      </c>
      <c r="H165" s="61"/>
      <c r="I165" s="61"/>
      <c r="J165" s="61"/>
      <c r="K165" s="61"/>
      <c r="L165" s="63" t="n">
        <v>0</v>
      </c>
      <c r="M165" s="61"/>
    </row>
    <row r="166" customFormat="false" ht="12.75" hidden="false" customHeight="true" outlineLevel="0" collapsed="false">
      <c r="B166" s="27" t="s">
        <v>270</v>
      </c>
      <c r="C166" s="76" t="s">
        <v>271</v>
      </c>
      <c r="D166" s="76" t="s">
        <v>212</v>
      </c>
      <c r="E166" s="27" t="s">
        <v>15</v>
      </c>
      <c r="F166" s="77"/>
      <c r="G166" s="28" t="n">
        <v>24</v>
      </c>
      <c r="H166" s="28" t="n">
        <v>24</v>
      </c>
      <c r="I166" s="28" t="n">
        <v>0</v>
      </c>
      <c r="J166" s="28" t="n">
        <v>0</v>
      </c>
      <c r="K166" s="29" t="n">
        <v>1882</v>
      </c>
      <c r="L166" s="29" t="n">
        <v>45168</v>
      </c>
      <c r="M166" s="78" t="s">
        <v>61</v>
      </c>
    </row>
    <row r="167" customFormat="false" ht="12.75" hidden="false" customHeight="true" outlineLevel="0" collapsed="false">
      <c r="B167" s="22" t="s">
        <v>270</v>
      </c>
      <c r="C167" s="79" t="s">
        <v>272</v>
      </c>
      <c r="D167" s="79" t="s">
        <v>212</v>
      </c>
      <c r="E167" s="22" t="s">
        <v>15</v>
      </c>
      <c r="F167" s="80"/>
      <c r="G167" s="23" t="n">
        <v>24</v>
      </c>
      <c r="H167" s="23" t="n">
        <v>24</v>
      </c>
      <c r="I167" s="23" t="n">
        <v>0</v>
      </c>
      <c r="J167" s="23" t="n">
        <v>0</v>
      </c>
      <c r="K167" s="24" t="n">
        <v>882</v>
      </c>
      <c r="L167" s="24" t="n">
        <v>21168</v>
      </c>
      <c r="M167" s="81" t="s">
        <v>61</v>
      </c>
    </row>
    <row r="168" customFormat="false" ht="12.75" hidden="false" customHeight="true" outlineLevel="0" collapsed="false">
      <c r="B168" s="27" t="s">
        <v>270</v>
      </c>
      <c r="C168" s="76" t="s">
        <v>273</v>
      </c>
      <c r="D168" s="76" t="s">
        <v>274</v>
      </c>
      <c r="E168" s="27" t="s">
        <v>15</v>
      </c>
      <c r="F168" s="77"/>
      <c r="G168" s="28" t="n">
        <v>15</v>
      </c>
      <c r="H168" s="28" t="n">
        <v>15</v>
      </c>
      <c r="I168" s="28" t="n">
        <v>0</v>
      </c>
      <c r="J168" s="28" t="n">
        <v>0</v>
      </c>
      <c r="K168" s="29" t="n">
        <v>1150</v>
      </c>
      <c r="L168" s="29" t="n">
        <v>17250</v>
      </c>
      <c r="M168" s="78" t="s">
        <v>61</v>
      </c>
    </row>
    <row r="169" customFormat="false" ht="12.75" hidden="false" customHeight="true" outlineLevel="0" collapsed="false">
      <c r="B169" s="22" t="s">
        <v>270</v>
      </c>
      <c r="C169" s="79" t="s">
        <v>275</v>
      </c>
      <c r="D169" s="79" t="s">
        <v>212</v>
      </c>
      <c r="E169" s="22" t="s">
        <v>15</v>
      </c>
      <c r="F169" s="80"/>
      <c r="G169" s="23" t="n">
        <v>24</v>
      </c>
      <c r="H169" s="23" t="n">
        <v>24</v>
      </c>
      <c r="I169" s="23" t="n">
        <v>0</v>
      </c>
      <c r="J169" s="23" t="n">
        <v>0</v>
      </c>
      <c r="K169" s="24" t="n">
        <v>267</v>
      </c>
      <c r="L169" s="24" t="n">
        <v>6408</v>
      </c>
      <c r="M169" s="81" t="s">
        <v>61</v>
      </c>
    </row>
    <row r="170" customFormat="false" ht="12.75" hidden="false" customHeight="true" outlineLevel="0" collapsed="false">
      <c r="B170" s="27" t="s">
        <v>270</v>
      </c>
      <c r="C170" s="76" t="s">
        <v>276</v>
      </c>
      <c r="D170" s="76" t="s">
        <v>212</v>
      </c>
      <c r="E170" s="27" t="s">
        <v>15</v>
      </c>
      <c r="F170" s="77"/>
      <c r="G170" s="28" t="n">
        <v>24</v>
      </c>
      <c r="H170" s="28" t="n">
        <v>24</v>
      </c>
      <c r="I170" s="28" t="n">
        <v>0</v>
      </c>
      <c r="J170" s="28" t="n">
        <v>0</v>
      </c>
      <c r="K170" s="29" t="n">
        <v>120</v>
      </c>
      <c r="L170" s="29" t="n">
        <v>2880</v>
      </c>
      <c r="M170" s="78" t="s">
        <v>61</v>
      </c>
    </row>
    <row r="171" customFormat="false" ht="12.75" hidden="false" customHeight="true" outlineLevel="0" collapsed="false">
      <c r="B171" s="22" t="s">
        <v>270</v>
      </c>
      <c r="C171" s="79" t="s">
        <v>277</v>
      </c>
      <c r="D171" s="79" t="s">
        <v>212</v>
      </c>
      <c r="E171" s="22" t="s">
        <v>15</v>
      </c>
      <c r="F171" s="80"/>
      <c r="G171" s="23" t="n">
        <v>24</v>
      </c>
      <c r="H171" s="23" t="n">
        <v>24</v>
      </c>
      <c r="I171" s="23" t="n">
        <v>0</v>
      </c>
      <c r="J171" s="23" t="n">
        <v>0</v>
      </c>
      <c r="K171" s="24" t="n">
        <v>80</v>
      </c>
      <c r="L171" s="24" t="n">
        <v>1920</v>
      </c>
      <c r="M171" s="81" t="s">
        <v>61</v>
      </c>
    </row>
    <row r="172" customFormat="false" ht="12.75" hidden="false" customHeight="true" outlineLevel="0" collapsed="false">
      <c r="B172" s="61"/>
      <c r="C172" s="62" t="s">
        <v>278</v>
      </c>
      <c r="D172" s="62"/>
      <c r="E172" s="62"/>
      <c r="F172" s="62"/>
      <c r="G172" s="63" t="n">
        <v>135</v>
      </c>
      <c r="H172" s="61"/>
      <c r="I172" s="61"/>
      <c r="J172" s="61"/>
      <c r="K172" s="61"/>
      <c r="L172" s="63" t="n">
        <v>94794</v>
      </c>
      <c r="M172" s="61"/>
    </row>
    <row r="173" customFormat="false" ht="12.75" hidden="false" customHeight="true" outlineLevel="0" collapsed="false">
      <c r="B173" s="27" t="s">
        <v>279</v>
      </c>
      <c r="C173" s="76" t="s">
        <v>280</v>
      </c>
      <c r="D173" s="76" t="s">
        <v>212</v>
      </c>
      <c r="E173" s="27" t="s">
        <v>15</v>
      </c>
      <c r="F173" s="77"/>
      <c r="G173" s="28" t="n">
        <v>16</v>
      </c>
      <c r="H173" s="28" t="n">
        <v>16</v>
      </c>
      <c r="I173" s="28" t="n">
        <v>0</v>
      </c>
      <c r="J173" s="28" t="n">
        <v>0</v>
      </c>
      <c r="K173" s="29" t="n">
        <v>5108.88</v>
      </c>
      <c r="L173" s="29" t="n">
        <v>81742</v>
      </c>
      <c r="M173" s="78" t="s">
        <v>61</v>
      </c>
    </row>
    <row r="174" customFormat="false" ht="12.75" hidden="false" customHeight="true" outlineLevel="0" collapsed="false">
      <c r="B174" s="22" t="s">
        <v>279</v>
      </c>
      <c r="C174" s="79" t="s">
        <v>281</v>
      </c>
      <c r="D174" s="79" t="s">
        <v>282</v>
      </c>
      <c r="E174" s="22" t="s">
        <v>15</v>
      </c>
      <c r="F174" s="80"/>
      <c r="G174" s="23" t="n">
        <v>24</v>
      </c>
      <c r="H174" s="23" t="n">
        <v>0</v>
      </c>
      <c r="I174" s="23" t="n">
        <v>27</v>
      </c>
      <c r="J174" s="23" t="n">
        <v>3</v>
      </c>
      <c r="K174" s="23"/>
      <c r="L174" s="82" t="n">
        <v>0</v>
      </c>
      <c r="M174" s="81" t="s">
        <v>61</v>
      </c>
    </row>
    <row r="175" customFormat="false" ht="12.75" hidden="false" customHeight="true" outlineLevel="0" collapsed="false">
      <c r="B175" s="27" t="s">
        <v>279</v>
      </c>
      <c r="C175" s="76" t="s">
        <v>283</v>
      </c>
      <c r="D175" s="76" t="s">
        <v>282</v>
      </c>
      <c r="E175" s="27" t="s">
        <v>15</v>
      </c>
      <c r="F175" s="77"/>
      <c r="G175" s="28" t="n">
        <v>25</v>
      </c>
      <c r="H175" s="28" t="n">
        <v>0</v>
      </c>
      <c r="I175" s="28" t="n">
        <v>28</v>
      </c>
      <c r="J175" s="28" t="n">
        <v>3</v>
      </c>
      <c r="K175" s="28"/>
      <c r="L175" s="83" t="n">
        <v>0</v>
      </c>
      <c r="M175" s="78" t="s">
        <v>61</v>
      </c>
    </row>
    <row r="176" customFormat="false" ht="12.75" hidden="false" customHeight="true" outlineLevel="0" collapsed="false">
      <c r="B176" s="61"/>
      <c r="C176" s="62" t="s">
        <v>284</v>
      </c>
      <c r="D176" s="62"/>
      <c r="E176" s="62"/>
      <c r="F176" s="62"/>
      <c r="G176" s="63" t="n">
        <v>65</v>
      </c>
      <c r="H176" s="61"/>
      <c r="I176" s="61"/>
      <c r="J176" s="61"/>
      <c r="K176" s="61"/>
      <c r="L176" s="63" t="n">
        <v>81742.08</v>
      </c>
      <c r="M176" s="61"/>
    </row>
    <row r="177" customFormat="false" ht="12.75" hidden="false" customHeight="true" outlineLevel="0" collapsed="false">
      <c r="B177" s="27" t="s">
        <v>73</v>
      </c>
      <c r="C177" s="76" t="s">
        <v>285</v>
      </c>
      <c r="D177" s="76" t="s">
        <v>286</v>
      </c>
      <c r="E177" s="27" t="s">
        <v>15</v>
      </c>
      <c r="F177" s="77"/>
      <c r="G177" s="28" t="n">
        <v>222</v>
      </c>
      <c r="H177" s="28" t="n">
        <v>224</v>
      </c>
      <c r="I177" s="28" t="n">
        <v>0</v>
      </c>
      <c r="J177" s="28" t="n">
        <v>1</v>
      </c>
      <c r="K177" s="29" t="n">
        <v>1200</v>
      </c>
      <c r="L177" s="29" t="n">
        <v>266400</v>
      </c>
      <c r="M177" s="78" t="s">
        <v>61</v>
      </c>
    </row>
    <row r="178" customFormat="false" ht="12.75" hidden="false" customHeight="true" outlineLevel="0" collapsed="false">
      <c r="B178" s="22" t="s">
        <v>73</v>
      </c>
      <c r="C178" s="79" t="s">
        <v>287</v>
      </c>
      <c r="D178" s="79" t="s">
        <v>288</v>
      </c>
      <c r="E178" s="22" t="s">
        <v>15</v>
      </c>
      <c r="F178" s="80"/>
      <c r="G178" s="23" t="n">
        <v>54</v>
      </c>
      <c r="H178" s="23" t="n">
        <v>11</v>
      </c>
      <c r="I178" s="23" t="n">
        <v>47</v>
      </c>
      <c r="J178" s="23" t="n">
        <v>4</v>
      </c>
      <c r="K178" s="24" t="n">
        <v>700</v>
      </c>
      <c r="L178" s="24" t="n">
        <v>37800</v>
      </c>
      <c r="M178" s="81" t="s">
        <v>61</v>
      </c>
    </row>
    <row r="179" customFormat="false" ht="12.75" hidden="false" customHeight="true" outlineLevel="0" collapsed="false">
      <c r="B179" s="27" t="s">
        <v>73</v>
      </c>
      <c r="C179" s="76" t="s">
        <v>289</v>
      </c>
      <c r="D179" s="76" t="s">
        <v>290</v>
      </c>
      <c r="E179" s="27" t="s">
        <v>15</v>
      </c>
      <c r="F179" s="77"/>
      <c r="G179" s="28" t="n">
        <v>106</v>
      </c>
      <c r="H179" s="28" t="n">
        <v>148</v>
      </c>
      <c r="I179" s="28" t="n">
        <v>44</v>
      </c>
      <c r="J179" s="28" t="n">
        <v>82</v>
      </c>
      <c r="K179" s="29" t="n">
        <v>303</v>
      </c>
      <c r="L179" s="29" t="n">
        <v>32118</v>
      </c>
      <c r="M179" s="78" t="s">
        <v>61</v>
      </c>
    </row>
    <row r="180" customFormat="false" ht="12.75" hidden="false" customHeight="true" outlineLevel="0" collapsed="false">
      <c r="B180" s="22" t="s">
        <v>73</v>
      </c>
      <c r="C180" s="79" t="s">
        <v>291</v>
      </c>
      <c r="D180" s="79" t="s">
        <v>288</v>
      </c>
      <c r="E180" s="22" t="s">
        <v>15</v>
      </c>
      <c r="F180" s="80"/>
      <c r="G180" s="23" t="n">
        <v>32</v>
      </c>
      <c r="H180" s="23" t="n">
        <v>32</v>
      </c>
      <c r="I180" s="23" t="n">
        <v>0</v>
      </c>
      <c r="J180" s="23" t="n">
        <v>0</v>
      </c>
      <c r="K180" s="24" t="n">
        <v>430</v>
      </c>
      <c r="L180" s="24" t="n">
        <v>13760</v>
      </c>
      <c r="M180" s="81" t="s">
        <v>61</v>
      </c>
    </row>
    <row r="181" customFormat="false" ht="12.75" hidden="false" customHeight="true" outlineLevel="0" collapsed="false">
      <c r="B181" s="27" t="s">
        <v>73</v>
      </c>
      <c r="C181" s="76" t="s">
        <v>292</v>
      </c>
      <c r="D181" s="76" t="s">
        <v>286</v>
      </c>
      <c r="E181" s="27" t="s">
        <v>15</v>
      </c>
      <c r="F181" s="77"/>
      <c r="G181" s="28" t="n">
        <v>4</v>
      </c>
      <c r="H181" s="28" t="n">
        <v>4</v>
      </c>
      <c r="I181" s="28" t="n">
        <v>0</v>
      </c>
      <c r="J181" s="28" t="n">
        <v>0</v>
      </c>
      <c r="K181" s="29" t="n">
        <v>2300</v>
      </c>
      <c r="L181" s="29" t="n">
        <v>9200</v>
      </c>
      <c r="M181" s="78" t="s">
        <v>61</v>
      </c>
    </row>
    <row r="182" customFormat="false" ht="12.75" hidden="false" customHeight="true" outlineLevel="0" collapsed="false">
      <c r="B182" s="22" t="s">
        <v>73</v>
      </c>
      <c r="C182" s="79" t="s">
        <v>293</v>
      </c>
      <c r="D182" s="79" t="s">
        <v>288</v>
      </c>
      <c r="E182" s="22" t="s">
        <v>15</v>
      </c>
      <c r="F182" s="80"/>
      <c r="G182" s="23" t="n">
        <v>1</v>
      </c>
      <c r="H182" s="23" t="n">
        <v>1</v>
      </c>
      <c r="I182" s="23" t="n">
        <v>0</v>
      </c>
      <c r="J182" s="23" t="n">
        <v>0</v>
      </c>
      <c r="K182" s="24" t="n">
        <v>2430</v>
      </c>
      <c r="L182" s="24" t="n">
        <v>2430</v>
      </c>
      <c r="M182" s="81" t="s">
        <v>61</v>
      </c>
    </row>
    <row r="183" customFormat="false" ht="12.75" hidden="false" customHeight="true" outlineLevel="0" collapsed="false">
      <c r="B183" s="27" t="s">
        <v>73</v>
      </c>
      <c r="C183" s="27" t="s">
        <v>294</v>
      </c>
      <c r="D183" s="27" t="s">
        <v>295</v>
      </c>
      <c r="E183" s="27" t="s">
        <v>15</v>
      </c>
      <c r="F183" s="77"/>
      <c r="G183" s="28" t="n">
        <v>0</v>
      </c>
      <c r="H183" s="28" t="n">
        <v>6</v>
      </c>
      <c r="I183" s="28" t="n">
        <v>0</v>
      </c>
      <c r="J183" s="28" t="n">
        <v>5</v>
      </c>
      <c r="K183" s="29" t="n">
        <v>2400</v>
      </c>
      <c r="L183" s="29" t="n">
        <v>0</v>
      </c>
      <c r="M183" s="78" t="s">
        <v>61</v>
      </c>
    </row>
    <row r="184" customFormat="false" ht="12.75" hidden="false" customHeight="true" outlineLevel="0" collapsed="false">
      <c r="B184" s="22" t="s">
        <v>73</v>
      </c>
      <c r="C184" s="22" t="s">
        <v>296</v>
      </c>
      <c r="D184" s="22" t="s">
        <v>295</v>
      </c>
      <c r="E184" s="22" t="s">
        <v>15</v>
      </c>
      <c r="F184" s="80"/>
      <c r="G184" s="23" t="n">
        <v>1</v>
      </c>
      <c r="H184" s="23" t="n">
        <v>1</v>
      </c>
      <c r="I184" s="23" t="n">
        <v>0</v>
      </c>
      <c r="J184" s="23" t="n">
        <v>0</v>
      </c>
      <c r="K184" s="24" t="n">
        <v>1000</v>
      </c>
      <c r="L184" s="24" t="n">
        <v>1000</v>
      </c>
      <c r="M184" s="81" t="s">
        <v>61</v>
      </c>
    </row>
    <row r="185" customFormat="false" ht="12.75" hidden="false" customHeight="true" outlineLevel="0" collapsed="false">
      <c r="B185" s="27" t="s">
        <v>73</v>
      </c>
      <c r="C185" s="76" t="s">
        <v>297</v>
      </c>
      <c r="D185" s="76" t="s">
        <v>288</v>
      </c>
      <c r="E185" s="27" t="s">
        <v>15</v>
      </c>
      <c r="F185" s="77"/>
      <c r="G185" s="28" t="n">
        <v>1</v>
      </c>
      <c r="H185" s="28" t="n">
        <v>1</v>
      </c>
      <c r="I185" s="28" t="n">
        <v>0</v>
      </c>
      <c r="J185" s="28" t="n">
        <v>0</v>
      </c>
      <c r="K185" s="29" t="n">
        <v>120</v>
      </c>
      <c r="L185" s="29" t="n">
        <v>120</v>
      </c>
      <c r="M185" s="78" t="s">
        <v>61</v>
      </c>
    </row>
    <row r="186" customFormat="false" ht="12.75" hidden="false" customHeight="true" outlineLevel="0" collapsed="false">
      <c r="B186" s="22" t="s">
        <v>73</v>
      </c>
      <c r="C186" s="79" t="s">
        <v>298</v>
      </c>
      <c r="D186" s="79" t="s">
        <v>286</v>
      </c>
      <c r="E186" s="22" t="s">
        <v>15</v>
      </c>
      <c r="F186" s="80"/>
      <c r="G186" s="23" t="n">
        <v>2</v>
      </c>
      <c r="H186" s="23" t="n">
        <v>2</v>
      </c>
      <c r="I186" s="23" t="n">
        <v>0</v>
      </c>
      <c r="J186" s="23" t="n">
        <v>0</v>
      </c>
      <c r="K186" s="23"/>
      <c r="L186" s="82" t="n">
        <v>0</v>
      </c>
      <c r="M186" s="81" t="s">
        <v>61</v>
      </c>
    </row>
    <row r="187" customFormat="false" ht="12.75" hidden="false" customHeight="true" outlineLevel="0" collapsed="false">
      <c r="B187" s="27" t="s">
        <v>73</v>
      </c>
      <c r="C187" s="76" t="s">
        <v>299</v>
      </c>
      <c r="D187" s="76" t="s">
        <v>286</v>
      </c>
      <c r="E187" s="27" t="s">
        <v>15</v>
      </c>
      <c r="F187" s="77"/>
      <c r="G187" s="28" t="n">
        <v>0</v>
      </c>
      <c r="H187" s="28" t="n">
        <v>2</v>
      </c>
      <c r="I187" s="28" t="n">
        <v>0</v>
      </c>
      <c r="J187" s="28" t="n">
        <v>1</v>
      </c>
      <c r="K187" s="28"/>
      <c r="L187" s="83" t="n">
        <v>0</v>
      </c>
      <c r="M187" s="78" t="s">
        <v>61</v>
      </c>
    </row>
    <row r="188" customFormat="false" ht="12.75" hidden="false" customHeight="true" outlineLevel="0" collapsed="false">
      <c r="B188" s="61"/>
      <c r="C188" s="62" t="s">
        <v>83</v>
      </c>
      <c r="D188" s="62"/>
      <c r="E188" s="62"/>
      <c r="F188" s="62"/>
      <c r="G188" s="63" t="n">
        <v>430</v>
      </c>
      <c r="H188" s="61"/>
      <c r="I188" s="61"/>
      <c r="J188" s="61"/>
      <c r="K188" s="61"/>
      <c r="L188" s="63" t="n">
        <v>367640</v>
      </c>
      <c r="M188" s="61"/>
    </row>
    <row r="189" customFormat="false" ht="12.75" hidden="false" customHeight="true" outlineLevel="0" collapsed="false">
      <c r="B189" s="27" t="s">
        <v>84</v>
      </c>
      <c r="C189" s="76" t="s">
        <v>300</v>
      </c>
      <c r="D189" s="76" t="s">
        <v>301</v>
      </c>
      <c r="E189" s="27" t="s">
        <v>15</v>
      </c>
      <c r="F189" s="77"/>
      <c r="G189" s="28" t="n">
        <v>1</v>
      </c>
      <c r="H189" s="28" t="n">
        <v>0</v>
      </c>
      <c r="I189" s="28" t="n">
        <v>1</v>
      </c>
      <c r="J189" s="28" t="n">
        <v>0</v>
      </c>
      <c r="K189" s="28"/>
      <c r="L189" s="83" t="n">
        <v>0</v>
      </c>
      <c r="M189" s="78" t="s">
        <v>61</v>
      </c>
    </row>
    <row r="190" customFormat="false" ht="12.75" hidden="false" customHeight="true" outlineLevel="0" collapsed="false">
      <c r="B190" s="22" t="s">
        <v>84</v>
      </c>
      <c r="C190" s="79" t="s">
        <v>302</v>
      </c>
      <c r="D190" s="79" t="s">
        <v>303</v>
      </c>
      <c r="E190" s="22" t="s">
        <v>15</v>
      </c>
      <c r="F190" s="80"/>
      <c r="G190" s="23" t="n">
        <v>1</v>
      </c>
      <c r="H190" s="23" t="n">
        <v>1</v>
      </c>
      <c r="I190" s="23" t="n">
        <v>0</v>
      </c>
      <c r="J190" s="23" t="n">
        <v>0</v>
      </c>
      <c r="K190" s="23"/>
      <c r="L190" s="82" t="n">
        <v>0</v>
      </c>
      <c r="M190" s="81" t="s">
        <v>61</v>
      </c>
    </row>
    <row r="191" customFormat="false" ht="12.75" hidden="false" customHeight="true" outlineLevel="0" collapsed="false">
      <c r="B191" s="61"/>
      <c r="C191" s="62" t="s">
        <v>104</v>
      </c>
      <c r="D191" s="62"/>
      <c r="E191" s="62"/>
      <c r="F191" s="62"/>
      <c r="G191" s="63" t="n">
        <v>2</v>
      </c>
      <c r="H191" s="61"/>
      <c r="I191" s="61"/>
      <c r="J191" s="61"/>
      <c r="K191" s="61"/>
      <c r="L191" s="63" t="n">
        <v>0</v>
      </c>
      <c r="M191" s="61"/>
    </row>
    <row r="192" customFormat="false" ht="12.75" hidden="false" customHeight="true" outlineLevel="0" collapsed="false">
      <c r="B192" s="27" t="s">
        <v>105</v>
      </c>
      <c r="C192" s="76" t="s">
        <v>304</v>
      </c>
      <c r="D192" s="76" t="s">
        <v>177</v>
      </c>
      <c r="E192" s="27" t="s">
        <v>15</v>
      </c>
      <c r="F192" s="77"/>
      <c r="G192" s="28" t="n">
        <v>2</v>
      </c>
      <c r="H192" s="28" t="n">
        <v>0</v>
      </c>
      <c r="I192" s="28" t="n">
        <v>2</v>
      </c>
      <c r="J192" s="28" t="n">
        <v>0</v>
      </c>
      <c r="K192" s="29" t="n">
        <v>2650</v>
      </c>
      <c r="L192" s="29" t="n">
        <v>5300</v>
      </c>
      <c r="M192" s="78" t="s">
        <v>61</v>
      </c>
    </row>
    <row r="193" customFormat="false" ht="12.75" hidden="false" customHeight="true" outlineLevel="0" collapsed="false">
      <c r="B193" s="22" t="s">
        <v>105</v>
      </c>
      <c r="C193" s="79" t="s">
        <v>305</v>
      </c>
      <c r="D193" s="79" t="s">
        <v>177</v>
      </c>
      <c r="E193" s="22" t="s">
        <v>15</v>
      </c>
      <c r="F193" s="80"/>
      <c r="G193" s="23" t="n">
        <v>2</v>
      </c>
      <c r="H193" s="23" t="n">
        <v>3</v>
      </c>
      <c r="I193" s="23" t="n">
        <v>0</v>
      </c>
      <c r="J193" s="23" t="n">
        <v>1</v>
      </c>
      <c r="K193" s="24" t="n">
        <v>1580</v>
      </c>
      <c r="L193" s="24" t="n">
        <v>3160</v>
      </c>
      <c r="M193" s="81" t="s">
        <v>61</v>
      </c>
    </row>
    <row r="194" customFormat="false" ht="12.75" hidden="false" customHeight="true" outlineLevel="0" collapsed="false">
      <c r="B194" s="27" t="s">
        <v>105</v>
      </c>
      <c r="C194" s="76" t="s">
        <v>306</v>
      </c>
      <c r="D194" s="76" t="s">
        <v>177</v>
      </c>
      <c r="E194" s="27" t="s">
        <v>15</v>
      </c>
      <c r="F194" s="77"/>
      <c r="G194" s="28" t="n">
        <v>0</v>
      </c>
      <c r="H194" s="28" t="n">
        <v>1</v>
      </c>
      <c r="I194" s="28" t="n">
        <v>0</v>
      </c>
      <c r="J194" s="28" t="n">
        <v>1</v>
      </c>
      <c r="K194" s="29" t="n">
        <v>1580</v>
      </c>
      <c r="L194" s="28" t="n">
        <v>0</v>
      </c>
      <c r="M194" s="78" t="s">
        <v>61</v>
      </c>
    </row>
    <row r="195" customFormat="false" ht="12.75" hidden="false" customHeight="true" outlineLevel="0" collapsed="false">
      <c r="B195" s="22" t="s">
        <v>105</v>
      </c>
      <c r="C195" s="79" t="s">
        <v>307</v>
      </c>
      <c r="D195" s="79" t="s">
        <v>177</v>
      </c>
      <c r="E195" s="22" t="s">
        <v>15</v>
      </c>
      <c r="F195" s="80"/>
      <c r="G195" s="23" t="n">
        <v>0</v>
      </c>
      <c r="H195" s="23" t="n">
        <v>0</v>
      </c>
      <c r="I195" s="23" t="n">
        <v>1</v>
      </c>
      <c r="J195" s="23" t="n">
        <v>1</v>
      </c>
      <c r="K195" s="24" t="n">
        <v>2650</v>
      </c>
      <c r="L195" s="23" t="n">
        <v>0</v>
      </c>
      <c r="M195" s="81" t="s">
        <v>61</v>
      </c>
    </row>
    <row r="196" customFormat="false" ht="12.75" hidden="false" customHeight="true" outlineLevel="0" collapsed="false">
      <c r="B196" s="61"/>
      <c r="C196" s="62" t="s">
        <v>108</v>
      </c>
      <c r="D196" s="62"/>
      <c r="E196" s="62"/>
      <c r="F196" s="62"/>
      <c r="G196" s="63" t="n">
        <v>4</v>
      </c>
      <c r="H196" s="61"/>
      <c r="I196" s="61"/>
      <c r="J196" s="61"/>
      <c r="K196" s="61"/>
      <c r="L196" s="63" t="n">
        <v>8460</v>
      </c>
      <c r="M196" s="61"/>
    </row>
    <row r="197" customFormat="false" ht="12.75" hidden="false" customHeight="true" outlineLevel="0" collapsed="false">
      <c r="B197" s="27" t="s">
        <v>308</v>
      </c>
      <c r="C197" s="76" t="s">
        <v>309</v>
      </c>
      <c r="D197" s="76" t="s">
        <v>212</v>
      </c>
      <c r="E197" s="27" t="s">
        <v>15</v>
      </c>
      <c r="F197" s="77"/>
      <c r="G197" s="28" t="n">
        <v>0</v>
      </c>
      <c r="H197" s="28" t="n">
        <v>5</v>
      </c>
      <c r="I197" s="28" t="n">
        <v>0</v>
      </c>
      <c r="J197" s="28" t="n">
        <v>5</v>
      </c>
      <c r="K197" s="28"/>
      <c r="L197" s="28" t="n">
        <v>0</v>
      </c>
      <c r="M197" s="78" t="s">
        <v>61</v>
      </c>
    </row>
    <row r="198" customFormat="false" ht="12.75" hidden="false" customHeight="true" outlineLevel="0" collapsed="false">
      <c r="B198" s="61"/>
      <c r="C198" s="62" t="s">
        <v>310</v>
      </c>
      <c r="D198" s="62"/>
      <c r="E198" s="62"/>
      <c r="F198" s="62"/>
      <c r="G198" s="63" t="n">
        <v>0</v>
      </c>
      <c r="H198" s="61"/>
      <c r="I198" s="61"/>
      <c r="J198" s="61"/>
      <c r="K198" s="61"/>
      <c r="L198" s="63" t="n">
        <v>0</v>
      </c>
      <c r="M198" s="61"/>
    </row>
    <row r="199" customFormat="false" ht="12.75" hidden="false" customHeight="true" outlineLevel="0" collapsed="false">
      <c r="B199" s="27" t="s">
        <v>182</v>
      </c>
      <c r="C199" s="76" t="s">
        <v>311</v>
      </c>
      <c r="D199" s="76" t="s">
        <v>184</v>
      </c>
      <c r="E199" s="27" t="s">
        <v>15</v>
      </c>
      <c r="F199" s="77"/>
      <c r="G199" s="28" t="n">
        <v>5</v>
      </c>
      <c r="H199" s="28" t="n">
        <v>0</v>
      </c>
      <c r="I199" s="28" t="n">
        <v>5</v>
      </c>
      <c r="J199" s="28" t="n">
        <v>0</v>
      </c>
      <c r="K199" s="29" t="n">
        <v>2900</v>
      </c>
      <c r="L199" s="29" t="n">
        <v>14500</v>
      </c>
      <c r="M199" s="78" t="s">
        <v>61</v>
      </c>
    </row>
    <row r="200" customFormat="false" ht="12.75" hidden="false" customHeight="true" outlineLevel="0" collapsed="false">
      <c r="B200" s="22" t="s">
        <v>182</v>
      </c>
      <c r="C200" s="79" t="s">
        <v>312</v>
      </c>
      <c r="D200" s="79" t="s">
        <v>313</v>
      </c>
      <c r="E200" s="22" t="s">
        <v>15</v>
      </c>
      <c r="F200" s="80"/>
      <c r="G200" s="23" t="n">
        <v>2</v>
      </c>
      <c r="H200" s="23" t="n">
        <v>2</v>
      </c>
      <c r="I200" s="23" t="n">
        <v>0</v>
      </c>
      <c r="J200" s="23" t="n">
        <v>0</v>
      </c>
      <c r="K200" s="24" t="n">
        <v>2400</v>
      </c>
      <c r="L200" s="24" t="n">
        <v>4800</v>
      </c>
      <c r="M200" s="81" t="s">
        <v>61</v>
      </c>
    </row>
    <row r="201" customFormat="false" ht="12.75" hidden="false" customHeight="true" outlineLevel="0" collapsed="false">
      <c r="B201" s="27" t="s">
        <v>182</v>
      </c>
      <c r="C201" s="76" t="s">
        <v>314</v>
      </c>
      <c r="D201" s="76" t="s">
        <v>313</v>
      </c>
      <c r="E201" s="27" t="s">
        <v>15</v>
      </c>
      <c r="F201" s="77"/>
      <c r="G201" s="28" t="n">
        <v>1</v>
      </c>
      <c r="H201" s="28" t="n">
        <v>1</v>
      </c>
      <c r="I201" s="28" t="n">
        <v>0</v>
      </c>
      <c r="J201" s="28" t="n">
        <v>0</v>
      </c>
      <c r="K201" s="29" t="n">
        <v>2400</v>
      </c>
      <c r="L201" s="29" t="n">
        <v>2400</v>
      </c>
      <c r="M201" s="78" t="s">
        <v>61</v>
      </c>
    </row>
    <row r="202" customFormat="false" ht="12.75" hidden="false" customHeight="true" outlineLevel="0" collapsed="false">
      <c r="B202" s="22" t="s">
        <v>182</v>
      </c>
      <c r="C202" s="79" t="s">
        <v>315</v>
      </c>
      <c r="D202" s="79" t="s">
        <v>313</v>
      </c>
      <c r="E202" s="22" t="s">
        <v>15</v>
      </c>
      <c r="F202" s="80"/>
      <c r="G202" s="23" t="n">
        <v>0</v>
      </c>
      <c r="H202" s="23" t="n">
        <v>1</v>
      </c>
      <c r="I202" s="23" t="n">
        <v>0</v>
      </c>
      <c r="J202" s="23" t="n">
        <v>1</v>
      </c>
      <c r="K202" s="24" t="n">
        <v>2400</v>
      </c>
      <c r="L202" s="23" t="n">
        <v>0</v>
      </c>
      <c r="M202" s="81" t="s">
        <v>61</v>
      </c>
    </row>
    <row r="203" customFormat="false" ht="12.75" hidden="false" customHeight="true" outlineLevel="0" collapsed="false">
      <c r="B203" s="61"/>
      <c r="C203" s="62" t="s">
        <v>185</v>
      </c>
      <c r="D203" s="62"/>
      <c r="E203" s="62"/>
      <c r="F203" s="62"/>
      <c r="G203" s="63" t="n">
        <v>8</v>
      </c>
      <c r="H203" s="61"/>
      <c r="I203" s="61"/>
      <c r="J203" s="61"/>
      <c r="K203" s="61"/>
      <c r="L203" s="63" t="n">
        <v>21700</v>
      </c>
      <c r="M203" s="61"/>
    </row>
    <row r="204" customFormat="false" ht="12.75" hidden="false" customHeight="true" outlineLevel="0" collapsed="false">
      <c r="B204" s="27" t="s">
        <v>316</v>
      </c>
      <c r="C204" s="76" t="s">
        <v>317</v>
      </c>
      <c r="D204" s="76" t="s">
        <v>318</v>
      </c>
      <c r="E204" s="27" t="s">
        <v>15</v>
      </c>
      <c r="F204" s="77"/>
      <c r="G204" s="28" t="n">
        <v>1</v>
      </c>
      <c r="H204" s="28" t="n">
        <v>1</v>
      </c>
      <c r="I204" s="28" t="n">
        <v>0</v>
      </c>
      <c r="J204" s="28" t="n">
        <v>0</v>
      </c>
      <c r="K204" s="29" t="n">
        <v>350</v>
      </c>
      <c r="L204" s="29" t="n">
        <v>350</v>
      </c>
      <c r="M204" s="78" t="s">
        <v>61</v>
      </c>
    </row>
    <row r="205" customFormat="false" ht="12.75" hidden="false" customHeight="true" outlineLevel="0" collapsed="false">
      <c r="B205" s="22" t="s">
        <v>316</v>
      </c>
      <c r="C205" s="79" t="s">
        <v>319</v>
      </c>
      <c r="D205" s="79" t="s">
        <v>318</v>
      </c>
      <c r="E205" s="22" t="s">
        <v>15</v>
      </c>
      <c r="F205" s="80"/>
      <c r="G205" s="23" t="n">
        <v>1</v>
      </c>
      <c r="H205" s="23" t="n">
        <v>2</v>
      </c>
      <c r="I205" s="23" t="n">
        <v>0</v>
      </c>
      <c r="J205" s="23" t="n">
        <v>1</v>
      </c>
      <c r="K205" s="24" t="n">
        <v>350</v>
      </c>
      <c r="L205" s="24" t="n">
        <v>350</v>
      </c>
      <c r="M205" s="81" t="s">
        <v>61</v>
      </c>
    </row>
    <row r="206" customFormat="false" ht="12.75" hidden="false" customHeight="true" outlineLevel="0" collapsed="false">
      <c r="B206" s="58" t="s">
        <v>316</v>
      </c>
      <c r="C206" s="18" t="s">
        <v>320</v>
      </c>
      <c r="D206" s="18" t="s">
        <v>321</v>
      </c>
      <c r="E206" s="58" t="s">
        <v>15</v>
      </c>
      <c r="F206" s="64"/>
      <c r="G206" s="84" t="n">
        <v>-2</v>
      </c>
      <c r="H206" s="84" t="n">
        <v>-2</v>
      </c>
      <c r="I206" s="19" t="n">
        <v>0</v>
      </c>
      <c r="J206" s="19" t="n">
        <v>0</v>
      </c>
      <c r="K206" s="20" t="n">
        <v>34</v>
      </c>
      <c r="L206" s="20" t="n">
        <v>-68</v>
      </c>
      <c r="M206" s="60" t="s">
        <v>61</v>
      </c>
    </row>
    <row r="207" customFormat="false" ht="12.75" hidden="false" customHeight="true" outlineLevel="0" collapsed="false">
      <c r="B207" s="61"/>
      <c r="C207" s="62" t="s">
        <v>322</v>
      </c>
      <c r="D207" s="62"/>
      <c r="E207" s="62"/>
      <c r="F207" s="62"/>
      <c r="G207" s="63" t="n">
        <v>0</v>
      </c>
      <c r="H207" s="61"/>
      <c r="I207" s="61"/>
      <c r="J207" s="61"/>
      <c r="K207" s="61"/>
      <c r="L207" s="63" t="n">
        <v>632</v>
      </c>
      <c r="M207" s="61"/>
    </row>
    <row r="208" customFormat="false" ht="12.75" hidden="false" customHeight="true" outlineLevel="0" collapsed="false">
      <c r="B208" s="27" t="s">
        <v>109</v>
      </c>
      <c r="C208" s="76" t="s">
        <v>323</v>
      </c>
      <c r="D208" s="76" t="s">
        <v>324</v>
      </c>
      <c r="E208" s="27" t="s">
        <v>15</v>
      </c>
      <c r="F208" s="77"/>
      <c r="G208" s="28" t="n">
        <v>4</v>
      </c>
      <c r="H208" s="28" t="n">
        <v>6</v>
      </c>
      <c r="I208" s="28" t="n">
        <v>0</v>
      </c>
      <c r="J208" s="28" t="n">
        <v>2</v>
      </c>
      <c r="K208" s="29" t="n">
        <v>5000</v>
      </c>
      <c r="L208" s="29" t="n">
        <v>20000</v>
      </c>
      <c r="M208" s="78" t="s">
        <v>61</v>
      </c>
    </row>
    <row r="209" customFormat="false" ht="12.75" hidden="false" customHeight="true" outlineLevel="0" collapsed="false">
      <c r="B209" s="22" t="s">
        <v>109</v>
      </c>
      <c r="C209" s="79" t="s">
        <v>325</v>
      </c>
      <c r="D209" s="79" t="s">
        <v>324</v>
      </c>
      <c r="E209" s="22" t="s">
        <v>15</v>
      </c>
      <c r="F209" s="80"/>
      <c r="G209" s="23" t="n">
        <v>3</v>
      </c>
      <c r="H209" s="23" t="n">
        <v>7</v>
      </c>
      <c r="I209" s="23" t="n">
        <v>0</v>
      </c>
      <c r="J209" s="23" t="n">
        <v>4</v>
      </c>
      <c r="K209" s="24" t="n">
        <v>5000</v>
      </c>
      <c r="L209" s="24" t="n">
        <v>15000</v>
      </c>
      <c r="M209" s="81" t="s">
        <v>61</v>
      </c>
    </row>
    <row r="210" customFormat="false" ht="12.75" hidden="false" customHeight="true" outlineLevel="0" collapsed="false">
      <c r="B210" s="27" t="s">
        <v>109</v>
      </c>
      <c r="C210" s="76" t="s">
        <v>326</v>
      </c>
      <c r="D210" s="76" t="s">
        <v>324</v>
      </c>
      <c r="E210" s="27" t="s">
        <v>15</v>
      </c>
      <c r="F210" s="77"/>
      <c r="G210" s="28" t="n">
        <v>1</v>
      </c>
      <c r="H210" s="28" t="n">
        <v>2</v>
      </c>
      <c r="I210" s="28" t="n">
        <v>0</v>
      </c>
      <c r="J210" s="28" t="n">
        <v>1</v>
      </c>
      <c r="K210" s="29" t="n">
        <v>5000</v>
      </c>
      <c r="L210" s="29" t="n">
        <v>5000</v>
      </c>
      <c r="M210" s="78" t="s">
        <v>61</v>
      </c>
    </row>
    <row r="211" customFormat="false" ht="12.75" hidden="false" customHeight="true" outlineLevel="0" collapsed="false">
      <c r="B211" s="22" t="s">
        <v>109</v>
      </c>
      <c r="C211" s="79" t="s">
        <v>327</v>
      </c>
      <c r="D211" s="79" t="s">
        <v>86</v>
      </c>
      <c r="E211" s="22" t="s">
        <v>15</v>
      </c>
      <c r="F211" s="80"/>
      <c r="G211" s="23" t="n">
        <v>1</v>
      </c>
      <c r="H211" s="23" t="n">
        <v>1</v>
      </c>
      <c r="I211" s="23" t="n">
        <v>0</v>
      </c>
      <c r="J211" s="23" t="n">
        <v>0</v>
      </c>
      <c r="K211" s="24" t="n">
        <v>4000</v>
      </c>
      <c r="L211" s="24" t="n">
        <v>4000</v>
      </c>
      <c r="M211" s="81" t="s">
        <v>61</v>
      </c>
    </row>
    <row r="212" customFormat="false" ht="12.75" hidden="false" customHeight="true" outlineLevel="0" collapsed="false">
      <c r="B212" s="27" t="s">
        <v>109</v>
      </c>
      <c r="C212" s="27" t="s">
        <v>328</v>
      </c>
      <c r="D212" s="27" t="s">
        <v>329</v>
      </c>
      <c r="E212" s="27" t="s">
        <v>15</v>
      </c>
      <c r="F212" s="77"/>
      <c r="G212" s="28" t="n">
        <v>1</v>
      </c>
      <c r="H212" s="28" t="n">
        <v>1</v>
      </c>
      <c r="I212" s="28" t="n">
        <v>0</v>
      </c>
      <c r="J212" s="28" t="n">
        <v>0</v>
      </c>
      <c r="K212" s="29" t="n">
        <v>1315</v>
      </c>
      <c r="L212" s="29" t="n">
        <v>1315</v>
      </c>
      <c r="M212" s="78" t="s">
        <v>61</v>
      </c>
    </row>
    <row r="213" customFormat="false" ht="12.75" hidden="false" customHeight="true" outlineLevel="0" collapsed="false">
      <c r="B213" s="22" t="s">
        <v>109</v>
      </c>
      <c r="C213" s="79" t="s">
        <v>330</v>
      </c>
      <c r="D213" s="79" t="s">
        <v>324</v>
      </c>
      <c r="E213" s="22" t="s">
        <v>15</v>
      </c>
      <c r="F213" s="80"/>
      <c r="G213" s="23" t="n">
        <v>0</v>
      </c>
      <c r="H213" s="23" t="n">
        <v>1</v>
      </c>
      <c r="I213" s="23" t="n">
        <v>0</v>
      </c>
      <c r="J213" s="23" t="n">
        <v>1</v>
      </c>
      <c r="K213" s="24" t="n">
        <v>5000</v>
      </c>
      <c r="L213" s="23" t="n">
        <v>0</v>
      </c>
      <c r="M213" s="81" t="s">
        <v>61</v>
      </c>
    </row>
    <row r="214" customFormat="false" ht="12.75" hidden="false" customHeight="true" outlineLevel="0" collapsed="false">
      <c r="B214" s="27" t="s">
        <v>109</v>
      </c>
      <c r="C214" s="27" t="s">
        <v>331</v>
      </c>
      <c r="D214" s="27" t="s">
        <v>295</v>
      </c>
      <c r="E214" s="27" t="s">
        <v>15</v>
      </c>
      <c r="F214" s="77"/>
      <c r="G214" s="28" t="n">
        <v>1</v>
      </c>
      <c r="H214" s="28" t="n">
        <v>1</v>
      </c>
      <c r="I214" s="28" t="n">
        <v>0</v>
      </c>
      <c r="J214" s="28" t="n">
        <v>0</v>
      </c>
      <c r="K214" s="28"/>
      <c r="L214" s="83" t="n">
        <v>0</v>
      </c>
      <c r="M214" s="78" t="s">
        <v>61</v>
      </c>
    </row>
    <row r="215" customFormat="false" ht="12.75" hidden="false" customHeight="true" outlineLevel="0" collapsed="false">
      <c r="B215" s="22" t="s">
        <v>109</v>
      </c>
      <c r="C215" s="79" t="s">
        <v>332</v>
      </c>
      <c r="D215" s="79" t="s">
        <v>324</v>
      </c>
      <c r="E215" s="22" t="s">
        <v>15</v>
      </c>
      <c r="F215" s="80"/>
      <c r="G215" s="23" t="n">
        <v>0</v>
      </c>
      <c r="H215" s="23" t="n">
        <v>0</v>
      </c>
      <c r="I215" s="23" t="n">
        <v>1</v>
      </c>
      <c r="J215" s="23" t="n">
        <v>1</v>
      </c>
      <c r="K215" s="24" t="n">
        <v>5000</v>
      </c>
      <c r="L215" s="23" t="n">
        <v>0</v>
      </c>
      <c r="M215" s="81" t="s">
        <v>61</v>
      </c>
    </row>
    <row r="216" customFormat="false" ht="12.75" hidden="false" customHeight="true" outlineLevel="0" collapsed="false">
      <c r="B216" s="61"/>
      <c r="C216" s="62" t="s">
        <v>125</v>
      </c>
      <c r="D216" s="62"/>
      <c r="E216" s="62"/>
      <c r="F216" s="62"/>
      <c r="G216" s="63" t="n">
        <v>11</v>
      </c>
      <c r="H216" s="61"/>
      <c r="I216" s="61"/>
      <c r="J216" s="61"/>
      <c r="K216" s="61"/>
      <c r="L216" s="63" t="n">
        <v>45315</v>
      </c>
      <c r="M216" s="61"/>
    </row>
    <row r="217" customFormat="false" ht="12.75" hidden="false" customHeight="true" outlineLevel="0" collapsed="false">
      <c r="B217" s="27" t="s">
        <v>126</v>
      </c>
      <c r="C217" s="76" t="s">
        <v>333</v>
      </c>
      <c r="D217" s="76" t="s">
        <v>334</v>
      </c>
      <c r="E217" s="27" t="s">
        <v>15</v>
      </c>
      <c r="F217" s="77"/>
      <c r="G217" s="28" t="n">
        <v>0</v>
      </c>
      <c r="H217" s="28" t="n">
        <v>1</v>
      </c>
      <c r="I217" s="28" t="n">
        <v>0</v>
      </c>
      <c r="J217" s="28" t="n">
        <v>1</v>
      </c>
      <c r="K217" s="29" t="n">
        <v>31600</v>
      </c>
      <c r="L217" s="28" t="n">
        <v>0</v>
      </c>
      <c r="M217" s="78" t="s">
        <v>61</v>
      </c>
    </row>
    <row r="218" customFormat="false" ht="12.75" hidden="false" customHeight="true" outlineLevel="0" collapsed="false">
      <c r="B218" s="61"/>
      <c r="C218" s="62" t="s">
        <v>152</v>
      </c>
      <c r="D218" s="62"/>
      <c r="E218" s="62"/>
      <c r="F218" s="62"/>
      <c r="G218" s="63" t="n">
        <v>0</v>
      </c>
      <c r="H218" s="61"/>
      <c r="I218" s="61"/>
      <c r="J218" s="61"/>
      <c r="K218" s="61"/>
      <c r="L218" s="63" t="n">
        <v>0</v>
      </c>
      <c r="M218" s="61"/>
    </row>
    <row r="219" customFormat="false" ht="12.75" hidden="false" customHeight="true" outlineLevel="0" collapsed="false">
      <c r="B219" s="27" t="s">
        <v>153</v>
      </c>
      <c r="C219" s="76" t="s">
        <v>335</v>
      </c>
      <c r="D219" s="76" t="s">
        <v>155</v>
      </c>
      <c r="E219" s="27" t="s">
        <v>15</v>
      </c>
      <c r="F219" s="77"/>
      <c r="G219" s="28" t="n">
        <v>4</v>
      </c>
      <c r="H219" s="28" t="n">
        <v>0</v>
      </c>
      <c r="I219" s="28" t="n">
        <v>4</v>
      </c>
      <c r="J219" s="28" t="n">
        <v>0</v>
      </c>
      <c r="K219" s="29" t="n">
        <v>16200</v>
      </c>
      <c r="L219" s="29" t="n">
        <v>64800</v>
      </c>
      <c r="M219" s="78" t="s">
        <v>61</v>
      </c>
    </row>
    <row r="220" customFormat="false" ht="12.75" hidden="false" customHeight="true" outlineLevel="0" collapsed="false">
      <c r="B220" s="22" t="s">
        <v>153</v>
      </c>
      <c r="C220" s="79" t="s">
        <v>336</v>
      </c>
      <c r="D220" s="79" t="s">
        <v>274</v>
      </c>
      <c r="E220" s="22" t="s">
        <v>15</v>
      </c>
      <c r="F220" s="80"/>
      <c r="G220" s="23" t="n">
        <v>9</v>
      </c>
      <c r="H220" s="23" t="n">
        <v>0</v>
      </c>
      <c r="I220" s="23" t="n">
        <v>9</v>
      </c>
      <c r="J220" s="23" t="n">
        <v>0</v>
      </c>
      <c r="K220" s="24" t="n">
        <v>5193</v>
      </c>
      <c r="L220" s="24" t="n">
        <v>46737</v>
      </c>
      <c r="M220" s="81" t="s">
        <v>61</v>
      </c>
    </row>
    <row r="221" customFormat="false" ht="12.75" hidden="false" customHeight="true" outlineLevel="0" collapsed="false">
      <c r="B221" s="27" t="s">
        <v>153</v>
      </c>
      <c r="C221" s="76" t="s">
        <v>337</v>
      </c>
      <c r="D221" s="76" t="s">
        <v>338</v>
      </c>
      <c r="E221" s="27" t="s">
        <v>15</v>
      </c>
      <c r="F221" s="77"/>
      <c r="G221" s="28" t="n">
        <v>1</v>
      </c>
      <c r="H221" s="28" t="n">
        <v>0</v>
      </c>
      <c r="I221" s="28" t="n">
        <v>2</v>
      </c>
      <c r="J221" s="28" t="n">
        <v>1</v>
      </c>
      <c r="K221" s="29" t="n">
        <v>28000</v>
      </c>
      <c r="L221" s="29" t="n">
        <v>28000</v>
      </c>
      <c r="M221" s="78" t="s">
        <v>61</v>
      </c>
    </row>
    <row r="222" customFormat="false" ht="12.75" hidden="false" customHeight="true" outlineLevel="0" collapsed="false">
      <c r="B222" s="22" t="s">
        <v>153</v>
      </c>
      <c r="C222" s="79" t="s">
        <v>339</v>
      </c>
      <c r="D222" s="79" t="s">
        <v>340</v>
      </c>
      <c r="E222" s="22" t="s">
        <v>15</v>
      </c>
      <c r="F222" s="80"/>
      <c r="G222" s="23" t="n">
        <v>1</v>
      </c>
      <c r="H222" s="23" t="n">
        <v>0</v>
      </c>
      <c r="I222" s="23" t="n">
        <v>2</v>
      </c>
      <c r="J222" s="23" t="n">
        <v>1</v>
      </c>
      <c r="K222" s="24" t="n">
        <v>27500</v>
      </c>
      <c r="L222" s="24" t="n">
        <v>27500</v>
      </c>
      <c r="M222" s="81" t="s">
        <v>61</v>
      </c>
    </row>
    <row r="223" customFormat="false" ht="12.75" hidden="false" customHeight="true" outlineLevel="0" collapsed="false">
      <c r="B223" s="27" t="s">
        <v>153</v>
      </c>
      <c r="C223" s="76" t="s">
        <v>341</v>
      </c>
      <c r="D223" s="76" t="s">
        <v>340</v>
      </c>
      <c r="E223" s="27" t="s">
        <v>15</v>
      </c>
      <c r="F223" s="77"/>
      <c r="G223" s="28" t="n">
        <v>1</v>
      </c>
      <c r="H223" s="28" t="n">
        <v>0</v>
      </c>
      <c r="I223" s="28" t="n">
        <v>1</v>
      </c>
      <c r="J223" s="28" t="n">
        <v>0</v>
      </c>
      <c r="K223" s="29" t="n">
        <v>27500</v>
      </c>
      <c r="L223" s="29" t="n">
        <v>27500</v>
      </c>
      <c r="M223" s="78" t="s">
        <v>61</v>
      </c>
    </row>
    <row r="224" customFormat="false" ht="12.75" hidden="false" customHeight="true" outlineLevel="0" collapsed="false">
      <c r="B224" s="22" t="s">
        <v>153</v>
      </c>
      <c r="C224" s="79" t="s">
        <v>342</v>
      </c>
      <c r="D224" s="79" t="s">
        <v>343</v>
      </c>
      <c r="E224" s="22" t="s">
        <v>15</v>
      </c>
      <c r="F224" s="80"/>
      <c r="G224" s="23" t="n">
        <v>9</v>
      </c>
      <c r="H224" s="23" t="n">
        <v>0</v>
      </c>
      <c r="I224" s="23" t="n">
        <v>10</v>
      </c>
      <c r="J224" s="23" t="n">
        <v>1</v>
      </c>
      <c r="K224" s="24" t="n">
        <v>2980</v>
      </c>
      <c r="L224" s="24" t="n">
        <v>26820</v>
      </c>
      <c r="M224" s="81" t="s">
        <v>61</v>
      </c>
    </row>
    <row r="225" customFormat="false" ht="12.75" hidden="false" customHeight="true" outlineLevel="0" collapsed="false">
      <c r="B225" s="27" t="s">
        <v>153</v>
      </c>
      <c r="C225" s="76" t="s">
        <v>344</v>
      </c>
      <c r="D225" s="76" t="s">
        <v>345</v>
      </c>
      <c r="E225" s="27" t="s">
        <v>15</v>
      </c>
      <c r="F225" s="77"/>
      <c r="G225" s="28" t="n">
        <v>6</v>
      </c>
      <c r="H225" s="28" t="n">
        <v>11</v>
      </c>
      <c r="I225" s="28" t="n">
        <v>0</v>
      </c>
      <c r="J225" s="28" t="n">
        <v>5</v>
      </c>
      <c r="K225" s="29" t="n">
        <v>3500</v>
      </c>
      <c r="L225" s="29" t="n">
        <v>21000</v>
      </c>
      <c r="M225" s="78" t="s">
        <v>61</v>
      </c>
    </row>
    <row r="226" customFormat="false" ht="12.75" hidden="false" customHeight="true" outlineLevel="0" collapsed="false">
      <c r="B226" s="22" t="s">
        <v>153</v>
      </c>
      <c r="C226" s="79" t="s">
        <v>346</v>
      </c>
      <c r="D226" s="79" t="s">
        <v>343</v>
      </c>
      <c r="E226" s="22" t="s">
        <v>15</v>
      </c>
      <c r="F226" s="80"/>
      <c r="G226" s="23" t="n">
        <v>5</v>
      </c>
      <c r="H226" s="23" t="n">
        <v>6</v>
      </c>
      <c r="I226" s="23" t="n">
        <v>0</v>
      </c>
      <c r="J226" s="23" t="n">
        <v>1</v>
      </c>
      <c r="K226" s="24" t="n">
        <v>3600</v>
      </c>
      <c r="L226" s="24" t="n">
        <v>18000</v>
      </c>
      <c r="M226" s="81" t="s">
        <v>61</v>
      </c>
    </row>
    <row r="227" customFormat="false" ht="12.75" hidden="false" customHeight="true" outlineLevel="0" collapsed="false">
      <c r="B227" s="27" t="s">
        <v>153</v>
      </c>
      <c r="C227" s="76" t="s">
        <v>347</v>
      </c>
      <c r="D227" s="76" t="s">
        <v>345</v>
      </c>
      <c r="E227" s="27" t="s">
        <v>15</v>
      </c>
      <c r="F227" s="77"/>
      <c r="G227" s="28" t="n">
        <v>2</v>
      </c>
      <c r="H227" s="28" t="n">
        <v>7</v>
      </c>
      <c r="I227" s="28" t="n">
        <v>0</v>
      </c>
      <c r="J227" s="28" t="n">
        <v>5</v>
      </c>
      <c r="K227" s="29" t="n">
        <v>3500</v>
      </c>
      <c r="L227" s="29" t="n">
        <v>7000</v>
      </c>
      <c r="M227" s="78" t="s">
        <v>61</v>
      </c>
    </row>
    <row r="228" customFormat="false" ht="12.75" hidden="false" customHeight="true" outlineLevel="0" collapsed="false">
      <c r="B228" s="22" t="s">
        <v>153</v>
      </c>
      <c r="C228" s="22" t="s">
        <v>348</v>
      </c>
      <c r="D228" s="22" t="s">
        <v>349</v>
      </c>
      <c r="E228" s="22" t="s">
        <v>15</v>
      </c>
      <c r="F228" s="80"/>
      <c r="G228" s="23" t="n">
        <v>1</v>
      </c>
      <c r="H228" s="23" t="n">
        <v>1</v>
      </c>
      <c r="I228" s="23" t="n">
        <v>0</v>
      </c>
      <c r="J228" s="23" t="n">
        <v>0</v>
      </c>
      <c r="K228" s="24" t="n">
        <v>4018</v>
      </c>
      <c r="L228" s="24" t="n">
        <v>4018</v>
      </c>
      <c r="M228" s="81" t="s">
        <v>61</v>
      </c>
    </row>
    <row r="229" customFormat="false" ht="12.75" hidden="false" customHeight="true" outlineLevel="0" collapsed="false">
      <c r="B229" s="27" t="s">
        <v>153</v>
      </c>
      <c r="C229" s="76" t="s">
        <v>350</v>
      </c>
      <c r="D229" s="76" t="s">
        <v>217</v>
      </c>
      <c r="E229" s="27" t="s">
        <v>15</v>
      </c>
      <c r="F229" s="77"/>
      <c r="G229" s="28" t="n">
        <v>0</v>
      </c>
      <c r="H229" s="28" t="n">
        <v>0</v>
      </c>
      <c r="I229" s="28" t="n">
        <v>2</v>
      </c>
      <c r="J229" s="28" t="n">
        <v>2</v>
      </c>
      <c r="K229" s="29" t="n">
        <v>12000</v>
      </c>
      <c r="L229" s="28" t="n">
        <v>0</v>
      </c>
      <c r="M229" s="78" t="s">
        <v>61</v>
      </c>
    </row>
    <row r="230" customFormat="false" ht="12.75" hidden="false" customHeight="true" outlineLevel="0" collapsed="false">
      <c r="B230" s="22" t="s">
        <v>153</v>
      </c>
      <c r="C230" s="79" t="s">
        <v>351</v>
      </c>
      <c r="D230" s="79" t="s">
        <v>157</v>
      </c>
      <c r="E230" s="22" t="s">
        <v>15</v>
      </c>
      <c r="F230" s="80"/>
      <c r="G230" s="23" t="n">
        <v>1</v>
      </c>
      <c r="H230" s="23" t="n">
        <v>1</v>
      </c>
      <c r="I230" s="23" t="n">
        <v>0</v>
      </c>
      <c r="J230" s="23" t="n">
        <v>0</v>
      </c>
      <c r="K230" s="23"/>
      <c r="L230" s="82" t="n">
        <v>0</v>
      </c>
      <c r="M230" s="81" t="s">
        <v>61</v>
      </c>
    </row>
    <row r="231" customFormat="false" ht="12.75" hidden="false" customHeight="true" outlineLevel="0" collapsed="false">
      <c r="B231" s="27" t="s">
        <v>153</v>
      </c>
      <c r="C231" s="76" t="s">
        <v>352</v>
      </c>
      <c r="D231" s="76" t="s">
        <v>353</v>
      </c>
      <c r="E231" s="27" t="s">
        <v>15</v>
      </c>
      <c r="F231" s="77"/>
      <c r="G231" s="28" t="n">
        <v>0</v>
      </c>
      <c r="H231" s="28" t="n">
        <v>0</v>
      </c>
      <c r="I231" s="28" t="n">
        <v>1</v>
      </c>
      <c r="J231" s="28" t="n">
        <v>1</v>
      </c>
      <c r="K231" s="29" t="n">
        <v>7800</v>
      </c>
      <c r="L231" s="28" t="n">
        <v>0</v>
      </c>
      <c r="M231" s="78" t="s">
        <v>61</v>
      </c>
    </row>
    <row r="232" customFormat="false" ht="12.75" hidden="false" customHeight="true" outlineLevel="0" collapsed="false">
      <c r="B232" s="22" t="s">
        <v>153</v>
      </c>
      <c r="C232" s="79" t="s">
        <v>354</v>
      </c>
      <c r="D232" s="79" t="s">
        <v>217</v>
      </c>
      <c r="E232" s="22" t="s">
        <v>15</v>
      </c>
      <c r="F232" s="80"/>
      <c r="G232" s="23" t="n">
        <v>0</v>
      </c>
      <c r="H232" s="23" t="n">
        <v>0</v>
      </c>
      <c r="I232" s="23" t="n">
        <v>3</v>
      </c>
      <c r="J232" s="23" t="n">
        <v>3</v>
      </c>
      <c r="K232" s="24" t="n">
        <v>12500</v>
      </c>
      <c r="L232" s="23" t="n">
        <v>0</v>
      </c>
      <c r="M232" s="81" t="s">
        <v>61</v>
      </c>
    </row>
    <row r="233" customFormat="false" ht="12.75" hidden="false" customHeight="true" outlineLevel="0" collapsed="false">
      <c r="B233" s="61"/>
      <c r="C233" s="62" t="s">
        <v>163</v>
      </c>
      <c r="D233" s="62"/>
      <c r="E233" s="62"/>
      <c r="F233" s="62"/>
      <c r="G233" s="63" t="n">
        <v>40</v>
      </c>
      <c r="H233" s="61"/>
      <c r="I233" s="61"/>
      <c r="J233" s="61"/>
      <c r="K233" s="61"/>
      <c r="L233" s="63" t="n">
        <v>271375</v>
      </c>
      <c r="M233" s="61"/>
    </row>
    <row r="234" customFormat="false" ht="12.75" hidden="false" customHeight="true" outlineLevel="0" collapsed="false">
      <c r="B234" s="27" t="s">
        <v>355</v>
      </c>
      <c r="C234" s="76" t="s">
        <v>356</v>
      </c>
      <c r="D234" s="76" t="s">
        <v>282</v>
      </c>
      <c r="E234" s="27" t="s">
        <v>15</v>
      </c>
      <c r="F234" s="77"/>
      <c r="G234" s="28" t="n">
        <v>30</v>
      </c>
      <c r="H234" s="28" t="n">
        <v>0</v>
      </c>
      <c r="I234" s="28" t="n">
        <v>31</v>
      </c>
      <c r="J234" s="28" t="n">
        <v>1</v>
      </c>
      <c r="K234" s="28"/>
      <c r="L234" s="83" t="n">
        <v>0</v>
      </c>
      <c r="M234" s="78" t="s">
        <v>61</v>
      </c>
    </row>
    <row r="235" customFormat="false" ht="12.75" hidden="false" customHeight="true" outlineLevel="0" collapsed="false">
      <c r="B235" s="61"/>
      <c r="C235" s="62" t="s">
        <v>357</v>
      </c>
      <c r="D235" s="62"/>
      <c r="E235" s="62"/>
      <c r="F235" s="62"/>
      <c r="G235" s="63" t="n">
        <v>30</v>
      </c>
      <c r="H235" s="61"/>
      <c r="I235" s="61"/>
      <c r="J235" s="61"/>
      <c r="K235" s="61"/>
      <c r="L235" s="63" t="n">
        <v>0</v>
      </c>
      <c r="M235" s="61"/>
    </row>
    <row r="236" customFormat="false" ht="12.75" hidden="false" customHeight="true" outlineLevel="0" collapsed="false">
      <c r="B236" s="27" t="s">
        <v>358</v>
      </c>
      <c r="C236" s="76" t="s">
        <v>359</v>
      </c>
      <c r="D236" s="76" t="s">
        <v>212</v>
      </c>
      <c r="E236" s="27" t="s">
        <v>15</v>
      </c>
      <c r="F236" s="77"/>
      <c r="G236" s="28" t="n">
        <v>103</v>
      </c>
      <c r="H236" s="28" t="n">
        <v>223</v>
      </c>
      <c r="I236" s="28" t="n">
        <v>0</v>
      </c>
      <c r="J236" s="28" t="n">
        <v>118</v>
      </c>
      <c r="K236" s="29" t="n">
        <v>1030</v>
      </c>
      <c r="L236" s="29" t="n">
        <v>106090</v>
      </c>
      <c r="M236" s="78" t="s">
        <v>61</v>
      </c>
    </row>
    <row r="237" customFormat="false" ht="12.75" hidden="false" customHeight="true" outlineLevel="0" collapsed="false">
      <c r="B237" s="61"/>
      <c r="C237" s="62" t="s">
        <v>360</v>
      </c>
      <c r="D237" s="62"/>
      <c r="E237" s="62"/>
      <c r="F237" s="62"/>
      <c r="G237" s="63" t="n">
        <v>105</v>
      </c>
      <c r="H237" s="61"/>
      <c r="I237" s="61"/>
      <c r="J237" s="61"/>
      <c r="K237" s="61"/>
      <c r="L237" s="63" t="n">
        <v>108150</v>
      </c>
      <c r="M237" s="61"/>
    </row>
    <row r="238" customFormat="false" ht="12.75" hidden="false" customHeight="true" outlineLevel="0" collapsed="false">
      <c r="B238" s="27" t="s">
        <v>361</v>
      </c>
      <c r="C238" s="76" t="s">
        <v>362</v>
      </c>
      <c r="D238" s="76" t="s">
        <v>363</v>
      </c>
      <c r="E238" s="27" t="s">
        <v>15</v>
      </c>
      <c r="F238" s="77"/>
      <c r="G238" s="28" t="n">
        <v>2</v>
      </c>
      <c r="H238" s="28" t="n">
        <v>2</v>
      </c>
      <c r="I238" s="28" t="n">
        <v>0</v>
      </c>
      <c r="J238" s="28" t="n">
        <v>0</v>
      </c>
      <c r="K238" s="28"/>
      <c r="L238" s="83" t="n">
        <v>0</v>
      </c>
      <c r="M238" s="78" t="s">
        <v>61</v>
      </c>
    </row>
    <row r="239" customFormat="false" ht="12.75" hidden="false" customHeight="true" outlineLevel="0" collapsed="false">
      <c r="B239" s="22" t="s">
        <v>361</v>
      </c>
      <c r="C239" s="79" t="s">
        <v>364</v>
      </c>
      <c r="D239" s="79" t="s">
        <v>363</v>
      </c>
      <c r="E239" s="22" t="s">
        <v>15</v>
      </c>
      <c r="F239" s="80"/>
      <c r="G239" s="23" t="n">
        <v>0</v>
      </c>
      <c r="H239" s="23" t="n">
        <v>2</v>
      </c>
      <c r="I239" s="23" t="n">
        <v>0</v>
      </c>
      <c r="J239" s="23" t="n">
        <v>2</v>
      </c>
      <c r="K239" s="24" t="n">
        <v>4500</v>
      </c>
      <c r="L239" s="23" t="n">
        <v>0</v>
      </c>
      <c r="M239" s="81" t="s">
        <v>61</v>
      </c>
    </row>
    <row r="240" customFormat="false" ht="12.75" hidden="false" customHeight="true" outlineLevel="0" collapsed="false">
      <c r="B240" s="61"/>
      <c r="C240" s="62" t="s">
        <v>365</v>
      </c>
      <c r="D240" s="62"/>
      <c r="E240" s="62"/>
      <c r="F240" s="62"/>
      <c r="G240" s="63" t="n">
        <v>2</v>
      </c>
      <c r="H240" s="61"/>
      <c r="I240" s="61"/>
      <c r="J240" s="61"/>
      <c r="K240" s="61"/>
      <c r="L240" s="63" t="n">
        <v>0</v>
      </c>
      <c r="M240" s="61"/>
    </row>
    <row r="241" customFormat="false" ht="13.5" hidden="false" customHeight="true" outlineLevel="0" collapsed="false">
      <c r="B241" s="66" t="s">
        <v>366</v>
      </c>
      <c r="C241" s="66"/>
      <c r="D241" s="66"/>
      <c r="E241" s="66"/>
      <c r="F241" s="66"/>
      <c r="G241" s="67" t="n">
        <v>2146</v>
      </c>
      <c r="H241" s="68"/>
      <c r="I241" s="68"/>
      <c r="J241" s="68"/>
      <c r="K241" s="68"/>
      <c r="L241" s="67" t="n">
        <v>1149683.08</v>
      </c>
      <c r="M241" s="68"/>
    </row>
    <row r="242" customFormat="false" ht="7.5" hidden="false" customHeight="true" outlineLevel="0" collapsed="false"/>
    <row r="243" customFormat="false" ht="15" hidden="false" customHeight="false" outlineLevel="0" collapsed="false">
      <c r="B243" s="75" t="s">
        <v>367</v>
      </c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</row>
    <row r="244" customFormat="false" ht="12.75" hidden="false" customHeight="true" outlineLevel="0" collapsed="false">
      <c r="B244" s="27" t="s">
        <v>279</v>
      </c>
      <c r="C244" s="76" t="s">
        <v>368</v>
      </c>
      <c r="D244" s="76" t="s">
        <v>274</v>
      </c>
      <c r="E244" s="27" t="s">
        <v>16</v>
      </c>
      <c r="F244" s="77"/>
      <c r="G244" s="28" t="n">
        <v>39</v>
      </c>
      <c r="H244" s="28" t="n">
        <v>89</v>
      </c>
      <c r="I244" s="28" t="n">
        <v>8</v>
      </c>
      <c r="J244" s="28" t="n">
        <v>56</v>
      </c>
      <c r="K244" s="29" t="n">
        <v>5833</v>
      </c>
      <c r="L244" s="29" t="n">
        <v>227487</v>
      </c>
      <c r="M244" s="78" t="s">
        <v>61</v>
      </c>
    </row>
    <row r="245" customFormat="false" ht="12.75" hidden="false" customHeight="true" outlineLevel="0" collapsed="false">
      <c r="B245" s="22" t="s">
        <v>279</v>
      </c>
      <c r="C245" s="79" t="s">
        <v>369</v>
      </c>
      <c r="D245" s="79" t="s">
        <v>212</v>
      </c>
      <c r="E245" s="22" t="s">
        <v>16</v>
      </c>
      <c r="F245" s="80"/>
      <c r="G245" s="23" t="n">
        <v>18</v>
      </c>
      <c r="H245" s="23" t="n">
        <v>20</v>
      </c>
      <c r="I245" s="23" t="n">
        <v>6</v>
      </c>
      <c r="J245" s="23" t="n">
        <v>7</v>
      </c>
      <c r="K245" s="24" t="n">
        <v>10356</v>
      </c>
      <c r="L245" s="24" t="n">
        <v>186408</v>
      </c>
      <c r="M245" s="81" t="s">
        <v>61</v>
      </c>
    </row>
    <row r="246" customFormat="false" ht="12.75" hidden="false" customHeight="true" outlineLevel="0" collapsed="false">
      <c r="B246" s="27" t="s">
        <v>279</v>
      </c>
      <c r="C246" s="76" t="s">
        <v>370</v>
      </c>
      <c r="D246" s="76" t="s">
        <v>371</v>
      </c>
      <c r="E246" s="27" t="s">
        <v>16</v>
      </c>
      <c r="F246" s="77"/>
      <c r="G246" s="28" t="n">
        <v>5</v>
      </c>
      <c r="H246" s="28" t="n">
        <v>9</v>
      </c>
      <c r="I246" s="28" t="n">
        <v>5</v>
      </c>
      <c r="J246" s="28" t="n">
        <v>8</v>
      </c>
      <c r="K246" s="29" t="n">
        <v>3940</v>
      </c>
      <c r="L246" s="29" t="n">
        <v>19700</v>
      </c>
      <c r="M246" s="78" t="s">
        <v>61</v>
      </c>
    </row>
    <row r="247" customFormat="false" ht="12.75" hidden="false" customHeight="true" outlineLevel="0" collapsed="false">
      <c r="B247" s="22" t="s">
        <v>279</v>
      </c>
      <c r="C247" s="79" t="s">
        <v>372</v>
      </c>
      <c r="D247" s="79" t="s">
        <v>373</v>
      </c>
      <c r="E247" s="22" t="s">
        <v>16</v>
      </c>
      <c r="F247" s="80"/>
      <c r="G247" s="23" t="n">
        <v>2</v>
      </c>
      <c r="H247" s="85" t="n">
        <v>-2</v>
      </c>
      <c r="I247" s="23" t="n">
        <v>9</v>
      </c>
      <c r="J247" s="23" t="n">
        <v>5</v>
      </c>
      <c r="K247" s="24" t="n">
        <v>3637.5</v>
      </c>
      <c r="L247" s="24" t="n">
        <v>7275</v>
      </c>
      <c r="M247" s="81" t="s">
        <v>61</v>
      </c>
    </row>
    <row r="248" customFormat="false" ht="12.75" hidden="false" customHeight="true" outlineLevel="0" collapsed="false">
      <c r="B248" s="58" t="s">
        <v>279</v>
      </c>
      <c r="C248" s="18" t="s">
        <v>374</v>
      </c>
      <c r="D248" s="18" t="s">
        <v>274</v>
      </c>
      <c r="E248" s="58" t="s">
        <v>16</v>
      </c>
      <c r="F248" s="64"/>
      <c r="G248" s="84" t="n">
        <v>-4</v>
      </c>
      <c r="H248" s="84" t="n">
        <v>-4</v>
      </c>
      <c r="I248" s="19" t="n">
        <v>0</v>
      </c>
      <c r="J248" s="19" t="n">
        <v>0</v>
      </c>
      <c r="K248" s="20" t="n">
        <v>5689</v>
      </c>
      <c r="L248" s="20" t="n">
        <v>-22756</v>
      </c>
      <c r="M248" s="60" t="s">
        <v>61</v>
      </c>
    </row>
    <row r="249" customFormat="false" ht="12.75" hidden="false" customHeight="true" outlineLevel="0" collapsed="false">
      <c r="B249" s="58" t="s">
        <v>279</v>
      </c>
      <c r="C249" s="18" t="s">
        <v>375</v>
      </c>
      <c r="D249" s="18" t="s">
        <v>212</v>
      </c>
      <c r="E249" s="58" t="s">
        <v>16</v>
      </c>
      <c r="F249" s="64"/>
      <c r="G249" s="84" t="n">
        <v>-13</v>
      </c>
      <c r="H249" s="84" t="n">
        <v>-13</v>
      </c>
      <c r="I249" s="19" t="n">
        <v>0</v>
      </c>
      <c r="J249" s="19" t="n">
        <v>0</v>
      </c>
      <c r="K249" s="20" t="n">
        <v>9231</v>
      </c>
      <c r="L249" s="20" t="n">
        <v>-120003</v>
      </c>
      <c r="M249" s="60" t="s">
        <v>61</v>
      </c>
    </row>
    <row r="250" customFormat="false" ht="12.75" hidden="false" customHeight="true" outlineLevel="0" collapsed="false">
      <c r="B250" s="61"/>
      <c r="C250" s="62" t="s">
        <v>284</v>
      </c>
      <c r="D250" s="62"/>
      <c r="E250" s="62"/>
      <c r="F250" s="62"/>
      <c r="G250" s="63" t="n">
        <v>51</v>
      </c>
      <c r="H250" s="61"/>
      <c r="I250" s="61"/>
      <c r="J250" s="61"/>
      <c r="K250" s="61"/>
      <c r="L250" s="63" t="n">
        <v>324073</v>
      </c>
      <c r="M250" s="61"/>
    </row>
    <row r="251" customFormat="false" ht="12.75" hidden="false" customHeight="true" outlineLevel="0" collapsed="false">
      <c r="B251" s="27" t="s">
        <v>376</v>
      </c>
      <c r="C251" s="76" t="s">
        <v>377</v>
      </c>
      <c r="D251" s="76" t="s">
        <v>274</v>
      </c>
      <c r="E251" s="27" t="s">
        <v>16</v>
      </c>
      <c r="F251" s="77"/>
      <c r="G251" s="28" t="n">
        <v>109</v>
      </c>
      <c r="H251" s="28" t="n">
        <v>153</v>
      </c>
      <c r="I251" s="28" t="n">
        <v>8</v>
      </c>
      <c r="J251" s="28" t="n">
        <v>50</v>
      </c>
      <c r="K251" s="29" t="n">
        <v>130</v>
      </c>
      <c r="L251" s="29" t="n">
        <v>14170</v>
      </c>
      <c r="M251" s="78" t="s">
        <v>61</v>
      </c>
    </row>
    <row r="252" customFormat="false" ht="12.75" hidden="false" customHeight="true" outlineLevel="0" collapsed="false">
      <c r="B252" s="22" t="s">
        <v>376</v>
      </c>
      <c r="C252" s="79" t="s">
        <v>378</v>
      </c>
      <c r="D252" s="79" t="s">
        <v>371</v>
      </c>
      <c r="E252" s="22" t="s">
        <v>16</v>
      </c>
      <c r="F252" s="80"/>
      <c r="G252" s="23" t="n">
        <v>11</v>
      </c>
      <c r="H252" s="23" t="n">
        <v>17</v>
      </c>
      <c r="I252" s="23" t="n">
        <v>25</v>
      </c>
      <c r="J252" s="23" t="n">
        <v>30</v>
      </c>
      <c r="K252" s="24" t="n">
        <v>71</v>
      </c>
      <c r="L252" s="24" t="n">
        <v>781</v>
      </c>
      <c r="M252" s="81" t="s">
        <v>61</v>
      </c>
    </row>
    <row r="253" customFormat="false" ht="12.75" hidden="false" customHeight="true" outlineLevel="0" collapsed="false">
      <c r="B253" s="27" t="s">
        <v>376</v>
      </c>
      <c r="C253" s="76" t="s">
        <v>379</v>
      </c>
      <c r="D253" s="76" t="s">
        <v>212</v>
      </c>
      <c r="E253" s="27" t="s">
        <v>16</v>
      </c>
      <c r="F253" s="77"/>
      <c r="G253" s="28" t="n">
        <v>2</v>
      </c>
      <c r="H253" s="28" t="n">
        <v>8</v>
      </c>
      <c r="I253" s="28" t="n">
        <v>6</v>
      </c>
      <c r="J253" s="28" t="n">
        <v>11</v>
      </c>
      <c r="K253" s="29" t="n">
        <v>200</v>
      </c>
      <c r="L253" s="29" t="n">
        <v>400</v>
      </c>
      <c r="M253" s="78" t="s">
        <v>61</v>
      </c>
    </row>
    <row r="254" customFormat="false" ht="12.75" hidden="false" customHeight="true" outlineLevel="0" collapsed="false">
      <c r="B254" s="22" t="s">
        <v>376</v>
      </c>
      <c r="C254" s="79" t="s">
        <v>380</v>
      </c>
      <c r="D254" s="79" t="s">
        <v>381</v>
      </c>
      <c r="E254" s="22" t="s">
        <v>16</v>
      </c>
      <c r="F254" s="80"/>
      <c r="G254" s="23" t="n">
        <v>1</v>
      </c>
      <c r="H254" s="23" t="n">
        <v>1</v>
      </c>
      <c r="I254" s="23" t="n">
        <v>0</v>
      </c>
      <c r="J254" s="23" t="n">
        <v>0</v>
      </c>
      <c r="K254" s="24" t="n">
        <v>300</v>
      </c>
      <c r="L254" s="24" t="n">
        <v>300</v>
      </c>
      <c r="M254" s="81" t="s">
        <v>61</v>
      </c>
    </row>
    <row r="255" customFormat="false" ht="12.75" hidden="false" customHeight="true" outlineLevel="0" collapsed="false">
      <c r="B255" s="61"/>
      <c r="C255" s="62" t="s">
        <v>382</v>
      </c>
      <c r="D255" s="62"/>
      <c r="E255" s="62"/>
      <c r="F255" s="62"/>
      <c r="G255" s="63" t="n">
        <v>127</v>
      </c>
      <c r="H255" s="61"/>
      <c r="I255" s="61"/>
      <c r="J255" s="61"/>
      <c r="K255" s="61"/>
      <c r="L255" s="63" t="n">
        <v>16182</v>
      </c>
      <c r="M255" s="61"/>
    </row>
    <row r="256" customFormat="false" ht="12.75" hidden="false" customHeight="true" outlineLevel="0" collapsed="false">
      <c r="B256" s="27" t="s">
        <v>383</v>
      </c>
      <c r="C256" s="76" t="s">
        <v>384</v>
      </c>
      <c r="D256" s="76" t="s">
        <v>381</v>
      </c>
      <c r="E256" s="27" t="s">
        <v>16</v>
      </c>
      <c r="F256" s="77"/>
      <c r="G256" s="28" t="n">
        <v>1</v>
      </c>
      <c r="H256" s="28" t="n">
        <v>1</v>
      </c>
      <c r="I256" s="28" t="n">
        <v>0</v>
      </c>
      <c r="J256" s="28" t="n">
        <v>0</v>
      </c>
      <c r="K256" s="29" t="n">
        <v>3000</v>
      </c>
      <c r="L256" s="29" t="n">
        <v>3000</v>
      </c>
      <c r="M256" s="78" t="s">
        <v>61</v>
      </c>
    </row>
    <row r="257" customFormat="false" ht="12.75" hidden="false" customHeight="true" outlineLevel="0" collapsed="false">
      <c r="B257" s="61"/>
      <c r="C257" s="62" t="s">
        <v>385</v>
      </c>
      <c r="D257" s="62"/>
      <c r="E257" s="62"/>
      <c r="F257" s="62"/>
      <c r="G257" s="63" t="n">
        <v>1</v>
      </c>
      <c r="H257" s="61"/>
      <c r="I257" s="61"/>
      <c r="J257" s="61"/>
      <c r="K257" s="61"/>
      <c r="L257" s="63" t="n">
        <v>3000</v>
      </c>
      <c r="M257" s="61"/>
    </row>
    <row r="258" customFormat="false" ht="12.75" hidden="false" customHeight="true" outlineLevel="0" collapsed="false">
      <c r="B258" s="27" t="s">
        <v>308</v>
      </c>
      <c r="C258" s="76" t="s">
        <v>386</v>
      </c>
      <c r="D258" s="76" t="s">
        <v>212</v>
      </c>
      <c r="E258" s="27" t="s">
        <v>16</v>
      </c>
      <c r="F258" s="77"/>
      <c r="G258" s="28" t="n">
        <v>2</v>
      </c>
      <c r="H258" s="28" t="n">
        <v>5</v>
      </c>
      <c r="I258" s="28" t="n">
        <v>11</v>
      </c>
      <c r="J258" s="28" t="n">
        <v>14</v>
      </c>
      <c r="K258" s="29" t="n">
        <v>1944</v>
      </c>
      <c r="L258" s="29" t="n">
        <v>3888</v>
      </c>
      <c r="M258" s="78" t="s">
        <v>61</v>
      </c>
    </row>
    <row r="259" customFormat="false" ht="12.75" hidden="false" customHeight="true" outlineLevel="0" collapsed="false">
      <c r="B259" s="22" t="s">
        <v>308</v>
      </c>
      <c r="C259" s="79" t="s">
        <v>387</v>
      </c>
      <c r="D259" s="79" t="s">
        <v>274</v>
      </c>
      <c r="E259" s="22" t="s">
        <v>16</v>
      </c>
      <c r="F259" s="80"/>
      <c r="G259" s="23" t="n">
        <v>2</v>
      </c>
      <c r="H259" s="23" t="n">
        <v>10</v>
      </c>
      <c r="I259" s="23" t="n">
        <v>7</v>
      </c>
      <c r="J259" s="23" t="n">
        <v>15</v>
      </c>
      <c r="K259" s="24" t="n">
        <v>905</v>
      </c>
      <c r="L259" s="24" t="n">
        <v>1810</v>
      </c>
      <c r="M259" s="81" t="s">
        <v>61</v>
      </c>
    </row>
    <row r="260" customFormat="false" ht="12.75" hidden="false" customHeight="true" outlineLevel="0" collapsed="false">
      <c r="B260" s="27" t="s">
        <v>308</v>
      </c>
      <c r="C260" s="76" t="s">
        <v>388</v>
      </c>
      <c r="D260" s="76" t="s">
        <v>371</v>
      </c>
      <c r="E260" s="27" t="s">
        <v>16</v>
      </c>
      <c r="F260" s="77"/>
      <c r="G260" s="28" t="n">
        <v>1</v>
      </c>
      <c r="H260" s="28" t="n">
        <v>21</v>
      </c>
      <c r="I260" s="28" t="n">
        <v>0</v>
      </c>
      <c r="J260" s="28" t="n">
        <v>19</v>
      </c>
      <c r="K260" s="29" t="n">
        <v>500</v>
      </c>
      <c r="L260" s="29" t="n">
        <v>500</v>
      </c>
      <c r="M260" s="78" t="s">
        <v>61</v>
      </c>
    </row>
    <row r="261" customFormat="false" ht="12.75" hidden="false" customHeight="true" outlineLevel="0" collapsed="false">
      <c r="B261" s="22" t="s">
        <v>308</v>
      </c>
      <c r="C261" s="79" t="s">
        <v>389</v>
      </c>
      <c r="D261" s="79" t="s">
        <v>371</v>
      </c>
      <c r="E261" s="22" t="s">
        <v>16</v>
      </c>
      <c r="F261" s="80"/>
      <c r="G261" s="23" t="n">
        <v>0</v>
      </c>
      <c r="H261" s="23" t="n">
        <v>2</v>
      </c>
      <c r="I261" s="23" t="n">
        <v>0</v>
      </c>
      <c r="J261" s="23" t="n">
        <v>1</v>
      </c>
      <c r="K261" s="24" t="n">
        <v>500</v>
      </c>
      <c r="L261" s="24" t="n">
        <v>0</v>
      </c>
      <c r="M261" s="81" t="s">
        <v>61</v>
      </c>
    </row>
    <row r="262" customFormat="false" ht="12.75" hidden="false" customHeight="true" outlineLevel="0" collapsed="false">
      <c r="B262" s="27" t="s">
        <v>308</v>
      </c>
      <c r="C262" s="76" t="s">
        <v>390</v>
      </c>
      <c r="D262" s="76" t="s">
        <v>212</v>
      </c>
      <c r="E262" s="27" t="s">
        <v>16</v>
      </c>
      <c r="F262" s="77"/>
      <c r="G262" s="28" t="n">
        <v>0</v>
      </c>
      <c r="H262" s="28" t="n">
        <v>43</v>
      </c>
      <c r="I262" s="28" t="n">
        <v>0</v>
      </c>
      <c r="J262" s="28" t="n">
        <v>43</v>
      </c>
      <c r="K262" s="29" t="n">
        <v>1886.14</v>
      </c>
      <c r="L262" s="28" t="n">
        <v>0</v>
      </c>
      <c r="M262" s="78" t="s">
        <v>61</v>
      </c>
    </row>
    <row r="263" customFormat="false" ht="12.75" hidden="false" customHeight="true" outlineLevel="0" collapsed="false">
      <c r="B263" s="22" t="s">
        <v>308</v>
      </c>
      <c r="C263" s="79" t="s">
        <v>391</v>
      </c>
      <c r="D263" s="79" t="s">
        <v>274</v>
      </c>
      <c r="E263" s="22" t="s">
        <v>16</v>
      </c>
      <c r="F263" s="80"/>
      <c r="G263" s="23" t="n">
        <v>0</v>
      </c>
      <c r="H263" s="23" t="n">
        <v>1</v>
      </c>
      <c r="I263" s="23" t="n">
        <v>0</v>
      </c>
      <c r="J263" s="23" t="n">
        <v>1</v>
      </c>
      <c r="K263" s="24" t="n">
        <v>905</v>
      </c>
      <c r="L263" s="23" t="n">
        <v>0</v>
      </c>
      <c r="M263" s="81" t="s">
        <v>61</v>
      </c>
    </row>
    <row r="264" customFormat="false" ht="12.75" hidden="false" customHeight="true" outlineLevel="0" collapsed="false">
      <c r="B264" s="27" t="s">
        <v>308</v>
      </c>
      <c r="C264" s="76" t="s">
        <v>392</v>
      </c>
      <c r="D264" s="76" t="s">
        <v>274</v>
      </c>
      <c r="E264" s="27" t="s">
        <v>16</v>
      </c>
      <c r="F264" s="77"/>
      <c r="G264" s="28" t="n">
        <v>0</v>
      </c>
      <c r="H264" s="28" t="n">
        <v>3</v>
      </c>
      <c r="I264" s="28" t="n">
        <v>0</v>
      </c>
      <c r="J264" s="28" t="n">
        <v>3</v>
      </c>
      <c r="K264" s="29" t="n">
        <v>905</v>
      </c>
      <c r="L264" s="28" t="n">
        <v>0</v>
      </c>
      <c r="M264" s="78" t="s">
        <v>61</v>
      </c>
    </row>
    <row r="265" customFormat="false" ht="12.75" hidden="false" customHeight="true" outlineLevel="0" collapsed="false">
      <c r="B265" s="61"/>
      <c r="C265" s="62" t="s">
        <v>310</v>
      </c>
      <c r="D265" s="62"/>
      <c r="E265" s="62"/>
      <c r="F265" s="62"/>
      <c r="G265" s="63" t="n">
        <v>7</v>
      </c>
      <c r="H265" s="61"/>
      <c r="I265" s="61"/>
      <c r="J265" s="61"/>
      <c r="K265" s="61"/>
      <c r="L265" s="63" t="n">
        <v>7198</v>
      </c>
      <c r="M265" s="61"/>
    </row>
    <row r="266" customFormat="false" ht="12.75" hidden="false" customHeight="true" outlineLevel="0" collapsed="false">
      <c r="B266" s="27" t="s">
        <v>393</v>
      </c>
      <c r="C266" s="76" t="s">
        <v>394</v>
      </c>
      <c r="D266" s="76" t="s">
        <v>274</v>
      </c>
      <c r="E266" s="27" t="s">
        <v>16</v>
      </c>
      <c r="F266" s="77"/>
      <c r="G266" s="28" t="n">
        <v>13</v>
      </c>
      <c r="H266" s="28" t="n">
        <v>2</v>
      </c>
      <c r="I266" s="28" t="n">
        <v>31</v>
      </c>
      <c r="J266" s="28" t="n">
        <v>18</v>
      </c>
      <c r="K266" s="29" t="n">
        <v>300</v>
      </c>
      <c r="L266" s="29" t="n">
        <v>3900</v>
      </c>
      <c r="M266" s="78" t="s">
        <v>61</v>
      </c>
    </row>
    <row r="267" customFormat="false" ht="12.75" hidden="false" customHeight="true" outlineLevel="0" collapsed="false">
      <c r="B267" s="22" t="s">
        <v>393</v>
      </c>
      <c r="C267" s="79" t="s">
        <v>395</v>
      </c>
      <c r="D267" s="79" t="s">
        <v>371</v>
      </c>
      <c r="E267" s="22" t="s">
        <v>16</v>
      </c>
      <c r="F267" s="80"/>
      <c r="G267" s="23" t="n">
        <v>19</v>
      </c>
      <c r="H267" s="23" t="n">
        <v>20</v>
      </c>
      <c r="I267" s="23" t="n">
        <v>0</v>
      </c>
      <c r="J267" s="23" t="n">
        <v>1</v>
      </c>
      <c r="K267" s="24" t="n">
        <v>155</v>
      </c>
      <c r="L267" s="24" t="n">
        <v>2945</v>
      </c>
      <c r="M267" s="81" t="s">
        <v>61</v>
      </c>
    </row>
    <row r="268" customFormat="false" ht="12.75" hidden="false" customHeight="true" outlineLevel="0" collapsed="false">
      <c r="B268" s="27" t="s">
        <v>393</v>
      </c>
      <c r="C268" s="76" t="s">
        <v>396</v>
      </c>
      <c r="D268" s="76" t="s">
        <v>274</v>
      </c>
      <c r="E268" s="27" t="s">
        <v>16</v>
      </c>
      <c r="F268" s="77"/>
      <c r="G268" s="28" t="n">
        <v>8</v>
      </c>
      <c r="H268" s="28" t="n">
        <v>0</v>
      </c>
      <c r="I268" s="28" t="n">
        <v>28</v>
      </c>
      <c r="J268" s="28" t="n">
        <v>20</v>
      </c>
      <c r="K268" s="29" t="n">
        <v>300</v>
      </c>
      <c r="L268" s="29" t="n">
        <v>2400</v>
      </c>
      <c r="M268" s="78" t="s">
        <v>61</v>
      </c>
    </row>
    <row r="269" customFormat="false" ht="12.75" hidden="false" customHeight="true" outlineLevel="0" collapsed="false">
      <c r="B269" s="22" t="s">
        <v>393</v>
      </c>
      <c r="C269" s="79" t="s">
        <v>397</v>
      </c>
      <c r="D269" s="79" t="s">
        <v>371</v>
      </c>
      <c r="E269" s="22" t="s">
        <v>16</v>
      </c>
      <c r="F269" s="80"/>
      <c r="G269" s="23" t="n">
        <v>3</v>
      </c>
      <c r="H269" s="23" t="n">
        <v>25</v>
      </c>
      <c r="I269" s="23" t="n">
        <v>10</v>
      </c>
      <c r="J269" s="23" t="n">
        <v>31</v>
      </c>
      <c r="K269" s="24" t="n">
        <v>155</v>
      </c>
      <c r="L269" s="24" t="n">
        <v>465</v>
      </c>
      <c r="M269" s="81" t="s">
        <v>61</v>
      </c>
    </row>
    <row r="270" customFormat="false" ht="12.75" hidden="false" customHeight="true" outlineLevel="0" collapsed="false">
      <c r="B270" s="27" t="s">
        <v>393</v>
      </c>
      <c r="C270" s="76" t="s">
        <v>398</v>
      </c>
      <c r="D270" s="76" t="s">
        <v>212</v>
      </c>
      <c r="E270" s="27" t="s">
        <v>16</v>
      </c>
      <c r="F270" s="77"/>
      <c r="G270" s="28" t="n">
        <v>0</v>
      </c>
      <c r="H270" s="28" t="n">
        <v>4</v>
      </c>
      <c r="I270" s="28" t="n">
        <v>0</v>
      </c>
      <c r="J270" s="28" t="n">
        <v>4</v>
      </c>
      <c r="K270" s="29" t="n">
        <v>410</v>
      </c>
      <c r="L270" s="28" t="n">
        <v>0</v>
      </c>
      <c r="M270" s="78" t="s">
        <v>61</v>
      </c>
    </row>
    <row r="271" customFormat="false" ht="12.75" hidden="false" customHeight="true" outlineLevel="0" collapsed="false">
      <c r="B271" s="22" t="s">
        <v>393</v>
      </c>
      <c r="C271" s="79" t="s">
        <v>399</v>
      </c>
      <c r="D271" s="79" t="s">
        <v>212</v>
      </c>
      <c r="E271" s="22" t="s">
        <v>16</v>
      </c>
      <c r="F271" s="80"/>
      <c r="G271" s="23" t="n">
        <v>0</v>
      </c>
      <c r="H271" s="23" t="n">
        <v>5</v>
      </c>
      <c r="I271" s="23" t="n">
        <v>6</v>
      </c>
      <c r="J271" s="23" t="n">
        <v>11</v>
      </c>
      <c r="K271" s="24" t="n">
        <v>410</v>
      </c>
      <c r="L271" s="23" t="n">
        <v>0</v>
      </c>
      <c r="M271" s="81" t="s">
        <v>61</v>
      </c>
    </row>
    <row r="272" customFormat="false" ht="12.75" hidden="false" customHeight="true" outlineLevel="0" collapsed="false">
      <c r="B272" s="27" t="s">
        <v>393</v>
      </c>
      <c r="C272" s="76" t="s">
        <v>400</v>
      </c>
      <c r="D272" s="76" t="s">
        <v>212</v>
      </c>
      <c r="E272" s="27" t="s">
        <v>16</v>
      </c>
      <c r="F272" s="77"/>
      <c r="G272" s="28" t="n">
        <v>0</v>
      </c>
      <c r="H272" s="28" t="n">
        <v>4</v>
      </c>
      <c r="I272" s="28" t="n">
        <v>0</v>
      </c>
      <c r="J272" s="28" t="n">
        <v>4</v>
      </c>
      <c r="K272" s="29" t="n">
        <v>410</v>
      </c>
      <c r="L272" s="28" t="n">
        <v>0</v>
      </c>
      <c r="M272" s="78" t="s">
        <v>61</v>
      </c>
    </row>
    <row r="273" customFormat="false" ht="12.75" hidden="false" customHeight="true" outlineLevel="0" collapsed="false">
      <c r="B273" s="61"/>
      <c r="C273" s="62" t="s">
        <v>401</v>
      </c>
      <c r="D273" s="62"/>
      <c r="E273" s="62"/>
      <c r="F273" s="62"/>
      <c r="G273" s="63" t="n">
        <v>46</v>
      </c>
      <c r="H273" s="61"/>
      <c r="I273" s="61"/>
      <c r="J273" s="61"/>
      <c r="K273" s="61"/>
      <c r="L273" s="63" t="n">
        <v>10465</v>
      </c>
      <c r="M273" s="61"/>
    </row>
    <row r="274" customFormat="false" ht="13.5" hidden="false" customHeight="true" outlineLevel="0" collapsed="false">
      <c r="B274" s="66" t="s">
        <v>402</v>
      </c>
      <c r="C274" s="66"/>
      <c r="D274" s="66"/>
      <c r="E274" s="66"/>
      <c r="F274" s="66"/>
      <c r="G274" s="67" t="n">
        <v>232</v>
      </c>
      <c r="H274" s="68"/>
      <c r="I274" s="68"/>
      <c r="J274" s="68"/>
      <c r="K274" s="68"/>
      <c r="L274" s="67" t="n">
        <v>360918</v>
      </c>
      <c r="M274" s="68"/>
    </row>
    <row r="275" customFormat="false" ht="7.5" hidden="false" customHeight="true" outlineLevel="0" collapsed="false"/>
    <row r="276" customFormat="false" ht="15" hidden="false" customHeight="false" outlineLevel="0" collapsed="false">
      <c r="B276" s="75" t="s">
        <v>403</v>
      </c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</row>
    <row r="277" customFormat="false" ht="12.75" hidden="false" customHeight="true" outlineLevel="0" collapsed="false">
      <c r="B277" s="27" t="s">
        <v>153</v>
      </c>
      <c r="C277" s="76" t="s">
        <v>404</v>
      </c>
      <c r="D277" s="76" t="s">
        <v>405</v>
      </c>
      <c r="E277" s="27" t="s">
        <v>17</v>
      </c>
      <c r="F277" s="77"/>
      <c r="G277" s="28" t="n">
        <v>63</v>
      </c>
      <c r="H277" s="28" t="n">
        <v>63</v>
      </c>
      <c r="I277" s="28" t="n">
        <v>0</v>
      </c>
      <c r="J277" s="28" t="n">
        <v>0</v>
      </c>
      <c r="K277" s="29" t="n">
        <v>2300</v>
      </c>
      <c r="L277" s="29" t="n">
        <v>144900</v>
      </c>
      <c r="M277" s="78" t="s">
        <v>61</v>
      </c>
    </row>
    <row r="278" customFormat="false" ht="12.75" hidden="false" customHeight="true" outlineLevel="0" collapsed="false">
      <c r="B278" s="22" t="s">
        <v>153</v>
      </c>
      <c r="C278" s="79" t="s">
        <v>406</v>
      </c>
      <c r="D278" s="79" t="s">
        <v>405</v>
      </c>
      <c r="E278" s="22" t="s">
        <v>17</v>
      </c>
      <c r="F278" s="80"/>
      <c r="G278" s="23" t="n">
        <v>59</v>
      </c>
      <c r="H278" s="23" t="n">
        <v>70</v>
      </c>
      <c r="I278" s="23" t="n">
        <v>0</v>
      </c>
      <c r="J278" s="23" t="n">
        <v>11</v>
      </c>
      <c r="K278" s="24" t="n">
        <v>2261.4</v>
      </c>
      <c r="L278" s="24" t="n">
        <v>133423</v>
      </c>
      <c r="M278" s="81" t="s">
        <v>61</v>
      </c>
    </row>
    <row r="279" customFormat="false" ht="12.75" hidden="false" customHeight="true" outlineLevel="0" collapsed="false">
      <c r="B279" s="27" t="s">
        <v>153</v>
      </c>
      <c r="C279" s="76" t="s">
        <v>407</v>
      </c>
      <c r="D279" s="76" t="s">
        <v>405</v>
      </c>
      <c r="E279" s="27" t="s">
        <v>17</v>
      </c>
      <c r="F279" s="77"/>
      <c r="G279" s="28" t="n">
        <v>6</v>
      </c>
      <c r="H279" s="28" t="n">
        <v>5</v>
      </c>
      <c r="I279" s="28" t="n">
        <v>47</v>
      </c>
      <c r="J279" s="28" t="n">
        <v>45</v>
      </c>
      <c r="K279" s="29" t="n">
        <v>1702</v>
      </c>
      <c r="L279" s="29" t="n">
        <v>10212</v>
      </c>
      <c r="M279" s="78" t="s">
        <v>61</v>
      </c>
    </row>
    <row r="280" customFormat="false" ht="12.75" hidden="false" customHeight="true" outlineLevel="0" collapsed="false">
      <c r="B280" s="22" t="s">
        <v>153</v>
      </c>
      <c r="C280" s="79" t="s">
        <v>408</v>
      </c>
      <c r="D280" s="79" t="s">
        <v>405</v>
      </c>
      <c r="E280" s="22" t="s">
        <v>17</v>
      </c>
      <c r="F280" s="80"/>
      <c r="G280" s="23" t="n">
        <v>2</v>
      </c>
      <c r="H280" s="23" t="n">
        <v>4</v>
      </c>
      <c r="I280" s="23" t="n">
        <v>0</v>
      </c>
      <c r="J280" s="23" t="n">
        <v>2</v>
      </c>
      <c r="K280" s="24" t="n">
        <v>2261</v>
      </c>
      <c r="L280" s="24" t="n">
        <v>4522</v>
      </c>
      <c r="M280" s="81" t="s">
        <v>61</v>
      </c>
    </row>
    <row r="281" customFormat="false" ht="12.75" hidden="false" customHeight="true" outlineLevel="0" collapsed="false">
      <c r="B281" s="27" t="s">
        <v>153</v>
      </c>
      <c r="C281" s="76" t="s">
        <v>409</v>
      </c>
      <c r="D281" s="76" t="s">
        <v>405</v>
      </c>
      <c r="E281" s="27" t="s">
        <v>17</v>
      </c>
      <c r="F281" s="77"/>
      <c r="G281" s="28" t="n">
        <v>0</v>
      </c>
      <c r="H281" s="28" t="n">
        <v>10</v>
      </c>
      <c r="I281" s="28" t="n">
        <v>0</v>
      </c>
      <c r="J281" s="28" t="n">
        <v>10</v>
      </c>
      <c r="K281" s="29" t="n">
        <v>1702</v>
      </c>
      <c r="L281" s="28" t="n">
        <v>0</v>
      </c>
      <c r="M281" s="78" t="s">
        <v>61</v>
      </c>
    </row>
    <row r="282" customFormat="false" ht="12.75" hidden="false" customHeight="true" outlineLevel="0" collapsed="false">
      <c r="B282" s="22" t="s">
        <v>153</v>
      </c>
      <c r="C282" s="79" t="s">
        <v>410</v>
      </c>
      <c r="D282" s="79" t="s">
        <v>405</v>
      </c>
      <c r="E282" s="22" t="s">
        <v>17</v>
      </c>
      <c r="F282" s="80"/>
      <c r="G282" s="23" t="n">
        <v>5</v>
      </c>
      <c r="H282" s="23" t="n">
        <v>7</v>
      </c>
      <c r="I282" s="23" t="n">
        <v>0</v>
      </c>
      <c r="J282" s="23" t="n">
        <v>1</v>
      </c>
      <c r="K282" s="23"/>
      <c r="L282" s="82" t="n">
        <v>0</v>
      </c>
      <c r="M282" s="81" t="s">
        <v>61</v>
      </c>
    </row>
    <row r="283" customFormat="false" ht="12.75" hidden="false" customHeight="true" outlineLevel="0" collapsed="false">
      <c r="B283" s="61"/>
      <c r="C283" s="62" t="s">
        <v>163</v>
      </c>
      <c r="D283" s="62"/>
      <c r="E283" s="62"/>
      <c r="F283" s="62"/>
      <c r="G283" s="63" t="n">
        <v>137</v>
      </c>
      <c r="H283" s="61"/>
      <c r="I283" s="61"/>
      <c r="J283" s="61"/>
      <c r="K283" s="61"/>
      <c r="L283" s="63" t="n">
        <v>294758.6</v>
      </c>
      <c r="M283" s="61"/>
    </row>
    <row r="284" customFormat="false" ht="13.5" hidden="false" customHeight="true" outlineLevel="0" collapsed="false">
      <c r="B284" s="66" t="s">
        <v>411</v>
      </c>
      <c r="C284" s="66"/>
      <c r="D284" s="66"/>
      <c r="E284" s="66"/>
      <c r="F284" s="66"/>
      <c r="G284" s="67" t="n">
        <v>137</v>
      </c>
      <c r="H284" s="68"/>
      <c r="I284" s="68"/>
      <c r="J284" s="68"/>
      <c r="K284" s="68"/>
      <c r="L284" s="67" t="n">
        <v>294758.6</v>
      </c>
      <c r="M284" s="68"/>
    </row>
    <row r="285" customFormat="false" ht="7.5" hidden="false" customHeight="true" outlineLevel="0" collapsed="false"/>
    <row r="286" customFormat="false" ht="15" hidden="false" customHeight="false" outlineLevel="0" collapsed="false">
      <c r="B286" s="75" t="s">
        <v>412</v>
      </c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</row>
    <row r="287" customFormat="false" ht="12.75" hidden="false" customHeight="true" outlineLevel="0" collapsed="false">
      <c r="B287" s="27" t="s">
        <v>227</v>
      </c>
      <c r="C287" s="76" t="s">
        <v>413</v>
      </c>
      <c r="D287" s="76" t="s">
        <v>414</v>
      </c>
      <c r="E287" s="27" t="s">
        <v>18</v>
      </c>
      <c r="F287" s="77"/>
      <c r="G287" s="28" t="n">
        <v>7</v>
      </c>
      <c r="H287" s="28" t="n">
        <v>4</v>
      </c>
      <c r="I287" s="28" t="n">
        <v>5</v>
      </c>
      <c r="J287" s="28" t="n">
        <v>2</v>
      </c>
      <c r="K287" s="29" t="n">
        <v>130</v>
      </c>
      <c r="L287" s="29" t="n">
        <v>910</v>
      </c>
      <c r="M287" s="78" t="s">
        <v>61</v>
      </c>
    </row>
    <row r="288" customFormat="false" ht="12.75" hidden="false" customHeight="true" outlineLevel="0" collapsed="false">
      <c r="B288" s="22" t="s">
        <v>227</v>
      </c>
      <c r="C288" s="79" t="s">
        <v>415</v>
      </c>
      <c r="D288" s="79" t="s">
        <v>416</v>
      </c>
      <c r="E288" s="22" t="s">
        <v>18</v>
      </c>
      <c r="F288" s="80"/>
      <c r="G288" s="23" t="n">
        <v>6</v>
      </c>
      <c r="H288" s="23" t="n">
        <v>6</v>
      </c>
      <c r="I288" s="23" t="n">
        <v>0</v>
      </c>
      <c r="J288" s="23" t="n">
        <v>0</v>
      </c>
      <c r="K288" s="24" t="n">
        <v>130</v>
      </c>
      <c r="L288" s="24" t="n">
        <v>780</v>
      </c>
      <c r="M288" s="81" t="s">
        <v>61</v>
      </c>
    </row>
    <row r="289" customFormat="false" ht="12.75" hidden="false" customHeight="true" outlineLevel="0" collapsed="false">
      <c r="B289" s="27" t="s">
        <v>227</v>
      </c>
      <c r="C289" s="76" t="s">
        <v>417</v>
      </c>
      <c r="D289" s="76" t="s">
        <v>416</v>
      </c>
      <c r="E289" s="27" t="s">
        <v>18</v>
      </c>
      <c r="F289" s="77"/>
      <c r="G289" s="28" t="n">
        <v>6</v>
      </c>
      <c r="H289" s="28" t="n">
        <v>1</v>
      </c>
      <c r="I289" s="28" t="n">
        <v>5</v>
      </c>
      <c r="J289" s="28" t="n">
        <v>0</v>
      </c>
      <c r="K289" s="29" t="n">
        <v>130</v>
      </c>
      <c r="L289" s="29" t="n">
        <v>780</v>
      </c>
      <c r="M289" s="78" t="s">
        <v>61</v>
      </c>
    </row>
    <row r="290" customFormat="false" ht="12.75" hidden="false" customHeight="true" outlineLevel="0" collapsed="false">
      <c r="B290" s="22" t="s">
        <v>227</v>
      </c>
      <c r="C290" s="79" t="s">
        <v>418</v>
      </c>
      <c r="D290" s="79" t="s">
        <v>419</v>
      </c>
      <c r="E290" s="22" t="s">
        <v>18</v>
      </c>
      <c r="F290" s="80"/>
      <c r="G290" s="23" t="n">
        <v>1</v>
      </c>
      <c r="H290" s="23" t="n">
        <v>1</v>
      </c>
      <c r="I290" s="23" t="n">
        <v>0</v>
      </c>
      <c r="J290" s="23" t="n">
        <v>0</v>
      </c>
      <c r="K290" s="24" t="n">
        <v>600</v>
      </c>
      <c r="L290" s="24" t="n">
        <v>600</v>
      </c>
      <c r="M290" s="81" t="s">
        <v>61</v>
      </c>
    </row>
    <row r="291" customFormat="false" ht="12.75" hidden="false" customHeight="true" outlineLevel="0" collapsed="false">
      <c r="B291" s="27" t="s">
        <v>227</v>
      </c>
      <c r="C291" s="76" t="s">
        <v>420</v>
      </c>
      <c r="D291" s="76" t="s">
        <v>416</v>
      </c>
      <c r="E291" s="27" t="s">
        <v>18</v>
      </c>
      <c r="F291" s="77"/>
      <c r="G291" s="28" t="n">
        <v>3</v>
      </c>
      <c r="H291" s="28" t="n">
        <v>6</v>
      </c>
      <c r="I291" s="28" t="n">
        <v>0</v>
      </c>
      <c r="J291" s="28" t="n">
        <v>3</v>
      </c>
      <c r="K291" s="29" t="n">
        <v>118</v>
      </c>
      <c r="L291" s="29" t="n">
        <v>354</v>
      </c>
      <c r="M291" s="78" t="s">
        <v>61</v>
      </c>
    </row>
    <row r="292" customFormat="false" ht="12.75" hidden="false" customHeight="true" outlineLevel="0" collapsed="false">
      <c r="B292" s="22" t="s">
        <v>227</v>
      </c>
      <c r="C292" s="79" t="s">
        <v>421</v>
      </c>
      <c r="D292" s="79" t="s">
        <v>422</v>
      </c>
      <c r="E292" s="22" t="s">
        <v>18</v>
      </c>
      <c r="F292" s="80"/>
      <c r="G292" s="23" t="n">
        <v>1</v>
      </c>
      <c r="H292" s="23" t="n">
        <v>1</v>
      </c>
      <c r="I292" s="23" t="n">
        <v>0</v>
      </c>
      <c r="J292" s="23" t="n">
        <v>0</v>
      </c>
      <c r="K292" s="24" t="n">
        <v>210</v>
      </c>
      <c r="L292" s="24" t="n">
        <v>210</v>
      </c>
      <c r="M292" s="81" t="s">
        <v>61</v>
      </c>
    </row>
    <row r="293" customFormat="false" ht="12.75" hidden="false" customHeight="true" outlineLevel="0" collapsed="false">
      <c r="B293" s="27" t="s">
        <v>227</v>
      </c>
      <c r="C293" s="76" t="s">
        <v>423</v>
      </c>
      <c r="D293" s="76" t="s">
        <v>416</v>
      </c>
      <c r="E293" s="27" t="s">
        <v>18</v>
      </c>
      <c r="F293" s="77"/>
      <c r="G293" s="28" t="n">
        <v>1</v>
      </c>
      <c r="H293" s="28" t="n">
        <v>2</v>
      </c>
      <c r="I293" s="28" t="n">
        <v>0</v>
      </c>
      <c r="J293" s="28" t="n">
        <v>1</v>
      </c>
      <c r="K293" s="29" t="n">
        <v>118</v>
      </c>
      <c r="L293" s="29" t="n">
        <v>118</v>
      </c>
      <c r="M293" s="78" t="s">
        <v>61</v>
      </c>
    </row>
    <row r="294" customFormat="false" ht="12.75" hidden="false" customHeight="true" outlineLevel="0" collapsed="false">
      <c r="B294" s="61"/>
      <c r="C294" s="62" t="s">
        <v>231</v>
      </c>
      <c r="D294" s="62"/>
      <c r="E294" s="62"/>
      <c r="F294" s="62"/>
      <c r="G294" s="63" t="n">
        <v>25</v>
      </c>
      <c r="H294" s="61"/>
      <c r="I294" s="61"/>
      <c r="J294" s="61"/>
      <c r="K294" s="61"/>
      <c r="L294" s="63" t="n">
        <v>3752</v>
      </c>
      <c r="M294" s="61"/>
    </row>
    <row r="295" customFormat="false" ht="12.75" hidden="false" customHeight="true" outlineLevel="0" collapsed="false">
      <c r="B295" s="27" t="s">
        <v>424</v>
      </c>
      <c r="C295" s="76" t="s">
        <v>425</v>
      </c>
      <c r="D295" s="76" t="s">
        <v>426</v>
      </c>
      <c r="E295" s="27" t="s">
        <v>18</v>
      </c>
      <c r="F295" s="77"/>
      <c r="G295" s="28" t="n">
        <v>28</v>
      </c>
      <c r="H295" s="28" t="n">
        <v>29</v>
      </c>
      <c r="I295" s="28" t="n">
        <v>0</v>
      </c>
      <c r="J295" s="28" t="n">
        <v>1</v>
      </c>
      <c r="K295" s="29" t="n">
        <v>420</v>
      </c>
      <c r="L295" s="29" t="n">
        <v>11760</v>
      </c>
      <c r="M295" s="78" t="s">
        <v>61</v>
      </c>
    </row>
    <row r="296" customFormat="false" ht="12.75" hidden="false" customHeight="true" outlineLevel="0" collapsed="false">
      <c r="B296" s="22" t="s">
        <v>424</v>
      </c>
      <c r="C296" s="79" t="s">
        <v>427</v>
      </c>
      <c r="D296" s="79" t="s">
        <v>428</v>
      </c>
      <c r="E296" s="22" t="s">
        <v>18</v>
      </c>
      <c r="F296" s="80"/>
      <c r="G296" s="23" t="n">
        <v>20</v>
      </c>
      <c r="H296" s="23" t="n">
        <v>20</v>
      </c>
      <c r="I296" s="23" t="n">
        <v>0</v>
      </c>
      <c r="J296" s="23" t="n">
        <v>0</v>
      </c>
      <c r="K296" s="24" t="n">
        <v>300</v>
      </c>
      <c r="L296" s="24" t="n">
        <v>6000</v>
      </c>
      <c r="M296" s="81" t="s">
        <v>61</v>
      </c>
    </row>
    <row r="297" customFormat="false" ht="12.75" hidden="false" customHeight="true" outlineLevel="0" collapsed="false">
      <c r="B297" s="27" t="s">
        <v>424</v>
      </c>
      <c r="C297" s="76" t="s">
        <v>429</v>
      </c>
      <c r="D297" s="76" t="s">
        <v>430</v>
      </c>
      <c r="E297" s="27" t="s">
        <v>18</v>
      </c>
      <c r="F297" s="77"/>
      <c r="G297" s="28" t="n">
        <v>5</v>
      </c>
      <c r="H297" s="28" t="n">
        <v>5</v>
      </c>
      <c r="I297" s="28" t="n">
        <v>0</v>
      </c>
      <c r="J297" s="28" t="n">
        <v>0</v>
      </c>
      <c r="K297" s="29" t="n">
        <v>454</v>
      </c>
      <c r="L297" s="29" t="n">
        <v>2270</v>
      </c>
      <c r="M297" s="78" t="s">
        <v>61</v>
      </c>
    </row>
    <row r="298" customFormat="false" ht="12.75" hidden="false" customHeight="true" outlineLevel="0" collapsed="false">
      <c r="B298" s="22" t="s">
        <v>424</v>
      </c>
      <c r="C298" s="22" t="s">
        <v>431</v>
      </c>
      <c r="D298" s="22" t="s">
        <v>432</v>
      </c>
      <c r="E298" s="22" t="s">
        <v>18</v>
      </c>
      <c r="F298" s="80"/>
      <c r="G298" s="23" t="n">
        <v>7</v>
      </c>
      <c r="H298" s="23" t="n">
        <v>7</v>
      </c>
      <c r="I298" s="23" t="n">
        <v>0</v>
      </c>
      <c r="J298" s="23" t="n">
        <v>0</v>
      </c>
      <c r="K298" s="24" t="n">
        <v>228</v>
      </c>
      <c r="L298" s="24" t="n">
        <v>1596</v>
      </c>
      <c r="M298" s="81" t="s">
        <v>61</v>
      </c>
    </row>
    <row r="299" customFormat="false" ht="12.75" hidden="false" customHeight="true" outlineLevel="0" collapsed="false">
      <c r="B299" s="27" t="s">
        <v>424</v>
      </c>
      <c r="C299" s="76" t="s">
        <v>433</v>
      </c>
      <c r="D299" s="76" t="s">
        <v>430</v>
      </c>
      <c r="E299" s="27" t="s">
        <v>18</v>
      </c>
      <c r="F299" s="77"/>
      <c r="G299" s="28" t="n">
        <v>11</v>
      </c>
      <c r="H299" s="28" t="n">
        <v>11</v>
      </c>
      <c r="I299" s="28" t="n">
        <v>0</v>
      </c>
      <c r="J299" s="28" t="n">
        <v>0</v>
      </c>
      <c r="K299" s="29" t="n">
        <v>109</v>
      </c>
      <c r="L299" s="29" t="n">
        <v>1199</v>
      </c>
      <c r="M299" s="78" t="s">
        <v>61</v>
      </c>
    </row>
    <row r="300" customFormat="false" ht="12.75" hidden="false" customHeight="true" outlineLevel="0" collapsed="false">
      <c r="B300" s="22" t="s">
        <v>424</v>
      </c>
      <c r="C300" s="79" t="s">
        <v>434</v>
      </c>
      <c r="D300" s="79" t="s">
        <v>435</v>
      </c>
      <c r="E300" s="22" t="s">
        <v>18</v>
      </c>
      <c r="F300" s="80"/>
      <c r="G300" s="23" t="n">
        <v>4</v>
      </c>
      <c r="H300" s="23" t="n">
        <v>4</v>
      </c>
      <c r="I300" s="23" t="n">
        <v>0</v>
      </c>
      <c r="J300" s="23" t="n">
        <v>0</v>
      </c>
      <c r="K300" s="24" t="n">
        <v>213.5</v>
      </c>
      <c r="L300" s="24" t="n">
        <v>854</v>
      </c>
      <c r="M300" s="81" t="s">
        <v>61</v>
      </c>
    </row>
    <row r="301" customFormat="false" ht="12.75" hidden="false" customHeight="true" outlineLevel="0" collapsed="false">
      <c r="B301" s="27" t="s">
        <v>424</v>
      </c>
      <c r="C301" s="76" t="s">
        <v>436</v>
      </c>
      <c r="D301" s="76" t="s">
        <v>430</v>
      </c>
      <c r="E301" s="27" t="s">
        <v>18</v>
      </c>
      <c r="F301" s="77"/>
      <c r="G301" s="28" t="n">
        <v>3</v>
      </c>
      <c r="H301" s="28" t="n">
        <v>3</v>
      </c>
      <c r="I301" s="28" t="n">
        <v>0</v>
      </c>
      <c r="J301" s="28" t="n">
        <v>0</v>
      </c>
      <c r="K301" s="29" t="n">
        <v>278</v>
      </c>
      <c r="L301" s="29" t="n">
        <v>834</v>
      </c>
      <c r="M301" s="78" t="s">
        <v>61</v>
      </c>
    </row>
    <row r="302" customFormat="false" ht="12.75" hidden="false" customHeight="true" outlineLevel="0" collapsed="false">
      <c r="B302" s="22" t="s">
        <v>424</v>
      </c>
      <c r="C302" s="79" t="s">
        <v>437</v>
      </c>
      <c r="D302" s="79" t="s">
        <v>430</v>
      </c>
      <c r="E302" s="22" t="s">
        <v>18</v>
      </c>
      <c r="F302" s="80"/>
      <c r="G302" s="23" t="n">
        <v>3</v>
      </c>
      <c r="H302" s="23" t="n">
        <v>3</v>
      </c>
      <c r="I302" s="23" t="n">
        <v>0</v>
      </c>
      <c r="J302" s="23" t="n">
        <v>0</v>
      </c>
      <c r="K302" s="24" t="n">
        <v>178</v>
      </c>
      <c r="L302" s="24" t="n">
        <v>534</v>
      </c>
      <c r="M302" s="81" t="s">
        <v>61</v>
      </c>
    </row>
    <row r="303" customFormat="false" ht="12.75" hidden="false" customHeight="true" outlineLevel="0" collapsed="false">
      <c r="B303" s="27" t="s">
        <v>424</v>
      </c>
      <c r="C303" s="76" t="s">
        <v>438</v>
      </c>
      <c r="D303" s="76" t="s">
        <v>439</v>
      </c>
      <c r="E303" s="27" t="s">
        <v>18</v>
      </c>
      <c r="F303" s="77"/>
      <c r="G303" s="28" t="n">
        <v>10</v>
      </c>
      <c r="H303" s="28" t="n">
        <v>10</v>
      </c>
      <c r="I303" s="28" t="n">
        <v>0</v>
      </c>
      <c r="J303" s="28" t="n">
        <v>0</v>
      </c>
      <c r="K303" s="29" t="n">
        <v>50</v>
      </c>
      <c r="L303" s="29" t="n">
        <v>500</v>
      </c>
      <c r="M303" s="78" t="s">
        <v>61</v>
      </c>
    </row>
    <row r="304" customFormat="false" ht="12.75" hidden="false" customHeight="true" outlineLevel="0" collapsed="false">
      <c r="B304" s="22" t="s">
        <v>424</v>
      </c>
      <c r="C304" s="79" t="s">
        <v>440</v>
      </c>
      <c r="D304" s="79" t="s">
        <v>363</v>
      </c>
      <c r="E304" s="22" t="s">
        <v>18</v>
      </c>
      <c r="F304" s="80"/>
      <c r="G304" s="23" t="n">
        <v>1</v>
      </c>
      <c r="H304" s="23" t="n">
        <v>1</v>
      </c>
      <c r="I304" s="23" t="n">
        <v>0</v>
      </c>
      <c r="J304" s="23" t="n">
        <v>0</v>
      </c>
      <c r="K304" s="24" t="n">
        <v>286</v>
      </c>
      <c r="L304" s="24" t="n">
        <v>286</v>
      </c>
      <c r="M304" s="81" t="s">
        <v>61</v>
      </c>
    </row>
    <row r="305" customFormat="false" ht="12.75" hidden="false" customHeight="true" outlineLevel="0" collapsed="false">
      <c r="B305" s="27" t="s">
        <v>424</v>
      </c>
      <c r="C305" s="76" t="s">
        <v>441</v>
      </c>
      <c r="D305" s="76" t="s">
        <v>430</v>
      </c>
      <c r="E305" s="27" t="s">
        <v>18</v>
      </c>
      <c r="F305" s="77"/>
      <c r="G305" s="28" t="n">
        <v>1</v>
      </c>
      <c r="H305" s="28" t="n">
        <v>1</v>
      </c>
      <c r="I305" s="28" t="n">
        <v>0</v>
      </c>
      <c r="J305" s="28" t="n">
        <v>0</v>
      </c>
      <c r="K305" s="29" t="n">
        <v>252</v>
      </c>
      <c r="L305" s="29" t="n">
        <v>252</v>
      </c>
      <c r="M305" s="78" t="s">
        <v>61</v>
      </c>
    </row>
    <row r="306" customFormat="false" ht="12.75" hidden="false" customHeight="true" outlineLevel="0" collapsed="false">
      <c r="B306" s="22" t="s">
        <v>424</v>
      </c>
      <c r="C306" s="79" t="s">
        <v>442</v>
      </c>
      <c r="D306" s="79" t="s">
        <v>435</v>
      </c>
      <c r="E306" s="22" t="s">
        <v>18</v>
      </c>
      <c r="F306" s="80"/>
      <c r="G306" s="23" t="n">
        <v>1</v>
      </c>
      <c r="H306" s="23" t="n">
        <v>1</v>
      </c>
      <c r="I306" s="23" t="n">
        <v>0</v>
      </c>
      <c r="J306" s="23" t="n">
        <v>0</v>
      </c>
      <c r="K306" s="24" t="n">
        <v>213.5</v>
      </c>
      <c r="L306" s="24" t="n">
        <v>214</v>
      </c>
      <c r="M306" s="81" t="s">
        <v>61</v>
      </c>
    </row>
    <row r="307" customFormat="false" ht="12.75" hidden="false" customHeight="true" outlineLevel="0" collapsed="false">
      <c r="B307" s="27" t="s">
        <v>424</v>
      </c>
      <c r="C307" s="76" t="s">
        <v>443</v>
      </c>
      <c r="D307" s="76" t="s">
        <v>91</v>
      </c>
      <c r="E307" s="27" t="s">
        <v>18</v>
      </c>
      <c r="F307" s="77"/>
      <c r="G307" s="28" t="n">
        <v>34</v>
      </c>
      <c r="H307" s="28" t="n">
        <v>34</v>
      </c>
      <c r="I307" s="28" t="n">
        <v>0</v>
      </c>
      <c r="J307" s="28" t="n">
        <v>0</v>
      </c>
      <c r="K307" s="29" t="n">
        <v>5</v>
      </c>
      <c r="L307" s="29" t="n">
        <v>170</v>
      </c>
      <c r="M307" s="78" t="s">
        <v>61</v>
      </c>
    </row>
    <row r="308" customFormat="false" ht="12.75" hidden="false" customHeight="true" outlineLevel="0" collapsed="false">
      <c r="B308" s="22" t="s">
        <v>424</v>
      </c>
      <c r="C308" s="22" t="s">
        <v>444</v>
      </c>
      <c r="D308" s="22" t="s">
        <v>432</v>
      </c>
      <c r="E308" s="22" t="s">
        <v>18</v>
      </c>
      <c r="F308" s="80"/>
      <c r="G308" s="23" t="n">
        <v>6</v>
      </c>
      <c r="H308" s="23" t="n">
        <v>6</v>
      </c>
      <c r="I308" s="23" t="n">
        <v>0</v>
      </c>
      <c r="J308" s="23" t="n">
        <v>0</v>
      </c>
      <c r="K308" s="24" t="n">
        <v>20</v>
      </c>
      <c r="L308" s="24" t="n">
        <v>120</v>
      </c>
      <c r="M308" s="81" t="s">
        <v>61</v>
      </c>
    </row>
    <row r="309" customFormat="false" ht="12.75" hidden="false" customHeight="true" outlineLevel="0" collapsed="false">
      <c r="B309" s="27" t="s">
        <v>424</v>
      </c>
      <c r="C309" s="27" t="s">
        <v>445</v>
      </c>
      <c r="D309" s="27" t="s">
        <v>446</v>
      </c>
      <c r="E309" s="27" t="s">
        <v>18</v>
      </c>
      <c r="F309" s="77"/>
      <c r="G309" s="28" t="n">
        <v>1</v>
      </c>
      <c r="H309" s="28" t="n">
        <v>1</v>
      </c>
      <c r="I309" s="28" t="n">
        <v>0</v>
      </c>
      <c r="J309" s="28" t="n">
        <v>0</v>
      </c>
      <c r="K309" s="29" t="n">
        <v>80</v>
      </c>
      <c r="L309" s="29" t="n">
        <v>80</v>
      </c>
      <c r="M309" s="78" t="s">
        <v>61</v>
      </c>
    </row>
    <row r="310" customFormat="false" ht="12.75" hidden="false" customHeight="true" outlineLevel="0" collapsed="false">
      <c r="B310" s="22" t="s">
        <v>424</v>
      </c>
      <c r="C310" s="79" t="s">
        <v>447</v>
      </c>
      <c r="D310" s="79" t="s">
        <v>448</v>
      </c>
      <c r="E310" s="22" t="s">
        <v>18</v>
      </c>
      <c r="F310" s="80"/>
      <c r="G310" s="23" t="n">
        <v>1</v>
      </c>
      <c r="H310" s="23" t="n">
        <v>1</v>
      </c>
      <c r="I310" s="23" t="n">
        <v>0</v>
      </c>
      <c r="J310" s="23" t="n">
        <v>0</v>
      </c>
      <c r="K310" s="24" t="n">
        <v>62</v>
      </c>
      <c r="L310" s="24" t="n">
        <v>62</v>
      </c>
      <c r="M310" s="81" t="s">
        <v>61</v>
      </c>
    </row>
    <row r="311" customFormat="false" ht="12.75" hidden="false" customHeight="true" outlineLevel="0" collapsed="false">
      <c r="B311" s="27" t="s">
        <v>424</v>
      </c>
      <c r="C311" s="76" t="s">
        <v>449</v>
      </c>
      <c r="D311" s="76" t="s">
        <v>450</v>
      </c>
      <c r="E311" s="27" t="s">
        <v>18</v>
      </c>
      <c r="F311" s="77"/>
      <c r="G311" s="28" t="n">
        <v>2</v>
      </c>
      <c r="H311" s="28" t="n">
        <v>2</v>
      </c>
      <c r="I311" s="28" t="n">
        <v>0</v>
      </c>
      <c r="J311" s="28" t="n">
        <v>0</v>
      </c>
      <c r="K311" s="29" t="n">
        <v>31</v>
      </c>
      <c r="L311" s="29" t="n">
        <v>62</v>
      </c>
      <c r="M311" s="78" t="s">
        <v>61</v>
      </c>
    </row>
    <row r="312" customFormat="false" ht="12.75" hidden="false" customHeight="true" outlineLevel="0" collapsed="false">
      <c r="B312" s="22" t="s">
        <v>424</v>
      </c>
      <c r="C312" s="79" t="s">
        <v>451</v>
      </c>
      <c r="D312" s="79" t="s">
        <v>452</v>
      </c>
      <c r="E312" s="22" t="s">
        <v>18</v>
      </c>
      <c r="F312" s="80"/>
      <c r="G312" s="23" t="n">
        <v>20</v>
      </c>
      <c r="H312" s="23" t="n">
        <v>20</v>
      </c>
      <c r="I312" s="23" t="n">
        <v>1</v>
      </c>
      <c r="J312" s="23" t="n">
        <v>1</v>
      </c>
      <c r="K312" s="23"/>
      <c r="L312" s="82" t="n">
        <v>0</v>
      </c>
      <c r="M312" s="81" t="s">
        <v>61</v>
      </c>
    </row>
    <row r="313" customFormat="false" ht="12.75" hidden="false" customHeight="true" outlineLevel="0" collapsed="false">
      <c r="B313" s="27" t="s">
        <v>424</v>
      </c>
      <c r="C313" s="76" t="s">
        <v>453</v>
      </c>
      <c r="D313" s="76" t="s">
        <v>452</v>
      </c>
      <c r="E313" s="27" t="s">
        <v>18</v>
      </c>
      <c r="F313" s="77"/>
      <c r="G313" s="28" t="n">
        <v>35</v>
      </c>
      <c r="H313" s="28" t="n">
        <v>38</v>
      </c>
      <c r="I313" s="28" t="n">
        <v>3</v>
      </c>
      <c r="J313" s="28" t="n">
        <v>6</v>
      </c>
      <c r="K313" s="28"/>
      <c r="L313" s="83" t="n">
        <v>0</v>
      </c>
      <c r="M313" s="78" t="s">
        <v>61</v>
      </c>
    </row>
    <row r="314" customFormat="false" ht="12.75" hidden="false" customHeight="true" outlineLevel="0" collapsed="false">
      <c r="B314" s="61"/>
      <c r="C314" s="62" t="s">
        <v>454</v>
      </c>
      <c r="D314" s="62"/>
      <c r="E314" s="62"/>
      <c r="F314" s="62"/>
      <c r="G314" s="63" t="n">
        <v>193</v>
      </c>
      <c r="H314" s="61"/>
      <c r="I314" s="61"/>
      <c r="J314" s="61"/>
      <c r="K314" s="61"/>
      <c r="L314" s="63" t="n">
        <v>26792.5</v>
      </c>
      <c r="M314" s="61"/>
    </row>
    <row r="315" customFormat="false" ht="12.75" hidden="false" customHeight="true" outlineLevel="0" collapsed="false">
      <c r="B315" s="27" t="s">
        <v>455</v>
      </c>
      <c r="C315" s="27" t="s">
        <v>456</v>
      </c>
      <c r="D315" s="27" t="s">
        <v>457</v>
      </c>
      <c r="E315" s="27" t="s">
        <v>18</v>
      </c>
      <c r="F315" s="77"/>
      <c r="G315" s="28" t="n">
        <v>174</v>
      </c>
      <c r="H315" s="28" t="n">
        <v>174</v>
      </c>
      <c r="I315" s="28" t="n">
        <v>0</v>
      </c>
      <c r="J315" s="28" t="n">
        <v>0</v>
      </c>
      <c r="K315" s="29" t="n">
        <v>10</v>
      </c>
      <c r="L315" s="29" t="n">
        <v>1740</v>
      </c>
      <c r="M315" s="78" t="s">
        <v>61</v>
      </c>
    </row>
    <row r="316" customFormat="false" ht="12.75" hidden="false" customHeight="true" outlineLevel="0" collapsed="false">
      <c r="B316" s="22" t="s">
        <v>455</v>
      </c>
      <c r="C316" s="22" t="s">
        <v>458</v>
      </c>
      <c r="D316" s="22" t="s">
        <v>457</v>
      </c>
      <c r="E316" s="22" t="s">
        <v>18</v>
      </c>
      <c r="F316" s="80"/>
      <c r="G316" s="23" t="n">
        <v>20</v>
      </c>
      <c r="H316" s="23" t="n">
        <v>20</v>
      </c>
      <c r="I316" s="23" t="n">
        <v>0</v>
      </c>
      <c r="J316" s="23" t="n">
        <v>0</v>
      </c>
      <c r="K316" s="24" t="n">
        <v>10</v>
      </c>
      <c r="L316" s="24" t="n">
        <v>200</v>
      </c>
      <c r="M316" s="81" t="s">
        <v>61</v>
      </c>
    </row>
    <row r="317" customFormat="false" ht="12.75" hidden="false" customHeight="true" outlineLevel="0" collapsed="false">
      <c r="B317" s="27" t="s">
        <v>455</v>
      </c>
      <c r="C317" s="27" t="s">
        <v>459</v>
      </c>
      <c r="D317" s="27" t="s">
        <v>457</v>
      </c>
      <c r="E317" s="27" t="s">
        <v>18</v>
      </c>
      <c r="F317" s="77"/>
      <c r="G317" s="28" t="n">
        <v>14</v>
      </c>
      <c r="H317" s="28" t="n">
        <v>14</v>
      </c>
      <c r="I317" s="28" t="n">
        <v>0</v>
      </c>
      <c r="J317" s="28" t="n">
        <v>0</v>
      </c>
      <c r="K317" s="29" t="n">
        <v>10</v>
      </c>
      <c r="L317" s="29" t="n">
        <v>140</v>
      </c>
      <c r="M317" s="78" t="s">
        <v>61</v>
      </c>
    </row>
    <row r="318" customFormat="false" ht="12.75" hidden="false" customHeight="true" outlineLevel="0" collapsed="false">
      <c r="B318" s="22" t="s">
        <v>455</v>
      </c>
      <c r="C318" s="22" t="s">
        <v>460</v>
      </c>
      <c r="D318" s="22" t="s">
        <v>457</v>
      </c>
      <c r="E318" s="22" t="s">
        <v>18</v>
      </c>
      <c r="F318" s="80"/>
      <c r="G318" s="23" t="n">
        <v>8</v>
      </c>
      <c r="H318" s="23" t="n">
        <v>8</v>
      </c>
      <c r="I318" s="23" t="n">
        <v>0</v>
      </c>
      <c r="J318" s="23" t="n">
        <v>0</v>
      </c>
      <c r="K318" s="24" t="n">
        <v>10</v>
      </c>
      <c r="L318" s="24" t="n">
        <v>80</v>
      </c>
      <c r="M318" s="81" t="s">
        <v>61</v>
      </c>
    </row>
    <row r="319" customFormat="false" ht="12.75" hidden="false" customHeight="true" outlineLevel="0" collapsed="false">
      <c r="B319" s="27" t="s">
        <v>455</v>
      </c>
      <c r="C319" s="27" t="s">
        <v>461</v>
      </c>
      <c r="D319" s="27" t="s">
        <v>457</v>
      </c>
      <c r="E319" s="27" t="s">
        <v>18</v>
      </c>
      <c r="F319" s="77"/>
      <c r="G319" s="28" t="n">
        <v>6</v>
      </c>
      <c r="H319" s="28" t="n">
        <v>6</v>
      </c>
      <c r="I319" s="28" t="n">
        <v>0</v>
      </c>
      <c r="J319" s="28" t="n">
        <v>0</v>
      </c>
      <c r="K319" s="29" t="n">
        <v>10</v>
      </c>
      <c r="L319" s="29" t="n">
        <v>60</v>
      </c>
      <c r="M319" s="78" t="s">
        <v>61</v>
      </c>
    </row>
    <row r="320" customFormat="false" ht="12.75" hidden="false" customHeight="true" outlineLevel="0" collapsed="false">
      <c r="B320" s="61"/>
      <c r="C320" s="62" t="s">
        <v>462</v>
      </c>
      <c r="D320" s="62"/>
      <c r="E320" s="62"/>
      <c r="F320" s="62"/>
      <c r="G320" s="63" t="n">
        <v>222</v>
      </c>
      <c r="H320" s="61"/>
      <c r="I320" s="61"/>
      <c r="J320" s="61"/>
      <c r="K320" s="61"/>
      <c r="L320" s="63" t="n">
        <v>2220</v>
      </c>
      <c r="M320" s="61"/>
    </row>
    <row r="321" customFormat="false" ht="12.75" hidden="false" customHeight="true" outlineLevel="0" collapsed="false">
      <c r="B321" s="27" t="s">
        <v>264</v>
      </c>
      <c r="C321" s="76" t="s">
        <v>463</v>
      </c>
      <c r="D321" s="76" t="s">
        <v>266</v>
      </c>
      <c r="E321" s="27" t="s">
        <v>18</v>
      </c>
      <c r="F321" s="77"/>
      <c r="G321" s="28" t="n">
        <v>4</v>
      </c>
      <c r="H321" s="28" t="n">
        <v>4</v>
      </c>
      <c r="I321" s="28" t="n">
        <v>0</v>
      </c>
      <c r="J321" s="28" t="n">
        <v>0</v>
      </c>
      <c r="K321" s="29" t="n">
        <v>2010</v>
      </c>
      <c r="L321" s="29" t="n">
        <v>8040</v>
      </c>
      <c r="M321" s="78" t="s">
        <v>61</v>
      </c>
    </row>
    <row r="322" customFormat="false" ht="12.75" hidden="false" customHeight="true" outlineLevel="0" collapsed="false">
      <c r="B322" s="22" t="s">
        <v>264</v>
      </c>
      <c r="C322" s="79" t="s">
        <v>464</v>
      </c>
      <c r="D322" s="79" t="s">
        <v>266</v>
      </c>
      <c r="E322" s="22" t="s">
        <v>18</v>
      </c>
      <c r="F322" s="80"/>
      <c r="G322" s="23" t="n">
        <v>4</v>
      </c>
      <c r="H322" s="23" t="n">
        <v>4</v>
      </c>
      <c r="I322" s="23" t="n">
        <v>0</v>
      </c>
      <c r="J322" s="23" t="n">
        <v>0</v>
      </c>
      <c r="K322" s="24" t="n">
        <v>1852.5</v>
      </c>
      <c r="L322" s="24" t="n">
        <v>7410</v>
      </c>
      <c r="M322" s="81" t="s">
        <v>61</v>
      </c>
    </row>
    <row r="323" customFormat="false" ht="12.75" hidden="false" customHeight="true" outlineLevel="0" collapsed="false">
      <c r="B323" s="27" t="s">
        <v>264</v>
      </c>
      <c r="C323" s="76" t="s">
        <v>465</v>
      </c>
      <c r="D323" s="76" t="s">
        <v>266</v>
      </c>
      <c r="E323" s="27" t="s">
        <v>18</v>
      </c>
      <c r="F323" s="77"/>
      <c r="G323" s="28" t="n">
        <v>3</v>
      </c>
      <c r="H323" s="28" t="n">
        <v>3</v>
      </c>
      <c r="I323" s="28" t="n">
        <v>0</v>
      </c>
      <c r="J323" s="28" t="n">
        <v>0</v>
      </c>
      <c r="K323" s="29" t="n">
        <v>2400</v>
      </c>
      <c r="L323" s="29" t="n">
        <v>7200</v>
      </c>
      <c r="M323" s="78" t="s">
        <v>61</v>
      </c>
    </row>
    <row r="324" customFormat="false" ht="12.75" hidden="false" customHeight="true" outlineLevel="0" collapsed="false">
      <c r="B324" s="22" t="s">
        <v>264</v>
      </c>
      <c r="C324" s="79" t="s">
        <v>466</v>
      </c>
      <c r="D324" s="79" t="s">
        <v>266</v>
      </c>
      <c r="E324" s="22" t="s">
        <v>18</v>
      </c>
      <c r="F324" s="80"/>
      <c r="G324" s="23" t="n">
        <v>4</v>
      </c>
      <c r="H324" s="23" t="n">
        <v>4</v>
      </c>
      <c r="I324" s="23" t="n">
        <v>0</v>
      </c>
      <c r="J324" s="23" t="n">
        <v>0</v>
      </c>
      <c r="K324" s="24" t="n">
        <v>1482</v>
      </c>
      <c r="L324" s="24" t="n">
        <v>5928</v>
      </c>
      <c r="M324" s="81" t="s">
        <v>61</v>
      </c>
    </row>
    <row r="325" customFormat="false" ht="12.75" hidden="false" customHeight="true" outlineLevel="0" collapsed="false">
      <c r="B325" s="27" t="s">
        <v>264</v>
      </c>
      <c r="C325" s="76" t="s">
        <v>467</v>
      </c>
      <c r="D325" s="76" t="s">
        <v>266</v>
      </c>
      <c r="E325" s="27" t="s">
        <v>18</v>
      </c>
      <c r="F325" s="77"/>
      <c r="G325" s="28" t="n">
        <v>2</v>
      </c>
      <c r="H325" s="28" t="n">
        <v>2</v>
      </c>
      <c r="I325" s="28" t="n">
        <v>0</v>
      </c>
      <c r="J325" s="28" t="n">
        <v>0</v>
      </c>
      <c r="K325" s="29" t="n">
        <v>2400</v>
      </c>
      <c r="L325" s="29" t="n">
        <v>4800</v>
      </c>
      <c r="M325" s="78" t="s">
        <v>61</v>
      </c>
    </row>
    <row r="326" customFormat="false" ht="12.75" hidden="false" customHeight="true" outlineLevel="0" collapsed="false">
      <c r="B326" s="22" t="s">
        <v>264</v>
      </c>
      <c r="C326" s="79" t="s">
        <v>468</v>
      </c>
      <c r="D326" s="79" t="s">
        <v>266</v>
      </c>
      <c r="E326" s="22" t="s">
        <v>18</v>
      </c>
      <c r="F326" s="80"/>
      <c r="G326" s="23" t="n">
        <v>2</v>
      </c>
      <c r="H326" s="23" t="n">
        <v>2</v>
      </c>
      <c r="I326" s="23" t="n">
        <v>0</v>
      </c>
      <c r="J326" s="23" t="n">
        <v>0</v>
      </c>
      <c r="K326" s="24" t="n">
        <v>1898</v>
      </c>
      <c r="L326" s="24" t="n">
        <v>3796</v>
      </c>
      <c r="M326" s="81" t="s">
        <v>61</v>
      </c>
    </row>
    <row r="327" customFormat="false" ht="12.75" hidden="false" customHeight="true" outlineLevel="0" collapsed="false">
      <c r="B327" s="27" t="s">
        <v>264</v>
      </c>
      <c r="C327" s="76" t="s">
        <v>469</v>
      </c>
      <c r="D327" s="76" t="s">
        <v>266</v>
      </c>
      <c r="E327" s="27" t="s">
        <v>18</v>
      </c>
      <c r="F327" s="77"/>
      <c r="G327" s="28" t="n">
        <v>2</v>
      </c>
      <c r="H327" s="28" t="n">
        <v>2</v>
      </c>
      <c r="I327" s="28" t="n">
        <v>0</v>
      </c>
      <c r="J327" s="28" t="n">
        <v>0</v>
      </c>
      <c r="K327" s="29" t="n">
        <v>1898</v>
      </c>
      <c r="L327" s="29" t="n">
        <v>3796</v>
      </c>
      <c r="M327" s="78" t="s">
        <v>61</v>
      </c>
    </row>
    <row r="328" customFormat="false" ht="12.75" hidden="false" customHeight="true" outlineLevel="0" collapsed="false">
      <c r="B328" s="22" t="s">
        <v>264</v>
      </c>
      <c r="C328" s="79" t="s">
        <v>470</v>
      </c>
      <c r="D328" s="79" t="s">
        <v>266</v>
      </c>
      <c r="E328" s="22" t="s">
        <v>18</v>
      </c>
      <c r="F328" s="80"/>
      <c r="G328" s="23" t="n">
        <v>2</v>
      </c>
      <c r="H328" s="23" t="n">
        <v>2</v>
      </c>
      <c r="I328" s="23" t="n">
        <v>0</v>
      </c>
      <c r="J328" s="23" t="n">
        <v>0</v>
      </c>
      <c r="K328" s="24" t="n">
        <v>1833</v>
      </c>
      <c r="L328" s="24" t="n">
        <v>3666</v>
      </c>
      <c r="M328" s="81" t="s">
        <v>61</v>
      </c>
    </row>
    <row r="329" customFormat="false" ht="12.75" hidden="false" customHeight="true" outlineLevel="0" collapsed="false">
      <c r="B329" s="27" t="s">
        <v>264</v>
      </c>
      <c r="C329" s="76" t="s">
        <v>471</v>
      </c>
      <c r="D329" s="76" t="s">
        <v>266</v>
      </c>
      <c r="E329" s="27" t="s">
        <v>18</v>
      </c>
      <c r="F329" s="77"/>
      <c r="G329" s="28" t="n">
        <v>2</v>
      </c>
      <c r="H329" s="28" t="n">
        <v>2</v>
      </c>
      <c r="I329" s="28" t="n">
        <v>0</v>
      </c>
      <c r="J329" s="28" t="n">
        <v>0</v>
      </c>
      <c r="K329" s="29" t="n">
        <v>1482</v>
      </c>
      <c r="L329" s="29" t="n">
        <v>2964</v>
      </c>
      <c r="M329" s="78" t="s">
        <v>61</v>
      </c>
    </row>
    <row r="330" customFormat="false" ht="12.75" hidden="false" customHeight="true" outlineLevel="0" collapsed="false">
      <c r="B330" s="22" t="s">
        <v>264</v>
      </c>
      <c r="C330" s="79" t="s">
        <v>472</v>
      </c>
      <c r="D330" s="79" t="s">
        <v>266</v>
      </c>
      <c r="E330" s="22" t="s">
        <v>18</v>
      </c>
      <c r="F330" s="80"/>
      <c r="G330" s="23" t="n">
        <v>1</v>
      </c>
      <c r="H330" s="23" t="n">
        <v>1</v>
      </c>
      <c r="I330" s="23" t="n">
        <v>0</v>
      </c>
      <c r="J330" s="23" t="n">
        <v>0</v>
      </c>
      <c r="K330" s="24" t="n">
        <v>2400</v>
      </c>
      <c r="L330" s="24" t="n">
        <v>2400</v>
      </c>
      <c r="M330" s="81" t="s">
        <v>61</v>
      </c>
    </row>
    <row r="331" customFormat="false" ht="12.75" hidden="false" customHeight="true" outlineLevel="0" collapsed="false">
      <c r="B331" s="27" t="s">
        <v>264</v>
      </c>
      <c r="C331" s="76" t="s">
        <v>473</v>
      </c>
      <c r="D331" s="76" t="s">
        <v>266</v>
      </c>
      <c r="E331" s="27" t="s">
        <v>18</v>
      </c>
      <c r="F331" s="77"/>
      <c r="G331" s="28" t="n">
        <v>1</v>
      </c>
      <c r="H331" s="28" t="n">
        <v>1</v>
      </c>
      <c r="I331" s="28" t="n">
        <v>0</v>
      </c>
      <c r="J331" s="28" t="n">
        <v>0</v>
      </c>
      <c r="K331" s="29" t="n">
        <v>2400</v>
      </c>
      <c r="L331" s="29" t="n">
        <v>2400</v>
      </c>
      <c r="M331" s="78" t="s">
        <v>61</v>
      </c>
    </row>
    <row r="332" customFormat="false" ht="12.75" hidden="false" customHeight="true" outlineLevel="0" collapsed="false">
      <c r="B332" s="22" t="s">
        <v>264</v>
      </c>
      <c r="C332" s="79" t="s">
        <v>474</v>
      </c>
      <c r="D332" s="79" t="s">
        <v>266</v>
      </c>
      <c r="E332" s="22" t="s">
        <v>18</v>
      </c>
      <c r="F332" s="80"/>
      <c r="G332" s="23" t="n">
        <v>1</v>
      </c>
      <c r="H332" s="23" t="n">
        <v>1</v>
      </c>
      <c r="I332" s="23" t="n">
        <v>0</v>
      </c>
      <c r="J332" s="23" t="n">
        <v>0</v>
      </c>
      <c r="K332" s="24" t="n">
        <v>1957</v>
      </c>
      <c r="L332" s="24" t="n">
        <v>1957</v>
      </c>
      <c r="M332" s="81" t="s">
        <v>61</v>
      </c>
    </row>
    <row r="333" customFormat="false" ht="12.75" hidden="false" customHeight="true" outlineLevel="0" collapsed="false">
      <c r="B333" s="27" t="s">
        <v>264</v>
      </c>
      <c r="C333" s="76" t="s">
        <v>475</v>
      </c>
      <c r="D333" s="76" t="s">
        <v>266</v>
      </c>
      <c r="E333" s="27" t="s">
        <v>18</v>
      </c>
      <c r="F333" s="77"/>
      <c r="G333" s="28" t="n">
        <v>2</v>
      </c>
      <c r="H333" s="28" t="n">
        <v>2</v>
      </c>
      <c r="I333" s="28" t="n">
        <v>0</v>
      </c>
      <c r="J333" s="28" t="n">
        <v>0</v>
      </c>
      <c r="K333" s="29" t="n">
        <v>822.5</v>
      </c>
      <c r="L333" s="29" t="n">
        <v>1645</v>
      </c>
      <c r="M333" s="78" t="s">
        <v>61</v>
      </c>
    </row>
    <row r="334" customFormat="false" ht="12.75" hidden="false" customHeight="true" outlineLevel="0" collapsed="false">
      <c r="B334" s="22" t="s">
        <v>264</v>
      </c>
      <c r="C334" s="79" t="s">
        <v>476</v>
      </c>
      <c r="D334" s="79" t="s">
        <v>266</v>
      </c>
      <c r="E334" s="22" t="s">
        <v>18</v>
      </c>
      <c r="F334" s="80"/>
      <c r="G334" s="23" t="n">
        <v>1</v>
      </c>
      <c r="H334" s="23" t="n">
        <v>4</v>
      </c>
      <c r="I334" s="23" t="n">
        <v>0</v>
      </c>
      <c r="J334" s="23" t="n">
        <v>3</v>
      </c>
      <c r="K334" s="24" t="n">
        <v>1619.38</v>
      </c>
      <c r="L334" s="24" t="n">
        <v>1619</v>
      </c>
      <c r="M334" s="81" t="s">
        <v>61</v>
      </c>
    </row>
    <row r="335" customFormat="false" ht="12.75" hidden="false" customHeight="true" outlineLevel="0" collapsed="false">
      <c r="B335" s="27" t="s">
        <v>264</v>
      </c>
      <c r="C335" s="76" t="s">
        <v>477</v>
      </c>
      <c r="D335" s="76" t="s">
        <v>266</v>
      </c>
      <c r="E335" s="27" t="s">
        <v>18</v>
      </c>
      <c r="F335" s="77"/>
      <c r="G335" s="28" t="n">
        <v>1</v>
      </c>
      <c r="H335" s="28" t="n">
        <v>1</v>
      </c>
      <c r="I335" s="28" t="n">
        <v>0</v>
      </c>
      <c r="J335" s="28" t="n">
        <v>0</v>
      </c>
      <c r="K335" s="29" t="n">
        <v>1528</v>
      </c>
      <c r="L335" s="29" t="n">
        <v>1528</v>
      </c>
      <c r="M335" s="78" t="s">
        <v>61</v>
      </c>
    </row>
    <row r="336" customFormat="false" ht="12.75" hidden="false" customHeight="true" outlineLevel="0" collapsed="false">
      <c r="B336" s="22" t="s">
        <v>264</v>
      </c>
      <c r="C336" s="79" t="s">
        <v>478</v>
      </c>
      <c r="D336" s="79" t="s">
        <v>266</v>
      </c>
      <c r="E336" s="22" t="s">
        <v>18</v>
      </c>
      <c r="F336" s="80"/>
      <c r="G336" s="23" t="n">
        <v>1</v>
      </c>
      <c r="H336" s="23" t="n">
        <v>1</v>
      </c>
      <c r="I336" s="23" t="n">
        <v>0</v>
      </c>
      <c r="J336" s="23" t="n">
        <v>0</v>
      </c>
      <c r="K336" s="24" t="n">
        <v>1482</v>
      </c>
      <c r="L336" s="24" t="n">
        <v>1482</v>
      </c>
      <c r="M336" s="81" t="s">
        <v>61</v>
      </c>
    </row>
    <row r="337" customFormat="false" ht="12.75" hidden="false" customHeight="true" outlineLevel="0" collapsed="false">
      <c r="B337" s="27" t="s">
        <v>264</v>
      </c>
      <c r="C337" s="76" t="s">
        <v>479</v>
      </c>
      <c r="D337" s="76" t="s">
        <v>266</v>
      </c>
      <c r="E337" s="27" t="s">
        <v>18</v>
      </c>
      <c r="F337" s="77"/>
      <c r="G337" s="28" t="n">
        <v>1</v>
      </c>
      <c r="H337" s="28" t="n">
        <v>1</v>
      </c>
      <c r="I337" s="28" t="n">
        <v>0</v>
      </c>
      <c r="J337" s="28" t="n">
        <v>0</v>
      </c>
      <c r="K337" s="29" t="n">
        <v>1090</v>
      </c>
      <c r="L337" s="29" t="n">
        <v>1090</v>
      </c>
      <c r="M337" s="78" t="s">
        <v>61</v>
      </c>
    </row>
    <row r="338" customFormat="false" ht="12.75" hidden="false" customHeight="true" outlineLevel="0" collapsed="false">
      <c r="B338" s="22" t="s">
        <v>264</v>
      </c>
      <c r="C338" s="79" t="s">
        <v>480</v>
      </c>
      <c r="D338" s="79" t="s">
        <v>266</v>
      </c>
      <c r="E338" s="22" t="s">
        <v>18</v>
      </c>
      <c r="F338" s="80"/>
      <c r="G338" s="23" t="n">
        <v>1</v>
      </c>
      <c r="H338" s="23" t="n">
        <v>1</v>
      </c>
      <c r="I338" s="23" t="n">
        <v>0</v>
      </c>
      <c r="J338" s="23" t="n">
        <v>0</v>
      </c>
      <c r="K338" s="24" t="n">
        <v>1090</v>
      </c>
      <c r="L338" s="24" t="n">
        <v>1090</v>
      </c>
      <c r="M338" s="81" t="s">
        <v>61</v>
      </c>
    </row>
    <row r="339" customFormat="false" ht="12.75" hidden="false" customHeight="true" outlineLevel="0" collapsed="false">
      <c r="B339" s="27" t="s">
        <v>264</v>
      </c>
      <c r="C339" s="76" t="s">
        <v>481</v>
      </c>
      <c r="D339" s="76" t="s">
        <v>266</v>
      </c>
      <c r="E339" s="27" t="s">
        <v>18</v>
      </c>
      <c r="F339" s="77"/>
      <c r="G339" s="28" t="n">
        <v>1</v>
      </c>
      <c r="H339" s="28" t="n">
        <v>1</v>
      </c>
      <c r="I339" s="28" t="n">
        <v>0</v>
      </c>
      <c r="J339" s="28" t="n">
        <v>0</v>
      </c>
      <c r="K339" s="29" t="n">
        <v>822.5</v>
      </c>
      <c r="L339" s="29" t="n">
        <v>822</v>
      </c>
      <c r="M339" s="78" t="s">
        <v>61</v>
      </c>
    </row>
    <row r="340" customFormat="false" ht="12.75" hidden="false" customHeight="true" outlineLevel="0" collapsed="false">
      <c r="B340" s="22" t="s">
        <v>264</v>
      </c>
      <c r="C340" s="79" t="s">
        <v>482</v>
      </c>
      <c r="D340" s="79" t="s">
        <v>266</v>
      </c>
      <c r="E340" s="22" t="s">
        <v>18</v>
      </c>
      <c r="F340" s="80"/>
      <c r="G340" s="23" t="n">
        <v>1</v>
      </c>
      <c r="H340" s="23" t="n">
        <v>1</v>
      </c>
      <c r="I340" s="23" t="n">
        <v>0</v>
      </c>
      <c r="J340" s="23" t="n">
        <v>0</v>
      </c>
      <c r="K340" s="24" t="n">
        <v>822.5</v>
      </c>
      <c r="L340" s="24" t="n">
        <v>822</v>
      </c>
      <c r="M340" s="81" t="s">
        <v>61</v>
      </c>
    </row>
    <row r="341" customFormat="false" ht="12.75" hidden="false" customHeight="true" outlineLevel="0" collapsed="false">
      <c r="B341" s="27" t="s">
        <v>264</v>
      </c>
      <c r="C341" s="76" t="s">
        <v>483</v>
      </c>
      <c r="D341" s="76" t="s">
        <v>266</v>
      </c>
      <c r="E341" s="27" t="s">
        <v>18</v>
      </c>
      <c r="F341" s="77"/>
      <c r="G341" s="28" t="n">
        <v>1</v>
      </c>
      <c r="H341" s="28" t="n">
        <v>1</v>
      </c>
      <c r="I341" s="28" t="n">
        <v>0</v>
      </c>
      <c r="J341" s="28" t="n">
        <v>0</v>
      </c>
      <c r="K341" s="29" t="n">
        <v>822.5</v>
      </c>
      <c r="L341" s="29" t="n">
        <v>822</v>
      </c>
      <c r="M341" s="78" t="s">
        <v>61</v>
      </c>
    </row>
    <row r="342" customFormat="false" ht="12.75" hidden="false" customHeight="true" outlineLevel="0" collapsed="false">
      <c r="B342" s="22" t="s">
        <v>264</v>
      </c>
      <c r="C342" s="79" t="s">
        <v>484</v>
      </c>
      <c r="D342" s="79" t="s">
        <v>266</v>
      </c>
      <c r="E342" s="22" t="s">
        <v>18</v>
      </c>
      <c r="F342" s="80"/>
      <c r="G342" s="23" t="n">
        <v>1</v>
      </c>
      <c r="H342" s="23" t="n">
        <v>2</v>
      </c>
      <c r="I342" s="23" t="n">
        <v>0</v>
      </c>
      <c r="J342" s="23" t="n">
        <v>1</v>
      </c>
      <c r="K342" s="24" t="n">
        <v>822.5</v>
      </c>
      <c r="L342" s="24" t="n">
        <v>822</v>
      </c>
      <c r="M342" s="81" t="s">
        <v>61</v>
      </c>
    </row>
    <row r="343" customFormat="false" ht="12.75" hidden="false" customHeight="true" outlineLevel="0" collapsed="false">
      <c r="B343" s="27" t="s">
        <v>264</v>
      </c>
      <c r="C343" s="76" t="s">
        <v>485</v>
      </c>
      <c r="D343" s="76" t="s">
        <v>486</v>
      </c>
      <c r="E343" s="27" t="s">
        <v>18</v>
      </c>
      <c r="F343" s="77"/>
      <c r="G343" s="28" t="n">
        <v>1</v>
      </c>
      <c r="H343" s="28" t="n">
        <v>1</v>
      </c>
      <c r="I343" s="28" t="n">
        <v>0</v>
      </c>
      <c r="J343" s="28" t="n">
        <v>0</v>
      </c>
      <c r="K343" s="29" t="n">
        <v>800</v>
      </c>
      <c r="L343" s="29" t="n">
        <v>800</v>
      </c>
      <c r="M343" s="78" t="s">
        <v>61</v>
      </c>
    </row>
    <row r="344" customFormat="false" ht="12.75" hidden="false" customHeight="true" outlineLevel="0" collapsed="false">
      <c r="B344" s="22" t="s">
        <v>264</v>
      </c>
      <c r="C344" s="79" t="s">
        <v>487</v>
      </c>
      <c r="D344" s="79" t="s">
        <v>266</v>
      </c>
      <c r="E344" s="22" t="s">
        <v>18</v>
      </c>
      <c r="F344" s="80"/>
      <c r="G344" s="23" t="n">
        <v>0</v>
      </c>
      <c r="H344" s="23" t="n">
        <v>1</v>
      </c>
      <c r="I344" s="23" t="n">
        <v>0</v>
      </c>
      <c r="J344" s="23" t="n">
        <v>1</v>
      </c>
      <c r="K344" s="24" t="n">
        <v>1833</v>
      </c>
      <c r="L344" s="23" t="n">
        <v>0</v>
      </c>
      <c r="M344" s="81" t="s">
        <v>61</v>
      </c>
    </row>
    <row r="345" customFormat="false" ht="12.75" hidden="false" customHeight="true" outlineLevel="0" collapsed="false">
      <c r="B345" s="27" t="s">
        <v>264</v>
      </c>
      <c r="C345" s="76" t="s">
        <v>488</v>
      </c>
      <c r="D345" s="76" t="s">
        <v>266</v>
      </c>
      <c r="E345" s="27" t="s">
        <v>18</v>
      </c>
      <c r="F345" s="77"/>
      <c r="G345" s="28" t="n">
        <v>0</v>
      </c>
      <c r="H345" s="28" t="n">
        <v>1</v>
      </c>
      <c r="I345" s="28" t="n">
        <v>0</v>
      </c>
      <c r="J345" s="28" t="n">
        <v>1</v>
      </c>
      <c r="K345" s="29" t="n">
        <v>1750</v>
      </c>
      <c r="L345" s="28" t="n">
        <v>0</v>
      </c>
      <c r="M345" s="78" t="s">
        <v>61</v>
      </c>
    </row>
    <row r="346" customFormat="false" ht="12.75" hidden="false" customHeight="true" outlineLevel="0" collapsed="false">
      <c r="B346" s="22" t="s">
        <v>264</v>
      </c>
      <c r="C346" s="79" t="s">
        <v>489</v>
      </c>
      <c r="D346" s="79" t="s">
        <v>266</v>
      </c>
      <c r="E346" s="22" t="s">
        <v>18</v>
      </c>
      <c r="F346" s="80"/>
      <c r="G346" s="23" t="n">
        <v>0</v>
      </c>
      <c r="H346" s="23" t="n">
        <v>1</v>
      </c>
      <c r="I346" s="23" t="n">
        <v>0</v>
      </c>
      <c r="J346" s="23" t="n">
        <v>1</v>
      </c>
      <c r="K346" s="24" t="n">
        <v>1528</v>
      </c>
      <c r="L346" s="23" t="n">
        <v>0</v>
      </c>
      <c r="M346" s="81" t="s">
        <v>61</v>
      </c>
    </row>
    <row r="347" customFormat="false" ht="12.75" hidden="false" customHeight="true" outlineLevel="0" collapsed="false">
      <c r="B347" s="27" t="s">
        <v>264</v>
      </c>
      <c r="C347" s="76" t="s">
        <v>490</v>
      </c>
      <c r="D347" s="76" t="s">
        <v>266</v>
      </c>
      <c r="E347" s="27" t="s">
        <v>18</v>
      </c>
      <c r="F347" s="77"/>
      <c r="G347" s="28" t="n">
        <v>0</v>
      </c>
      <c r="H347" s="28" t="n">
        <v>3</v>
      </c>
      <c r="I347" s="28" t="n">
        <v>0</v>
      </c>
      <c r="J347" s="28" t="n">
        <v>3</v>
      </c>
      <c r="K347" s="29" t="n">
        <v>2010</v>
      </c>
      <c r="L347" s="28" t="n">
        <v>0</v>
      </c>
      <c r="M347" s="78" t="s">
        <v>61</v>
      </c>
    </row>
    <row r="348" customFormat="false" ht="12.75" hidden="false" customHeight="true" outlineLevel="0" collapsed="false">
      <c r="B348" s="61"/>
      <c r="C348" s="62" t="s">
        <v>269</v>
      </c>
      <c r="D348" s="62"/>
      <c r="E348" s="62"/>
      <c r="F348" s="62"/>
      <c r="G348" s="63" t="n">
        <v>40</v>
      </c>
      <c r="H348" s="61"/>
      <c r="I348" s="61"/>
      <c r="J348" s="61"/>
      <c r="K348" s="61"/>
      <c r="L348" s="63" t="n">
        <v>66901.38</v>
      </c>
      <c r="M348" s="61"/>
    </row>
    <row r="349" customFormat="false" ht="12.75" hidden="false" customHeight="true" outlineLevel="0" collapsed="false">
      <c r="B349" s="27" t="s">
        <v>491</v>
      </c>
      <c r="C349" s="76" t="s">
        <v>492</v>
      </c>
      <c r="D349" s="76" t="s">
        <v>493</v>
      </c>
      <c r="E349" s="27" t="s">
        <v>18</v>
      </c>
      <c r="F349" s="77"/>
      <c r="G349" s="28" t="n">
        <v>13</v>
      </c>
      <c r="H349" s="28" t="n">
        <v>13</v>
      </c>
      <c r="I349" s="28" t="n">
        <v>0</v>
      </c>
      <c r="J349" s="28" t="n">
        <v>0</v>
      </c>
      <c r="K349" s="29" t="n">
        <v>150</v>
      </c>
      <c r="L349" s="29" t="n">
        <v>1950</v>
      </c>
      <c r="M349" s="78" t="s">
        <v>61</v>
      </c>
    </row>
    <row r="350" customFormat="false" ht="12.75" hidden="false" customHeight="true" outlineLevel="0" collapsed="false">
      <c r="B350" s="22" t="s">
        <v>491</v>
      </c>
      <c r="C350" s="79" t="s">
        <v>494</v>
      </c>
      <c r="D350" s="79" t="s">
        <v>288</v>
      </c>
      <c r="E350" s="22" t="s">
        <v>18</v>
      </c>
      <c r="F350" s="80"/>
      <c r="G350" s="23" t="n">
        <v>59</v>
      </c>
      <c r="H350" s="23" t="n">
        <v>59</v>
      </c>
      <c r="I350" s="23" t="n">
        <v>0</v>
      </c>
      <c r="J350" s="23" t="n">
        <v>0</v>
      </c>
      <c r="K350" s="24" t="n">
        <v>30</v>
      </c>
      <c r="L350" s="24" t="n">
        <v>1770</v>
      </c>
      <c r="M350" s="81" t="s">
        <v>61</v>
      </c>
    </row>
    <row r="351" customFormat="false" ht="12.75" hidden="false" customHeight="true" outlineLevel="0" collapsed="false">
      <c r="B351" s="27" t="s">
        <v>491</v>
      </c>
      <c r="C351" s="76" t="s">
        <v>495</v>
      </c>
      <c r="D351" s="76" t="s">
        <v>496</v>
      </c>
      <c r="E351" s="27" t="s">
        <v>18</v>
      </c>
      <c r="F351" s="77"/>
      <c r="G351" s="28" t="n">
        <v>10</v>
      </c>
      <c r="H351" s="28" t="n">
        <v>10</v>
      </c>
      <c r="I351" s="28" t="n">
        <v>0</v>
      </c>
      <c r="J351" s="28" t="n">
        <v>0</v>
      </c>
      <c r="K351" s="29" t="n">
        <v>150</v>
      </c>
      <c r="L351" s="29" t="n">
        <v>1500</v>
      </c>
      <c r="M351" s="78" t="s">
        <v>61</v>
      </c>
    </row>
    <row r="352" customFormat="false" ht="12.75" hidden="false" customHeight="true" outlineLevel="0" collapsed="false">
      <c r="B352" s="22" t="s">
        <v>491</v>
      </c>
      <c r="C352" s="79" t="s">
        <v>497</v>
      </c>
      <c r="D352" s="79" t="s">
        <v>493</v>
      </c>
      <c r="E352" s="22" t="s">
        <v>18</v>
      </c>
      <c r="F352" s="80"/>
      <c r="G352" s="23" t="n">
        <v>6</v>
      </c>
      <c r="H352" s="23" t="n">
        <v>6</v>
      </c>
      <c r="I352" s="23" t="n">
        <v>0</v>
      </c>
      <c r="J352" s="23" t="n">
        <v>0</v>
      </c>
      <c r="K352" s="24" t="n">
        <v>120</v>
      </c>
      <c r="L352" s="24" t="n">
        <v>720</v>
      </c>
      <c r="M352" s="81" t="s">
        <v>61</v>
      </c>
    </row>
    <row r="353" customFormat="false" ht="12.75" hidden="false" customHeight="true" outlineLevel="0" collapsed="false">
      <c r="B353" s="27" t="s">
        <v>491</v>
      </c>
      <c r="C353" s="76" t="s">
        <v>498</v>
      </c>
      <c r="D353" s="76" t="s">
        <v>493</v>
      </c>
      <c r="E353" s="27" t="s">
        <v>18</v>
      </c>
      <c r="F353" s="77"/>
      <c r="G353" s="28" t="n">
        <v>4</v>
      </c>
      <c r="H353" s="28" t="n">
        <v>4</v>
      </c>
      <c r="I353" s="28" t="n">
        <v>0</v>
      </c>
      <c r="J353" s="28" t="n">
        <v>0</v>
      </c>
      <c r="K353" s="29" t="n">
        <v>155</v>
      </c>
      <c r="L353" s="29" t="n">
        <v>620</v>
      </c>
      <c r="M353" s="78" t="s">
        <v>61</v>
      </c>
    </row>
    <row r="354" customFormat="false" ht="12.75" hidden="false" customHeight="true" outlineLevel="0" collapsed="false">
      <c r="B354" s="22" t="s">
        <v>491</v>
      </c>
      <c r="C354" s="79" t="s">
        <v>499</v>
      </c>
      <c r="D354" s="79" t="s">
        <v>493</v>
      </c>
      <c r="E354" s="22" t="s">
        <v>18</v>
      </c>
      <c r="F354" s="80"/>
      <c r="G354" s="23" t="n">
        <v>4</v>
      </c>
      <c r="H354" s="23" t="n">
        <v>4</v>
      </c>
      <c r="I354" s="23" t="n">
        <v>0</v>
      </c>
      <c r="J354" s="23" t="n">
        <v>0</v>
      </c>
      <c r="K354" s="24" t="n">
        <v>145</v>
      </c>
      <c r="L354" s="24" t="n">
        <v>580</v>
      </c>
      <c r="M354" s="81" t="s">
        <v>61</v>
      </c>
    </row>
    <row r="355" customFormat="false" ht="12.75" hidden="false" customHeight="true" outlineLevel="0" collapsed="false">
      <c r="B355" s="27" t="s">
        <v>491</v>
      </c>
      <c r="C355" s="76" t="s">
        <v>500</v>
      </c>
      <c r="D355" s="76" t="s">
        <v>501</v>
      </c>
      <c r="E355" s="27" t="s">
        <v>18</v>
      </c>
      <c r="F355" s="77"/>
      <c r="G355" s="28" t="n">
        <v>17</v>
      </c>
      <c r="H355" s="28" t="n">
        <v>17</v>
      </c>
      <c r="I355" s="28" t="n">
        <v>0</v>
      </c>
      <c r="J355" s="28" t="n">
        <v>0</v>
      </c>
      <c r="K355" s="29" t="n">
        <v>30</v>
      </c>
      <c r="L355" s="29" t="n">
        <v>510</v>
      </c>
      <c r="M355" s="78" t="s">
        <v>61</v>
      </c>
    </row>
    <row r="356" customFormat="false" ht="12.75" hidden="false" customHeight="true" outlineLevel="0" collapsed="false">
      <c r="B356" s="22" t="s">
        <v>491</v>
      </c>
      <c r="C356" s="79" t="s">
        <v>502</v>
      </c>
      <c r="D356" s="79" t="s">
        <v>501</v>
      </c>
      <c r="E356" s="22" t="s">
        <v>18</v>
      </c>
      <c r="F356" s="80"/>
      <c r="G356" s="23" t="n">
        <v>9</v>
      </c>
      <c r="H356" s="23" t="n">
        <v>9</v>
      </c>
      <c r="I356" s="23" t="n">
        <v>0</v>
      </c>
      <c r="J356" s="23" t="n">
        <v>0</v>
      </c>
      <c r="K356" s="24" t="n">
        <v>30</v>
      </c>
      <c r="L356" s="24" t="n">
        <v>270</v>
      </c>
      <c r="M356" s="81" t="s">
        <v>61</v>
      </c>
    </row>
    <row r="357" customFormat="false" ht="12.75" hidden="false" customHeight="true" outlineLevel="0" collapsed="false">
      <c r="B357" s="27" t="s">
        <v>491</v>
      </c>
      <c r="C357" s="76" t="s">
        <v>503</v>
      </c>
      <c r="D357" s="76" t="s">
        <v>501</v>
      </c>
      <c r="E357" s="27" t="s">
        <v>18</v>
      </c>
      <c r="F357" s="77"/>
      <c r="G357" s="28" t="n">
        <v>8</v>
      </c>
      <c r="H357" s="28" t="n">
        <v>8</v>
      </c>
      <c r="I357" s="28" t="n">
        <v>0</v>
      </c>
      <c r="J357" s="28" t="n">
        <v>0</v>
      </c>
      <c r="K357" s="29" t="n">
        <v>30</v>
      </c>
      <c r="L357" s="29" t="n">
        <v>240</v>
      </c>
      <c r="M357" s="78" t="s">
        <v>61</v>
      </c>
    </row>
    <row r="358" customFormat="false" ht="12.75" hidden="false" customHeight="true" outlineLevel="0" collapsed="false">
      <c r="B358" s="22" t="s">
        <v>491</v>
      </c>
      <c r="C358" s="79" t="s">
        <v>504</v>
      </c>
      <c r="D358" s="79" t="s">
        <v>493</v>
      </c>
      <c r="E358" s="22" t="s">
        <v>18</v>
      </c>
      <c r="F358" s="80"/>
      <c r="G358" s="23" t="n">
        <v>1</v>
      </c>
      <c r="H358" s="23" t="n">
        <v>1</v>
      </c>
      <c r="I358" s="23" t="n">
        <v>0</v>
      </c>
      <c r="J358" s="23" t="n">
        <v>0</v>
      </c>
      <c r="K358" s="24" t="n">
        <v>150</v>
      </c>
      <c r="L358" s="24" t="n">
        <v>150</v>
      </c>
      <c r="M358" s="81" t="s">
        <v>61</v>
      </c>
    </row>
    <row r="359" customFormat="false" ht="12.75" hidden="false" customHeight="true" outlineLevel="0" collapsed="false">
      <c r="B359" s="27" t="s">
        <v>491</v>
      </c>
      <c r="C359" s="76" t="s">
        <v>505</v>
      </c>
      <c r="D359" s="76" t="s">
        <v>493</v>
      </c>
      <c r="E359" s="27" t="s">
        <v>18</v>
      </c>
      <c r="F359" s="77"/>
      <c r="G359" s="28" t="n">
        <v>1</v>
      </c>
      <c r="H359" s="28" t="n">
        <v>1</v>
      </c>
      <c r="I359" s="28" t="n">
        <v>0</v>
      </c>
      <c r="J359" s="28" t="n">
        <v>0</v>
      </c>
      <c r="K359" s="29" t="n">
        <v>150</v>
      </c>
      <c r="L359" s="29" t="n">
        <v>150</v>
      </c>
      <c r="M359" s="78" t="s">
        <v>61</v>
      </c>
    </row>
    <row r="360" customFormat="false" ht="12.75" hidden="false" customHeight="true" outlineLevel="0" collapsed="false">
      <c r="B360" s="22" t="s">
        <v>491</v>
      </c>
      <c r="C360" s="79" t="s">
        <v>506</v>
      </c>
      <c r="D360" s="79" t="s">
        <v>493</v>
      </c>
      <c r="E360" s="22" t="s">
        <v>18</v>
      </c>
      <c r="F360" s="80"/>
      <c r="G360" s="23" t="n">
        <v>1</v>
      </c>
      <c r="H360" s="23" t="n">
        <v>1</v>
      </c>
      <c r="I360" s="23" t="n">
        <v>0</v>
      </c>
      <c r="J360" s="23" t="n">
        <v>0</v>
      </c>
      <c r="K360" s="24" t="n">
        <v>145</v>
      </c>
      <c r="L360" s="24" t="n">
        <v>145</v>
      </c>
      <c r="M360" s="81" t="s">
        <v>61</v>
      </c>
    </row>
    <row r="361" customFormat="false" ht="12.75" hidden="false" customHeight="true" outlineLevel="0" collapsed="false">
      <c r="B361" s="27" t="s">
        <v>491</v>
      </c>
      <c r="C361" s="76" t="s">
        <v>507</v>
      </c>
      <c r="D361" s="76" t="s">
        <v>501</v>
      </c>
      <c r="E361" s="27" t="s">
        <v>18</v>
      </c>
      <c r="F361" s="77"/>
      <c r="G361" s="28" t="n">
        <v>2</v>
      </c>
      <c r="H361" s="28" t="n">
        <v>2</v>
      </c>
      <c r="I361" s="28" t="n">
        <v>0</v>
      </c>
      <c r="J361" s="28" t="n">
        <v>0</v>
      </c>
      <c r="K361" s="29" t="n">
        <v>30</v>
      </c>
      <c r="L361" s="29" t="n">
        <v>60</v>
      </c>
      <c r="M361" s="78" t="s">
        <v>61</v>
      </c>
    </row>
    <row r="362" customFormat="false" ht="12.75" hidden="false" customHeight="true" outlineLevel="0" collapsed="false">
      <c r="B362" s="61"/>
      <c r="C362" s="62" t="s">
        <v>508</v>
      </c>
      <c r="D362" s="62"/>
      <c r="E362" s="62"/>
      <c r="F362" s="62"/>
      <c r="G362" s="63" t="n">
        <v>135</v>
      </c>
      <c r="H362" s="61"/>
      <c r="I362" s="61"/>
      <c r="J362" s="61"/>
      <c r="K362" s="61"/>
      <c r="L362" s="63" t="n">
        <v>8665</v>
      </c>
      <c r="M362" s="61"/>
    </row>
    <row r="363" customFormat="false" ht="12.75" hidden="false" customHeight="true" outlineLevel="0" collapsed="false">
      <c r="B363" s="27" t="s">
        <v>509</v>
      </c>
      <c r="C363" s="76" t="s">
        <v>510</v>
      </c>
      <c r="D363" s="76" t="s">
        <v>511</v>
      </c>
      <c r="E363" s="27" t="s">
        <v>18</v>
      </c>
      <c r="F363" s="77"/>
      <c r="G363" s="28" t="n">
        <v>4</v>
      </c>
      <c r="H363" s="28" t="n">
        <v>4</v>
      </c>
      <c r="I363" s="28" t="n">
        <v>0</v>
      </c>
      <c r="J363" s="28" t="n">
        <v>0</v>
      </c>
      <c r="K363" s="29" t="n">
        <v>921</v>
      </c>
      <c r="L363" s="29" t="n">
        <v>3684</v>
      </c>
      <c r="M363" s="78" t="s">
        <v>61</v>
      </c>
    </row>
    <row r="364" customFormat="false" ht="12.75" hidden="false" customHeight="true" outlineLevel="0" collapsed="false">
      <c r="B364" s="22" t="s">
        <v>509</v>
      </c>
      <c r="C364" s="79" t="s">
        <v>512</v>
      </c>
      <c r="D364" s="79" t="s">
        <v>513</v>
      </c>
      <c r="E364" s="22" t="s">
        <v>18</v>
      </c>
      <c r="F364" s="80"/>
      <c r="G364" s="23" t="n">
        <v>1</v>
      </c>
      <c r="H364" s="23" t="n">
        <v>2</v>
      </c>
      <c r="I364" s="23" t="n">
        <v>0</v>
      </c>
      <c r="J364" s="23" t="n">
        <v>1</v>
      </c>
      <c r="K364" s="24" t="n">
        <v>2546</v>
      </c>
      <c r="L364" s="24" t="n">
        <v>2546</v>
      </c>
      <c r="M364" s="81" t="s">
        <v>61</v>
      </c>
    </row>
    <row r="365" customFormat="false" ht="12.75" hidden="false" customHeight="true" outlineLevel="0" collapsed="false">
      <c r="B365" s="27" t="s">
        <v>509</v>
      </c>
      <c r="C365" s="76" t="s">
        <v>514</v>
      </c>
      <c r="D365" s="76" t="s">
        <v>511</v>
      </c>
      <c r="E365" s="27" t="s">
        <v>18</v>
      </c>
      <c r="F365" s="77"/>
      <c r="G365" s="28" t="n">
        <v>2</v>
      </c>
      <c r="H365" s="28" t="n">
        <v>2</v>
      </c>
      <c r="I365" s="28" t="n">
        <v>0</v>
      </c>
      <c r="J365" s="28" t="n">
        <v>0</v>
      </c>
      <c r="K365" s="29" t="n">
        <v>921</v>
      </c>
      <c r="L365" s="29" t="n">
        <v>1842</v>
      </c>
      <c r="M365" s="78" t="s">
        <v>61</v>
      </c>
    </row>
    <row r="366" customFormat="false" ht="12.75" hidden="false" customHeight="true" outlineLevel="0" collapsed="false">
      <c r="B366" s="22" t="s">
        <v>509</v>
      </c>
      <c r="C366" s="79" t="s">
        <v>515</v>
      </c>
      <c r="D366" s="79" t="s">
        <v>513</v>
      </c>
      <c r="E366" s="22" t="s">
        <v>18</v>
      </c>
      <c r="F366" s="80"/>
      <c r="G366" s="23" t="n">
        <v>1</v>
      </c>
      <c r="H366" s="23" t="n">
        <v>2</v>
      </c>
      <c r="I366" s="23" t="n">
        <v>0</v>
      </c>
      <c r="J366" s="23" t="n">
        <v>1</v>
      </c>
      <c r="K366" s="24" t="n">
        <v>1273</v>
      </c>
      <c r="L366" s="24" t="n">
        <v>1273</v>
      </c>
      <c r="M366" s="81" t="s">
        <v>61</v>
      </c>
    </row>
    <row r="367" customFormat="false" ht="12.75" hidden="false" customHeight="true" outlineLevel="0" collapsed="false">
      <c r="B367" s="27" t="s">
        <v>509</v>
      </c>
      <c r="C367" s="76" t="s">
        <v>516</v>
      </c>
      <c r="D367" s="76" t="s">
        <v>511</v>
      </c>
      <c r="E367" s="27" t="s">
        <v>18</v>
      </c>
      <c r="F367" s="77"/>
      <c r="G367" s="28" t="n">
        <v>1</v>
      </c>
      <c r="H367" s="28" t="n">
        <v>1</v>
      </c>
      <c r="I367" s="28" t="n">
        <v>0</v>
      </c>
      <c r="J367" s="28" t="n">
        <v>0</v>
      </c>
      <c r="K367" s="29" t="n">
        <v>921</v>
      </c>
      <c r="L367" s="29" t="n">
        <v>921</v>
      </c>
      <c r="M367" s="78" t="s">
        <v>61</v>
      </c>
    </row>
    <row r="368" customFormat="false" ht="12.75" hidden="false" customHeight="true" outlineLevel="0" collapsed="false">
      <c r="B368" s="22" t="s">
        <v>509</v>
      </c>
      <c r="C368" s="79" t="s">
        <v>517</v>
      </c>
      <c r="D368" s="79" t="s">
        <v>511</v>
      </c>
      <c r="E368" s="22" t="s">
        <v>18</v>
      </c>
      <c r="F368" s="80"/>
      <c r="G368" s="23" t="n">
        <v>1</v>
      </c>
      <c r="H368" s="23" t="n">
        <v>1</v>
      </c>
      <c r="I368" s="23" t="n">
        <v>0</v>
      </c>
      <c r="J368" s="23" t="n">
        <v>0</v>
      </c>
      <c r="K368" s="24" t="n">
        <v>921</v>
      </c>
      <c r="L368" s="24" t="n">
        <v>921</v>
      </c>
      <c r="M368" s="81" t="s">
        <v>61</v>
      </c>
    </row>
    <row r="369" customFormat="false" ht="12.75" hidden="false" customHeight="true" outlineLevel="0" collapsed="false">
      <c r="B369" s="27" t="s">
        <v>509</v>
      </c>
      <c r="C369" s="76" t="s">
        <v>518</v>
      </c>
      <c r="D369" s="76" t="s">
        <v>511</v>
      </c>
      <c r="E369" s="27" t="s">
        <v>18</v>
      </c>
      <c r="F369" s="77"/>
      <c r="G369" s="28" t="n">
        <v>1</v>
      </c>
      <c r="H369" s="28" t="n">
        <v>1</v>
      </c>
      <c r="I369" s="28" t="n">
        <v>0</v>
      </c>
      <c r="J369" s="28" t="n">
        <v>0</v>
      </c>
      <c r="K369" s="29" t="n">
        <v>921</v>
      </c>
      <c r="L369" s="29" t="n">
        <v>921</v>
      </c>
      <c r="M369" s="78" t="s">
        <v>61</v>
      </c>
    </row>
    <row r="370" customFormat="false" ht="12.75" hidden="false" customHeight="true" outlineLevel="0" collapsed="false">
      <c r="B370" s="22" t="s">
        <v>509</v>
      </c>
      <c r="C370" s="79" t="s">
        <v>519</v>
      </c>
      <c r="D370" s="79" t="s">
        <v>520</v>
      </c>
      <c r="E370" s="22" t="s">
        <v>18</v>
      </c>
      <c r="F370" s="80"/>
      <c r="G370" s="23" t="n">
        <v>2</v>
      </c>
      <c r="H370" s="23" t="n">
        <v>2</v>
      </c>
      <c r="I370" s="23" t="n">
        <v>0</v>
      </c>
      <c r="J370" s="23" t="n">
        <v>0</v>
      </c>
      <c r="K370" s="24" t="n">
        <v>425</v>
      </c>
      <c r="L370" s="24" t="n">
        <v>850</v>
      </c>
      <c r="M370" s="81" t="s">
        <v>61</v>
      </c>
    </row>
    <row r="371" customFormat="false" ht="12.75" hidden="false" customHeight="true" outlineLevel="0" collapsed="false">
      <c r="B371" s="27" t="s">
        <v>509</v>
      </c>
      <c r="C371" s="76" t="s">
        <v>521</v>
      </c>
      <c r="D371" s="76" t="s">
        <v>513</v>
      </c>
      <c r="E371" s="27" t="s">
        <v>18</v>
      </c>
      <c r="F371" s="77"/>
      <c r="G371" s="28" t="n">
        <v>1</v>
      </c>
      <c r="H371" s="28" t="n">
        <v>1</v>
      </c>
      <c r="I371" s="28" t="n">
        <v>0</v>
      </c>
      <c r="J371" s="28" t="n">
        <v>0</v>
      </c>
      <c r="K371" s="29" t="n">
        <v>800</v>
      </c>
      <c r="L371" s="29" t="n">
        <v>800</v>
      </c>
      <c r="M371" s="78" t="s">
        <v>61</v>
      </c>
    </row>
    <row r="372" customFormat="false" ht="12.75" hidden="false" customHeight="true" outlineLevel="0" collapsed="false">
      <c r="B372" s="22" t="s">
        <v>509</v>
      </c>
      <c r="C372" s="79" t="s">
        <v>522</v>
      </c>
      <c r="D372" s="79" t="s">
        <v>520</v>
      </c>
      <c r="E372" s="22" t="s">
        <v>18</v>
      </c>
      <c r="F372" s="80"/>
      <c r="G372" s="23" t="n">
        <v>1</v>
      </c>
      <c r="H372" s="23" t="n">
        <v>1</v>
      </c>
      <c r="I372" s="23" t="n">
        <v>0</v>
      </c>
      <c r="J372" s="23" t="n">
        <v>0</v>
      </c>
      <c r="K372" s="24" t="n">
        <v>425</v>
      </c>
      <c r="L372" s="24" t="n">
        <v>425</v>
      </c>
      <c r="M372" s="81" t="s">
        <v>61</v>
      </c>
    </row>
    <row r="373" customFormat="false" ht="12.75" hidden="false" customHeight="true" outlineLevel="0" collapsed="false">
      <c r="B373" s="27" t="s">
        <v>509</v>
      </c>
      <c r="C373" s="76" t="s">
        <v>523</v>
      </c>
      <c r="D373" s="76" t="s">
        <v>520</v>
      </c>
      <c r="E373" s="27" t="s">
        <v>18</v>
      </c>
      <c r="F373" s="77"/>
      <c r="G373" s="28" t="n">
        <v>1</v>
      </c>
      <c r="H373" s="28" t="n">
        <v>1</v>
      </c>
      <c r="I373" s="28" t="n">
        <v>0</v>
      </c>
      <c r="J373" s="28" t="n">
        <v>0</v>
      </c>
      <c r="K373" s="29" t="n">
        <v>425</v>
      </c>
      <c r="L373" s="29" t="n">
        <v>425</v>
      </c>
      <c r="M373" s="78" t="s">
        <v>61</v>
      </c>
    </row>
    <row r="374" customFormat="false" ht="12.75" hidden="false" customHeight="true" outlineLevel="0" collapsed="false">
      <c r="B374" s="22" t="s">
        <v>509</v>
      </c>
      <c r="C374" s="79" t="s">
        <v>524</v>
      </c>
      <c r="D374" s="79" t="s">
        <v>525</v>
      </c>
      <c r="E374" s="22" t="s">
        <v>18</v>
      </c>
      <c r="F374" s="80"/>
      <c r="G374" s="23" t="n">
        <v>1</v>
      </c>
      <c r="H374" s="23" t="n">
        <v>1</v>
      </c>
      <c r="I374" s="23" t="n">
        <v>0</v>
      </c>
      <c r="J374" s="23" t="n">
        <v>0</v>
      </c>
      <c r="K374" s="24" t="n">
        <v>299</v>
      </c>
      <c r="L374" s="24" t="n">
        <v>299</v>
      </c>
      <c r="M374" s="81" t="s">
        <v>61</v>
      </c>
    </row>
    <row r="375" customFormat="false" ht="12.75" hidden="false" customHeight="true" outlineLevel="0" collapsed="false">
      <c r="B375" s="27" t="s">
        <v>509</v>
      </c>
      <c r="C375" s="76" t="s">
        <v>526</v>
      </c>
      <c r="D375" s="76" t="s">
        <v>525</v>
      </c>
      <c r="E375" s="27" t="s">
        <v>18</v>
      </c>
      <c r="F375" s="77"/>
      <c r="G375" s="28" t="n">
        <v>1</v>
      </c>
      <c r="H375" s="28" t="n">
        <v>1</v>
      </c>
      <c r="I375" s="28" t="n">
        <v>0</v>
      </c>
      <c r="J375" s="28" t="n">
        <v>0</v>
      </c>
      <c r="K375" s="29" t="n">
        <v>299</v>
      </c>
      <c r="L375" s="29" t="n">
        <v>299</v>
      </c>
      <c r="M375" s="78" t="s">
        <v>61</v>
      </c>
    </row>
    <row r="376" customFormat="false" ht="12.75" hidden="false" customHeight="true" outlineLevel="0" collapsed="false">
      <c r="B376" s="22" t="s">
        <v>509</v>
      </c>
      <c r="C376" s="79" t="s">
        <v>527</v>
      </c>
      <c r="D376" s="79" t="s">
        <v>525</v>
      </c>
      <c r="E376" s="22" t="s">
        <v>18</v>
      </c>
      <c r="F376" s="80"/>
      <c r="G376" s="23" t="n">
        <v>1</v>
      </c>
      <c r="H376" s="23" t="n">
        <v>1</v>
      </c>
      <c r="I376" s="23" t="n">
        <v>0</v>
      </c>
      <c r="J376" s="23" t="n">
        <v>0</v>
      </c>
      <c r="K376" s="24" t="n">
        <v>299</v>
      </c>
      <c r="L376" s="24" t="n">
        <v>299</v>
      </c>
      <c r="M376" s="81" t="s">
        <v>61</v>
      </c>
    </row>
    <row r="377" customFormat="false" ht="12.75" hidden="false" customHeight="true" outlineLevel="0" collapsed="false">
      <c r="B377" s="27" t="s">
        <v>509</v>
      </c>
      <c r="C377" s="76" t="s">
        <v>528</v>
      </c>
      <c r="D377" s="76" t="s">
        <v>525</v>
      </c>
      <c r="E377" s="27" t="s">
        <v>18</v>
      </c>
      <c r="F377" s="77"/>
      <c r="G377" s="28" t="n">
        <v>1</v>
      </c>
      <c r="H377" s="28" t="n">
        <v>1</v>
      </c>
      <c r="I377" s="28" t="n">
        <v>0</v>
      </c>
      <c r="J377" s="28" t="n">
        <v>0</v>
      </c>
      <c r="K377" s="29" t="n">
        <v>299</v>
      </c>
      <c r="L377" s="29" t="n">
        <v>299</v>
      </c>
      <c r="M377" s="78" t="s">
        <v>61</v>
      </c>
    </row>
    <row r="378" customFormat="false" ht="12.75" hidden="false" customHeight="true" outlineLevel="0" collapsed="false">
      <c r="B378" s="61"/>
      <c r="C378" s="62" t="s">
        <v>529</v>
      </c>
      <c r="D378" s="62"/>
      <c r="E378" s="62"/>
      <c r="F378" s="62"/>
      <c r="G378" s="63" t="n">
        <v>20</v>
      </c>
      <c r="H378" s="61"/>
      <c r="I378" s="61"/>
      <c r="J378" s="61"/>
      <c r="K378" s="61"/>
      <c r="L378" s="63" t="n">
        <v>15804</v>
      </c>
      <c r="M378" s="61"/>
    </row>
    <row r="379" customFormat="false" ht="12.75" hidden="false" customHeight="true" outlineLevel="0" collapsed="false">
      <c r="B379" s="27" t="s">
        <v>530</v>
      </c>
      <c r="C379" s="76" t="s">
        <v>531</v>
      </c>
      <c r="D379" s="76" t="s">
        <v>532</v>
      </c>
      <c r="E379" s="27" t="s">
        <v>18</v>
      </c>
      <c r="F379" s="77"/>
      <c r="G379" s="28" t="n">
        <v>31</v>
      </c>
      <c r="H379" s="28" t="n">
        <v>31</v>
      </c>
      <c r="I379" s="28" t="n">
        <v>0</v>
      </c>
      <c r="J379" s="28" t="n">
        <v>0</v>
      </c>
      <c r="K379" s="29" t="n">
        <v>622</v>
      </c>
      <c r="L379" s="29" t="n">
        <v>19282</v>
      </c>
      <c r="M379" s="78" t="s">
        <v>61</v>
      </c>
    </row>
    <row r="380" customFormat="false" ht="12.75" hidden="false" customHeight="true" outlineLevel="0" collapsed="false">
      <c r="B380" s="22" t="s">
        <v>530</v>
      </c>
      <c r="C380" s="22" t="s">
        <v>533</v>
      </c>
      <c r="D380" s="22" t="s">
        <v>534</v>
      </c>
      <c r="E380" s="22" t="s">
        <v>18</v>
      </c>
      <c r="F380" s="80"/>
      <c r="G380" s="23" t="n">
        <v>18</v>
      </c>
      <c r="H380" s="23" t="n">
        <v>18</v>
      </c>
      <c r="I380" s="23" t="n">
        <v>0</v>
      </c>
      <c r="J380" s="23" t="n">
        <v>0</v>
      </c>
      <c r="K380" s="24" t="n">
        <v>909</v>
      </c>
      <c r="L380" s="24" t="n">
        <v>16362</v>
      </c>
      <c r="M380" s="81" t="s">
        <v>61</v>
      </c>
    </row>
    <row r="381" customFormat="false" ht="12.75" hidden="false" customHeight="true" outlineLevel="0" collapsed="false">
      <c r="B381" s="27" t="s">
        <v>530</v>
      </c>
      <c r="C381" s="76" t="s">
        <v>535</v>
      </c>
      <c r="D381" s="76" t="s">
        <v>536</v>
      </c>
      <c r="E381" s="27" t="s">
        <v>18</v>
      </c>
      <c r="F381" s="77"/>
      <c r="G381" s="28" t="n">
        <v>5</v>
      </c>
      <c r="H381" s="28" t="n">
        <v>5</v>
      </c>
      <c r="I381" s="28" t="n">
        <v>0</v>
      </c>
      <c r="J381" s="28" t="n">
        <v>0</v>
      </c>
      <c r="K381" s="29" t="n">
        <v>1456</v>
      </c>
      <c r="L381" s="29" t="n">
        <v>7280</v>
      </c>
      <c r="M381" s="78" t="s">
        <v>61</v>
      </c>
    </row>
    <row r="382" customFormat="false" ht="12.75" hidden="false" customHeight="true" outlineLevel="0" collapsed="false">
      <c r="B382" s="22" t="s">
        <v>530</v>
      </c>
      <c r="C382" s="79" t="s">
        <v>537</v>
      </c>
      <c r="D382" s="79" t="s">
        <v>532</v>
      </c>
      <c r="E382" s="22" t="s">
        <v>18</v>
      </c>
      <c r="F382" s="80"/>
      <c r="G382" s="23" t="n">
        <v>6</v>
      </c>
      <c r="H382" s="23" t="n">
        <v>6</v>
      </c>
      <c r="I382" s="23" t="n">
        <v>0</v>
      </c>
      <c r="J382" s="23" t="n">
        <v>0</v>
      </c>
      <c r="K382" s="24" t="n">
        <v>1120</v>
      </c>
      <c r="L382" s="24" t="n">
        <v>6720</v>
      </c>
      <c r="M382" s="81" t="s">
        <v>61</v>
      </c>
    </row>
    <row r="383" customFormat="false" ht="12.75" hidden="false" customHeight="true" outlineLevel="0" collapsed="false">
      <c r="B383" s="27" t="s">
        <v>530</v>
      </c>
      <c r="C383" s="76" t="s">
        <v>538</v>
      </c>
      <c r="D383" s="76" t="s">
        <v>532</v>
      </c>
      <c r="E383" s="27" t="s">
        <v>18</v>
      </c>
      <c r="F383" s="77"/>
      <c r="G383" s="28" t="n">
        <v>4</v>
      </c>
      <c r="H383" s="28" t="n">
        <v>4</v>
      </c>
      <c r="I383" s="28" t="n">
        <v>0</v>
      </c>
      <c r="J383" s="28" t="n">
        <v>0</v>
      </c>
      <c r="K383" s="29" t="n">
        <v>1652</v>
      </c>
      <c r="L383" s="29" t="n">
        <v>6608</v>
      </c>
      <c r="M383" s="78" t="s">
        <v>61</v>
      </c>
    </row>
    <row r="384" customFormat="false" ht="12.75" hidden="false" customHeight="true" outlineLevel="0" collapsed="false">
      <c r="B384" s="22" t="s">
        <v>530</v>
      </c>
      <c r="C384" s="79" t="s">
        <v>539</v>
      </c>
      <c r="D384" s="79" t="s">
        <v>540</v>
      </c>
      <c r="E384" s="22" t="s">
        <v>18</v>
      </c>
      <c r="F384" s="80"/>
      <c r="G384" s="23" t="n">
        <v>22</v>
      </c>
      <c r="H384" s="23" t="n">
        <v>22</v>
      </c>
      <c r="I384" s="23" t="n">
        <v>0</v>
      </c>
      <c r="J384" s="23" t="n">
        <v>0</v>
      </c>
      <c r="K384" s="24" t="n">
        <v>294</v>
      </c>
      <c r="L384" s="24" t="n">
        <v>6468</v>
      </c>
      <c r="M384" s="81" t="s">
        <v>61</v>
      </c>
    </row>
    <row r="385" customFormat="false" ht="12.75" hidden="false" customHeight="true" outlineLevel="0" collapsed="false">
      <c r="B385" s="27" t="s">
        <v>530</v>
      </c>
      <c r="C385" s="76" t="s">
        <v>541</v>
      </c>
      <c r="D385" s="76" t="s">
        <v>532</v>
      </c>
      <c r="E385" s="27" t="s">
        <v>18</v>
      </c>
      <c r="F385" s="77"/>
      <c r="G385" s="28" t="n">
        <v>4</v>
      </c>
      <c r="H385" s="28" t="n">
        <v>4</v>
      </c>
      <c r="I385" s="28" t="n">
        <v>0</v>
      </c>
      <c r="J385" s="28" t="n">
        <v>0</v>
      </c>
      <c r="K385" s="29" t="n">
        <v>1204</v>
      </c>
      <c r="L385" s="29" t="n">
        <v>4816</v>
      </c>
      <c r="M385" s="78" t="s">
        <v>61</v>
      </c>
    </row>
    <row r="386" customFormat="false" ht="12.75" hidden="false" customHeight="true" outlineLevel="0" collapsed="false">
      <c r="B386" s="22" t="s">
        <v>530</v>
      </c>
      <c r="C386" s="79" t="s">
        <v>542</v>
      </c>
      <c r="D386" s="79" t="s">
        <v>540</v>
      </c>
      <c r="E386" s="22" t="s">
        <v>18</v>
      </c>
      <c r="F386" s="80"/>
      <c r="G386" s="23" t="n">
        <v>2</v>
      </c>
      <c r="H386" s="23" t="n">
        <v>2</v>
      </c>
      <c r="I386" s="23" t="n">
        <v>0</v>
      </c>
      <c r="J386" s="23" t="n">
        <v>0</v>
      </c>
      <c r="K386" s="24" t="n">
        <v>1715</v>
      </c>
      <c r="L386" s="24" t="n">
        <v>3430</v>
      </c>
      <c r="M386" s="81" t="s">
        <v>61</v>
      </c>
    </row>
    <row r="387" customFormat="false" ht="12.75" hidden="false" customHeight="true" outlineLevel="0" collapsed="false">
      <c r="B387" s="27" t="s">
        <v>530</v>
      </c>
      <c r="C387" s="76" t="s">
        <v>543</v>
      </c>
      <c r="D387" s="76" t="s">
        <v>532</v>
      </c>
      <c r="E387" s="27" t="s">
        <v>18</v>
      </c>
      <c r="F387" s="77"/>
      <c r="G387" s="28" t="n">
        <v>3</v>
      </c>
      <c r="H387" s="28" t="n">
        <v>3</v>
      </c>
      <c r="I387" s="28" t="n">
        <v>0</v>
      </c>
      <c r="J387" s="28" t="n">
        <v>0</v>
      </c>
      <c r="K387" s="29" t="n">
        <v>1001</v>
      </c>
      <c r="L387" s="29" t="n">
        <v>3003</v>
      </c>
      <c r="M387" s="78" t="s">
        <v>61</v>
      </c>
    </row>
    <row r="388" customFormat="false" ht="12.75" hidden="false" customHeight="true" outlineLevel="0" collapsed="false">
      <c r="B388" s="22" t="s">
        <v>530</v>
      </c>
      <c r="C388" s="79" t="s">
        <v>544</v>
      </c>
      <c r="D388" s="79" t="s">
        <v>532</v>
      </c>
      <c r="E388" s="22" t="s">
        <v>18</v>
      </c>
      <c r="F388" s="80"/>
      <c r="G388" s="23" t="n">
        <v>2</v>
      </c>
      <c r="H388" s="23" t="n">
        <v>2</v>
      </c>
      <c r="I388" s="23" t="n">
        <v>0</v>
      </c>
      <c r="J388" s="23" t="n">
        <v>0</v>
      </c>
      <c r="K388" s="24" t="n">
        <v>1092</v>
      </c>
      <c r="L388" s="24" t="n">
        <v>2184</v>
      </c>
      <c r="M388" s="81" t="s">
        <v>61</v>
      </c>
    </row>
    <row r="389" customFormat="false" ht="12.75" hidden="false" customHeight="true" outlineLevel="0" collapsed="false">
      <c r="B389" s="27" t="s">
        <v>530</v>
      </c>
      <c r="C389" s="76" t="s">
        <v>545</v>
      </c>
      <c r="D389" s="76" t="s">
        <v>540</v>
      </c>
      <c r="E389" s="27" t="s">
        <v>18</v>
      </c>
      <c r="F389" s="77"/>
      <c r="G389" s="28" t="n">
        <v>1</v>
      </c>
      <c r="H389" s="28" t="n">
        <v>1</v>
      </c>
      <c r="I389" s="28" t="n">
        <v>0</v>
      </c>
      <c r="J389" s="28" t="n">
        <v>0</v>
      </c>
      <c r="K389" s="29" t="n">
        <v>2030</v>
      </c>
      <c r="L389" s="29" t="n">
        <v>2030</v>
      </c>
      <c r="M389" s="78" t="s">
        <v>61</v>
      </c>
    </row>
    <row r="390" customFormat="false" ht="12.75" hidden="false" customHeight="true" outlineLevel="0" collapsed="false">
      <c r="B390" s="22" t="s">
        <v>530</v>
      </c>
      <c r="C390" s="79" t="s">
        <v>546</v>
      </c>
      <c r="D390" s="79" t="s">
        <v>547</v>
      </c>
      <c r="E390" s="22" t="s">
        <v>18</v>
      </c>
      <c r="F390" s="80"/>
      <c r="G390" s="23" t="n">
        <v>1</v>
      </c>
      <c r="H390" s="23" t="n">
        <v>1</v>
      </c>
      <c r="I390" s="23" t="n">
        <v>0</v>
      </c>
      <c r="J390" s="23" t="n">
        <v>0</v>
      </c>
      <c r="K390" s="24" t="n">
        <v>1794</v>
      </c>
      <c r="L390" s="24" t="n">
        <v>1794</v>
      </c>
      <c r="M390" s="81" t="s">
        <v>61</v>
      </c>
    </row>
    <row r="391" customFormat="false" ht="12.75" hidden="false" customHeight="true" outlineLevel="0" collapsed="false">
      <c r="B391" s="27" t="s">
        <v>530</v>
      </c>
      <c r="C391" s="76" t="s">
        <v>548</v>
      </c>
      <c r="D391" s="76" t="s">
        <v>547</v>
      </c>
      <c r="E391" s="27" t="s">
        <v>18</v>
      </c>
      <c r="F391" s="77"/>
      <c r="G391" s="28" t="n">
        <v>1</v>
      </c>
      <c r="H391" s="28" t="n">
        <v>1</v>
      </c>
      <c r="I391" s="28" t="n">
        <v>0</v>
      </c>
      <c r="J391" s="28" t="n">
        <v>0</v>
      </c>
      <c r="K391" s="29" t="n">
        <v>1794</v>
      </c>
      <c r="L391" s="29" t="n">
        <v>1794</v>
      </c>
      <c r="M391" s="78" t="s">
        <v>61</v>
      </c>
    </row>
    <row r="392" customFormat="false" ht="12.75" hidden="false" customHeight="true" outlineLevel="0" collapsed="false">
      <c r="B392" s="22" t="s">
        <v>530</v>
      </c>
      <c r="C392" s="79" t="s">
        <v>549</v>
      </c>
      <c r="D392" s="79" t="s">
        <v>547</v>
      </c>
      <c r="E392" s="22" t="s">
        <v>18</v>
      </c>
      <c r="F392" s="80"/>
      <c r="G392" s="23" t="n">
        <v>1</v>
      </c>
      <c r="H392" s="23" t="n">
        <v>1</v>
      </c>
      <c r="I392" s="23" t="n">
        <v>0</v>
      </c>
      <c r="J392" s="23" t="n">
        <v>0</v>
      </c>
      <c r="K392" s="24" t="n">
        <v>1794</v>
      </c>
      <c r="L392" s="24" t="n">
        <v>1794</v>
      </c>
      <c r="M392" s="81" t="s">
        <v>61</v>
      </c>
    </row>
    <row r="393" customFormat="false" ht="12.75" hidden="false" customHeight="true" outlineLevel="0" collapsed="false">
      <c r="B393" s="27" t="s">
        <v>530</v>
      </c>
      <c r="C393" s="76" t="s">
        <v>550</v>
      </c>
      <c r="D393" s="76" t="s">
        <v>532</v>
      </c>
      <c r="E393" s="27" t="s">
        <v>18</v>
      </c>
      <c r="F393" s="77"/>
      <c r="G393" s="28" t="n">
        <v>2</v>
      </c>
      <c r="H393" s="28" t="n">
        <v>3</v>
      </c>
      <c r="I393" s="28" t="n">
        <v>0</v>
      </c>
      <c r="J393" s="28" t="n">
        <v>1</v>
      </c>
      <c r="K393" s="29" t="n">
        <v>854</v>
      </c>
      <c r="L393" s="29" t="n">
        <v>1708</v>
      </c>
      <c r="M393" s="78" t="s">
        <v>61</v>
      </c>
    </row>
    <row r="394" customFormat="false" ht="12.75" hidden="false" customHeight="true" outlineLevel="0" collapsed="false">
      <c r="B394" s="22" t="s">
        <v>530</v>
      </c>
      <c r="C394" s="79" t="s">
        <v>551</v>
      </c>
      <c r="D394" s="79" t="s">
        <v>540</v>
      </c>
      <c r="E394" s="22" t="s">
        <v>18</v>
      </c>
      <c r="F394" s="80"/>
      <c r="G394" s="23" t="n">
        <v>2</v>
      </c>
      <c r="H394" s="23" t="n">
        <v>2</v>
      </c>
      <c r="I394" s="23" t="n">
        <v>0</v>
      </c>
      <c r="J394" s="23" t="n">
        <v>0</v>
      </c>
      <c r="K394" s="24" t="n">
        <v>854</v>
      </c>
      <c r="L394" s="24" t="n">
        <v>1708</v>
      </c>
      <c r="M394" s="81" t="s">
        <v>61</v>
      </c>
    </row>
    <row r="395" customFormat="false" ht="12.75" hidden="false" customHeight="true" outlineLevel="0" collapsed="false">
      <c r="B395" s="27" t="s">
        <v>530</v>
      </c>
      <c r="C395" s="76" t="s">
        <v>552</v>
      </c>
      <c r="D395" s="76" t="s">
        <v>536</v>
      </c>
      <c r="E395" s="27" t="s">
        <v>18</v>
      </c>
      <c r="F395" s="77"/>
      <c r="G395" s="28" t="n">
        <v>1</v>
      </c>
      <c r="H395" s="28" t="n">
        <v>1</v>
      </c>
      <c r="I395" s="28" t="n">
        <v>0</v>
      </c>
      <c r="J395" s="28" t="n">
        <v>0</v>
      </c>
      <c r="K395" s="29" t="n">
        <v>1596</v>
      </c>
      <c r="L395" s="29" t="n">
        <v>1596</v>
      </c>
      <c r="M395" s="78" t="s">
        <v>61</v>
      </c>
    </row>
    <row r="396" customFormat="false" ht="12.75" hidden="false" customHeight="true" outlineLevel="0" collapsed="false">
      <c r="B396" s="22" t="s">
        <v>530</v>
      </c>
      <c r="C396" s="79" t="s">
        <v>553</v>
      </c>
      <c r="D396" s="79" t="s">
        <v>532</v>
      </c>
      <c r="E396" s="22" t="s">
        <v>18</v>
      </c>
      <c r="F396" s="80"/>
      <c r="G396" s="23" t="n">
        <v>1</v>
      </c>
      <c r="H396" s="23" t="n">
        <v>1</v>
      </c>
      <c r="I396" s="23" t="n">
        <v>0</v>
      </c>
      <c r="J396" s="23" t="n">
        <v>0</v>
      </c>
      <c r="K396" s="24" t="n">
        <v>1295</v>
      </c>
      <c r="L396" s="24" t="n">
        <v>1295</v>
      </c>
      <c r="M396" s="81" t="s">
        <v>61</v>
      </c>
    </row>
    <row r="397" customFormat="false" ht="12.75" hidden="false" customHeight="true" outlineLevel="0" collapsed="false">
      <c r="B397" s="27" t="s">
        <v>530</v>
      </c>
      <c r="C397" s="76" t="s">
        <v>554</v>
      </c>
      <c r="D397" s="76" t="s">
        <v>532</v>
      </c>
      <c r="E397" s="27" t="s">
        <v>18</v>
      </c>
      <c r="F397" s="77"/>
      <c r="G397" s="28" t="n">
        <v>2</v>
      </c>
      <c r="H397" s="28" t="n">
        <v>2</v>
      </c>
      <c r="I397" s="28" t="n">
        <v>0</v>
      </c>
      <c r="J397" s="28" t="n">
        <v>0</v>
      </c>
      <c r="K397" s="29" t="n">
        <v>608</v>
      </c>
      <c r="L397" s="29" t="n">
        <v>1216</v>
      </c>
      <c r="M397" s="78" t="s">
        <v>61</v>
      </c>
    </row>
    <row r="398" customFormat="false" ht="12.75" hidden="false" customHeight="true" outlineLevel="0" collapsed="false">
      <c r="B398" s="22" t="s">
        <v>530</v>
      </c>
      <c r="C398" s="22" t="s">
        <v>555</v>
      </c>
      <c r="D398" s="22" t="s">
        <v>534</v>
      </c>
      <c r="E398" s="22" t="s">
        <v>18</v>
      </c>
      <c r="F398" s="80"/>
      <c r="G398" s="23" t="n">
        <v>1</v>
      </c>
      <c r="H398" s="23" t="n">
        <v>1</v>
      </c>
      <c r="I398" s="23" t="n">
        <v>0</v>
      </c>
      <c r="J398" s="23" t="n">
        <v>0</v>
      </c>
      <c r="K398" s="24" t="n">
        <v>1155</v>
      </c>
      <c r="L398" s="24" t="n">
        <v>1155</v>
      </c>
      <c r="M398" s="81" t="s">
        <v>61</v>
      </c>
    </row>
    <row r="399" customFormat="false" ht="12.75" hidden="false" customHeight="true" outlineLevel="0" collapsed="false">
      <c r="B399" s="27" t="s">
        <v>530</v>
      </c>
      <c r="C399" s="76" t="s">
        <v>556</v>
      </c>
      <c r="D399" s="76" t="s">
        <v>532</v>
      </c>
      <c r="E399" s="27" t="s">
        <v>18</v>
      </c>
      <c r="F399" s="77"/>
      <c r="G399" s="28" t="n">
        <v>1</v>
      </c>
      <c r="H399" s="28" t="n">
        <v>1</v>
      </c>
      <c r="I399" s="28" t="n">
        <v>0</v>
      </c>
      <c r="J399" s="28" t="n">
        <v>0</v>
      </c>
      <c r="K399" s="29" t="n">
        <v>1119</v>
      </c>
      <c r="L399" s="29" t="n">
        <v>1119</v>
      </c>
      <c r="M399" s="78" t="s">
        <v>61</v>
      </c>
    </row>
    <row r="400" customFormat="false" ht="12.75" hidden="false" customHeight="true" outlineLevel="0" collapsed="false">
      <c r="B400" s="22" t="s">
        <v>530</v>
      </c>
      <c r="C400" s="79" t="s">
        <v>557</v>
      </c>
      <c r="D400" s="79" t="s">
        <v>532</v>
      </c>
      <c r="E400" s="22" t="s">
        <v>18</v>
      </c>
      <c r="F400" s="80"/>
      <c r="G400" s="23" t="n">
        <v>1</v>
      </c>
      <c r="H400" s="23" t="n">
        <v>1</v>
      </c>
      <c r="I400" s="23" t="n">
        <v>0</v>
      </c>
      <c r="J400" s="23" t="n">
        <v>0</v>
      </c>
      <c r="K400" s="24" t="n">
        <v>1092</v>
      </c>
      <c r="L400" s="24" t="n">
        <v>1092</v>
      </c>
      <c r="M400" s="81" t="s">
        <v>61</v>
      </c>
    </row>
    <row r="401" customFormat="false" ht="12.75" hidden="false" customHeight="true" outlineLevel="0" collapsed="false">
      <c r="B401" s="27" t="s">
        <v>530</v>
      </c>
      <c r="C401" s="76" t="s">
        <v>558</v>
      </c>
      <c r="D401" s="76" t="s">
        <v>532</v>
      </c>
      <c r="E401" s="27" t="s">
        <v>18</v>
      </c>
      <c r="F401" s="77"/>
      <c r="G401" s="28" t="n">
        <v>7</v>
      </c>
      <c r="H401" s="28" t="n">
        <v>7</v>
      </c>
      <c r="I401" s="28" t="n">
        <v>0</v>
      </c>
      <c r="J401" s="28" t="n">
        <v>0</v>
      </c>
      <c r="K401" s="29" t="n">
        <v>140</v>
      </c>
      <c r="L401" s="29" t="n">
        <v>980</v>
      </c>
      <c r="M401" s="78" t="s">
        <v>61</v>
      </c>
    </row>
    <row r="402" customFormat="false" ht="12.75" hidden="false" customHeight="true" outlineLevel="0" collapsed="false">
      <c r="B402" s="22" t="s">
        <v>530</v>
      </c>
      <c r="C402" s="79" t="s">
        <v>559</v>
      </c>
      <c r="D402" s="79" t="s">
        <v>547</v>
      </c>
      <c r="E402" s="22" t="s">
        <v>18</v>
      </c>
      <c r="F402" s="80"/>
      <c r="G402" s="23" t="n">
        <v>1</v>
      </c>
      <c r="H402" s="23" t="n">
        <v>1</v>
      </c>
      <c r="I402" s="23" t="n">
        <v>0</v>
      </c>
      <c r="J402" s="23" t="n">
        <v>0</v>
      </c>
      <c r="K402" s="24" t="n">
        <v>930</v>
      </c>
      <c r="L402" s="24" t="n">
        <v>930</v>
      </c>
      <c r="M402" s="81" t="s">
        <v>61</v>
      </c>
    </row>
    <row r="403" customFormat="false" ht="12.75" hidden="false" customHeight="true" outlineLevel="0" collapsed="false">
      <c r="B403" s="27" t="s">
        <v>530</v>
      </c>
      <c r="C403" s="76" t="s">
        <v>560</v>
      </c>
      <c r="D403" s="76" t="s">
        <v>547</v>
      </c>
      <c r="E403" s="27" t="s">
        <v>18</v>
      </c>
      <c r="F403" s="77"/>
      <c r="G403" s="28" t="n">
        <v>1</v>
      </c>
      <c r="H403" s="28" t="n">
        <v>1</v>
      </c>
      <c r="I403" s="28" t="n">
        <v>0</v>
      </c>
      <c r="J403" s="28" t="n">
        <v>0</v>
      </c>
      <c r="K403" s="29" t="n">
        <v>930</v>
      </c>
      <c r="L403" s="29" t="n">
        <v>930</v>
      </c>
      <c r="M403" s="78" t="s">
        <v>61</v>
      </c>
    </row>
    <row r="404" customFormat="false" ht="12.75" hidden="false" customHeight="true" outlineLevel="0" collapsed="false">
      <c r="B404" s="22" t="s">
        <v>530</v>
      </c>
      <c r="C404" s="79" t="s">
        <v>561</v>
      </c>
      <c r="D404" s="79" t="s">
        <v>547</v>
      </c>
      <c r="E404" s="22" t="s">
        <v>18</v>
      </c>
      <c r="F404" s="80"/>
      <c r="G404" s="23" t="n">
        <v>1</v>
      </c>
      <c r="H404" s="23" t="n">
        <v>1</v>
      </c>
      <c r="I404" s="23" t="n">
        <v>0</v>
      </c>
      <c r="J404" s="23" t="n">
        <v>0</v>
      </c>
      <c r="K404" s="24" t="n">
        <v>930</v>
      </c>
      <c r="L404" s="24" t="n">
        <v>930</v>
      </c>
      <c r="M404" s="81" t="s">
        <v>61</v>
      </c>
    </row>
    <row r="405" customFormat="false" ht="12.75" hidden="false" customHeight="true" outlineLevel="0" collapsed="false">
      <c r="B405" s="27" t="s">
        <v>530</v>
      </c>
      <c r="C405" s="76" t="s">
        <v>562</v>
      </c>
      <c r="D405" s="76" t="s">
        <v>547</v>
      </c>
      <c r="E405" s="27" t="s">
        <v>18</v>
      </c>
      <c r="F405" s="77"/>
      <c r="G405" s="28" t="n">
        <v>1</v>
      </c>
      <c r="H405" s="28" t="n">
        <v>1</v>
      </c>
      <c r="I405" s="28" t="n">
        <v>0</v>
      </c>
      <c r="J405" s="28" t="n">
        <v>0</v>
      </c>
      <c r="K405" s="29" t="n">
        <v>930</v>
      </c>
      <c r="L405" s="29" t="n">
        <v>930</v>
      </c>
      <c r="M405" s="78" t="s">
        <v>61</v>
      </c>
    </row>
    <row r="406" customFormat="false" ht="12.75" hidden="false" customHeight="true" outlineLevel="0" collapsed="false">
      <c r="B406" s="22" t="s">
        <v>530</v>
      </c>
      <c r="C406" s="79" t="s">
        <v>563</v>
      </c>
      <c r="D406" s="79" t="s">
        <v>547</v>
      </c>
      <c r="E406" s="22" t="s">
        <v>18</v>
      </c>
      <c r="F406" s="80"/>
      <c r="G406" s="23" t="n">
        <v>1</v>
      </c>
      <c r="H406" s="23" t="n">
        <v>1</v>
      </c>
      <c r="I406" s="23" t="n">
        <v>0</v>
      </c>
      <c r="J406" s="23" t="n">
        <v>0</v>
      </c>
      <c r="K406" s="24" t="n">
        <v>930</v>
      </c>
      <c r="L406" s="24" t="n">
        <v>930</v>
      </c>
      <c r="M406" s="81" t="s">
        <v>61</v>
      </c>
    </row>
    <row r="407" customFormat="false" ht="12.75" hidden="false" customHeight="true" outlineLevel="0" collapsed="false">
      <c r="B407" s="27" t="s">
        <v>530</v>
      </c>
      <c r="C407" s="76" t="s">
        <v>564</v>
      </c>
      <c r="D407" s="76" t="s">
        <v>540</v>
      </c>
      <c r="E407" s="27" t="s">
        <v>18</v>
      </c>
      <c r="F407" s="77"/>
      <c r="G407" s="28" t="n">
        <v>1</v>
      </c>
      <c r="H407" s="28" t="n">
        <v>1</v>
      </c>
      <c r="I407" s="28" t="n">
        <v>0</v>
      </c>
      <c r="J407" s="28" t="n">
        <v>0</v>
      </c>
      <c r="K407" s="29" t="n">
        <v>700</v>
      </c>
      <c r="L407" s="29" t="n">
        <v>700</v>
      </c>
      <c r="M407" s="78" t="s">
        <v>61</v>
      </c>
    </row>
    <row r="408" customFormat="false" ht="12.75" hidden="false" customHeight="true" outlineLevel="0" collapsed="false">
      <c r="B408" s="22" t="s">
        <v>530</v>
      </c>
      <c r="C408" s="22" t="s">
        <v>565</v>
      </c>
      <c r="D408" s="22" t="s">
        <v>534</v>
      </c>
      <c r="E408" s="22" t="s">
        <v>18</v>
      </c>
      <c r="F408" s="80"/>
      <c r="G408" s="23" t="n">
        <v>1</v>
      </c>
      <c r="H408" s="23" t="n">
        <v>1</v>
      </c>
      <c r="I408" s="23" t="n">
        <v>0</v>
      </c>
      <c r="J408" s="23" t="n">
        <v>0</v>
      </c>
      <c r="K408" s="24" t="n">
        <v>622</v>
      </c>
      <c r="L408" s="24" t="n">
        <v>622</v>
      </c>
      <c r="M408" s="81" t="s">
        <v>61</v>
      </c>
    </row>
    <row r="409" customFormat="false" ht="12.75" hidden="false" customHeight="true" outlineLevel="0" collapsed="false">
      <c r="B409" s="27" t="s">
        <v>530</v>
      </c>
      <c r="C409" s="76" t="s">
        <v>566</v>
      </c>
      <c r="D409" s="76" t="s">
        <v>532</v>
      </c>
      <c r="E409" s="27" t="s">
        <v>18</v>
      </c>
      <c r="F409" s="77"/>
      <c r="G409" s="28" t="n">
        <v>1</v>
      </c>
      <c r="H409" s="28" t="n">
        <v>1</v>
      </c>
      <c r="I409" s="28" t="n">
        <v>0</v>
      </c>
      <c r="J409" s="28" t="n">
        <v>0</v>
      </c>
      <c r="K409" s="29" t="n">
        <v>581</v>
      </c>
      <c r="L409" s="29" t="n">
        <v>581</v>
      </c>
      <c r="M409" s="78" t="s">
        <v>61</v>
      </c>
    </row>
    <row r="410" customFormat="false" ht="12.75" hidden="false" customHeight="true" outlineLevel="0" collapsed="false">
      <c r="B410" s="22" t="s">
        <v>530</v>
      </c>
      <c r="C410" s="79" t="s">
        <v>567</v>
      </c>
      <c r="D410" s="79" t="s">
        <v>532</v>
      </c>
      <c r="E410" s="22" t="s">
        <v>18</v>
      </c>
      <c r="F410" s="80"/>
      <c r="G410" s="23" t="n">
        <v>2</v>
      </c>
      <c r="H410" s="23" t="n">
        <v>2</v>
      </c>
      <c r="I410" s="23" t="n">
        <v>0</v>
      </c>
      <c r="J410" s="23" t="n">
        <v>0</v>
      </c>
      <c r="K410" s="24" t="n">
        <v>260</v>
      </c>
      <c r="L410" s="24" t="n">
        <v>520</v>
      </c>
      <c r="M410" s="81" t="s">
        <v>61</v>
      </c>
    </row>
    <row r="411" customFormat="false" ht="12.75" hidden="false" customHeight="true" outlineLevel="0" collapsed="false">
      <c r="B411" s="27" t="s">
        <v>530</v>
      </c>
      <c r="C411" s="76" t="s">
        <v>568</v>
      </c>
      <c r="D411" s="76" t="s">
        <v>547</v>
      </c>
      <c r="E411" s="27" t="s">
        <v>18</v>
      </c>
      <c r="F411" s="77"/>
      <c r="G411" s="28" t="n">
        <v>1</v>
      </c>
      <c r="H411" s="28" t="n">
        <v>1</v>
      </c>
      <c r="I411" s="28" t="n">
        <v>0</v>
      </c>
      <c r="J411" s="28" t="n">
        <v>0</v>
      </c>
      <c r="K411" s="29" t="n">
        <v>426</v>
      </c>
      <c r="L411" s="29" t="n">
        <v>426</v>
      </c>
      <c r="M411" s="78" t="s">
        <v>61</v>
      </c>
    </row>
    <row r="412" customFormat="false" ht="12.75" hidden="false" customHeight="true" outlineLevel="0" collapsed="false">
      <c r="B412" s="22" t="s">
        <v>530</v>
      </c>
      <c r="C412" s="79" t="s">
        <v>569</v>
      </c>
      <c r="D412" s="79" t="s">
        <v>547</v>
      </c>
      <c r="E412" s="22" t="s">
        <v>18</v>
      </c>
      <c r="F412" s="80"/>
      <c r="G412" s="23" t="n">
        <v>1</v>
      </c>
      <c r="H412" s="23" t="n">
        <v>1</v>
      </c>
      <c r="I412" s="23" t="n">
        <v>0</v>
      </c>
      <c r="J412" s="23" t="n">
        <v>0</v>
      </c>
      <c r="K412" s="24" t="n">
        <v>426</v>
      </c>
      <c r="L412" s="24" t="n">
        <v>426</v>
      </c>
      <c r="M412" s="81" t="s">
        <v>61</v>
      </c>
    </row>
    <row r="413" customFormat="false" ht="12.75" hidden="false" customHeight="true" outlineLevel="0" collapsed="false">
      <c r="B413" s="27" t="s">
        <v>530</v>
      </c>
      <c r="C413" s="76" t="s">
        <v>570</v>
      </c>
      <c r="D413" s="76" t="s">
        <v>547</v>
      </c>
      <c r="E413" s="27" t="s">
        <v>18</v>
      </c>
      <c r="F413" s="77"/>
      <c r="G413" s="28" t="n">
        <v>1</v>
      </c>
      <c r="H413" s="28" t="n">
        <v>1</v>
      </c>
      <c r="I413" s="28" t="n">
        <v>0</v>
      </c>
      <c r="J413" s="28" t="n">
        <v>0</v>
      </c>
      <c r="K413" s="29" t="n">
        <v>426</v>
      </c>
      <c r="L413" s="29" t="n">
        <v>426</v>
      </c>
      <c r="M413" s="78" t="s">
        <v>61</v>
      </c>
    </row>
    <row r="414" customFormat="false" ht="12.75" hidden="false" customHeight="true" outlineLevel="0" collapsed="false">
      <c r="B414" s="22" t="s">
        <v>530</v>
      </c>
      <c r="C414" s="79" t="s">
        <v>571</v>
      </c>
      <c r="D414" s="79" t="s">
        <v>572</v>
      </c>
      <c r="E414" s="22" t="s">
        <v>18</v>
      </c>
      <c r="F414" s="80"/>
      <c r="G414" s="23" t="n">
        <v>1</v>
      </c>
      <c r="H414" s="23" t="n">
        <v>1</v>
      </c>
      <c r="I414" s="23" t="n">
        <v>0</v>
      </c>
      <c r="J414" s="23" t="n">
        <v>0</v>
      </c>
      <c r="K414" s="24" t="n">
        <v>246</v>
      </c>
      <c r="L414" s="24" t="n">
        <v>246</v>
      </c>
      <c r="M414" s="81" t="s">
        <v>61</v>
      </c>
    </row>
    <row r="415" customFormat="false" ht="12.75" hidden="false" customHeight="true" outlineLevel="0" collapsed="false">
      <c r="B415" s="27" t="s">
        <v>530</v>
      </c>
      <c r="C415" s="76" t="s">
        <v>573</v>
      </c>
      <c r="D415" s="76" t="s">
        <v>547</v>
      </c>
      <c r="E415" s="27" t="s">
        <v>18</v>
      </c>
      <c r="F415" s="77"/>
      <c r="G415" s="28" t="n">
        <v>1</v>
      </c>
      <c r="H415" s="28" t="n">
        <v>1</v>
      </c>
      <c r="I415" s="28" t="n">
        <v>0</v>
      </c>
      <c r="J415" s="28" t="n">
        <v>0</v>
      </c>
      <c r="K415" s="29" t="n">
        <v>246</v>
      </c>
      <c r="L415" s="29" t="n">
        <v>246</v>
      </c>
      <c r="M415" s="78" t="s">
        <v>61</v>
      </c>
    </row>
    <row r="416" customFormat="false" ht="12.75" hidden="false" customHeight="true" outlineLevel="0" collapsed="false">
      <c r="B416" s="58" t="s">
        <v>530</v>
      </c>
      <c r="C416" s="18" t="s">
        <v>574</v>
      </c>
      <c r="D416" s="18" t="s">
        <v>575</v>
      </c>
      <c r="E416" s="58" t="s">
        <v>18</v>
      </c>
      <c r="F416" s="64"/>
      <c r="G416" s="84" t="n">
        <v>-1</v>
      </c>
      <c r="H416" s="84" t="n">
        <v>-1</v>
      </c>
      <c r="I416" s="19" t="n">
        <v>0</v>
      </c>
      <c r="J416" s="19" t="n">
        <v>0</v>
      </c>
      <c r="K416" s="20" t="n">
        <v>353.4</v>
      </c>
      <c r="L416" s="20" t="n">
        <v>-353</v>
      </c>
      <c r="M416" s="60" t="s">
        <v>61</v>
      </c>
    </row>
    <row r="417" customFormat="false" ht="12.75" hidden="false" customHeight="true" outlineLevel="0" collapsed="false">
      <c r="B417" s="58" t="s">
        <v>530</v>
      </c>
      <c r="C417" s="18" t="s">
        <v>576</v>
      </c>
      <c r="D417" s="18" t="s">
        <v>575</v>
      </c>
      <c r="E417" s="58" t="s">
        <v>18</v>
      </c>
      <c r="F417" s="64"/>
      <c r="G417" s="84" t="n">
        <v>-1</v>
      </c>
      <c r="H417" s="84" t="n">
        <v>-1</v>
      </c>
      <c r="I417" s="19" t="n">
        <v>0</v>
      </c>
      <c r="J417" s="19" t="n">
        <v>0</v>
      </c>
      <c r="K417" s="20" t="n">
        <v>443.4</v>
      </c>
      <c r="L417" s="20" t="n">
        <v>-443</v>
      </c>
      <c r="M417" s="60" t="s">
        <v>61</v>
      </c>
    </row>
    <row r="418" customFormat="false" ht="12.75" hidden="false" customHeight="true" outlineLevel="0" collapsed="false">
      <c r="B418" s="61"/>
      <c r="C418" s="62" t="s">
        <v>577</v>
      </c>
      <c r="D418" s="62"/>
      <c r="E418" s="62"/>
      <c r="F418" s="62"/>
      <c r="G418" s="63" t="n">
        <v>132</v>
      </c>
      <c r="H418" s="61"/>
      <c r="I418" s="61"/>
      <c r="J418" s="61"/>
      <c r="K418" s="61"/>
      <c r="L418" s="63" t="n">
        <v>103480.2</v>
      </c>
      <c r="M418" s="61"/>
    </row>
    <row r="419" customFormat="false" ht="13.5" hidden="false" customHeight="true" outlineLevel="0" collapsed="false">
      <c r="B419" s="66" t="s">
        <v>578</v>
      </c>
      <c r="C419" s="66"/>
      <c r="D419" s="66"/>
      <c r="E419" s="66"/>
      <c r="F419" s="66"/>
      <c r="G419" s="67" t="n">
        <v>767</v>
      </c>
      <c r="H419" s="68"/>
      <c r="I419" s="68"/>
      <c r="J419" s="68"/>
      <c r="K419" s="68"/>
      <c r="L419" s="67" t="n">
        <v>227615.08</v>
      </c>
      <c r="M419" s="68"/>
    </row>
    <row r="420" customFormat="false" ht="7.5" hidden="false" customHeight="true" outlineLevel="0" collapsed="false"/>
    <row r="421" customFormat="false" ht="15" hidden="false" customHeight="false" outlineLevel="0" collapsed="false">
      <c r="B421" s="75" t="s">
        <v>579</v>
      </c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</row>
    <row r="422" customFormat="false" ht="12.75" hidden="false" customHeight="true" outlineLevel="0" collapsed="false">
      <c r="B422" s="27" t="s">
        <v>84</v>
      </c>
      <c r="C422" s="76" t="s">
        <v>580</v>
      </c>
      <c r="D422" s="76" t="s">
        <v>86</v>
      </c>
      <c r="E422" s="27" t="s">
        <v>19</v>
      </c>
      <c r="F422" s="77"/>
      <c r="G422" s="28" t="n">
        <v>0</v>
      </c>
      <c r="H422" s="28" t="n">
        <v>1</v>
      </c>
      <c r="I422" s="28" t="n">
        <v>0</v>
      </c>
      <c r="J422" s="28" t="n">
        <v>1</v>
      </c>
      <c r="K422" s="28"/>
      <c r="L422" s="28" t="n">
        <v>0</v>
      </c>
      <c r="M422" s="78" t="s">
        <v>61</v>
      </c>
    </row>
    <row r="423" customFormat="false" ht="12.75" hidden="false" customHeight="true" outlineLevel="0" collapsed="false">
      <c r="B423" s="22" t="s">
        <v>84</v>
      </c>
      <c r="C423" s="79" t="s">
        <v>581</v>
      </c>
      <c r="D423" s="79" t="s">
        <v>582</v>
      </c>
      <c r="E423" s="22" t="s">
        <v>19</v>
      </c>
      <c r="F423" s="80"/>
      <c r="G423" s="23" t="n">
        <v>1</v>
      </c>
      <c r="H423" s="23" t="n">
        <v>1</v>
      </c>
      <c r="I423" s="23" t="n">
        <v>0</v>
      </c>
      <c r="J423" s="23" t="n">
        <v>0</v>
      </c>
      <c r="K423" s="23"/>
      <c r="L423" s="82" t="n">
        <v>0</v>
      </c>
      <c r="M423" s="81" t="s">
        <v>61</v>
      </c>
    </row>
    <row r="424" customFormat="false" ht="12.75" hidden="false" customHeight="true" outlineLevel="0" collapsed="false">
      <c r="B424" s="61"/>
      <c r="C424" s="62" t="s">
        <v>104</v>
      </c>
      <c r="D424" s="62"/>
      <c r="E424" s="62"/>
      <c r="F424" s="62"/>
      <c r="G424" s="63" t="n">
        <v>1</v>
      </c>
      <c r="H424" s="61"/>
      <c r="I424" s="61"/>
      <c r="J424" s="61"/>
      <c r="K424" s="61"/>
      <c r="L424" s="63" t="n">
        <v>0</v>
      </c>
      <c r="M424" s="61"/>
    </row>
    <row r="425" customFormat="false" ht="12.75" hidden="false" customHeight="true" outlineLevel="0" collapsed="false">
      <c r="B425" s="27" t="s">
        <v>126</v>
      </c>
      <c r="C425" s="76" t="s">
        <v>583</v>
      </c>
      <c r="D425" s="76" t="s">
        <v>584</v>
      </c>
      <c r="E425" s="27" t="s">
        <v>19</v>
      </c>
      <c r="F425" s="77"/>
      <c r="G425" s="28" t="n">
        <v>1</v>
      </c>
      <c r="H425" s="28" t="n">
        <v>1</v>
      </c>
      <c r="I425" s="28" t="n">
        <v>0</v>
      </c>
      <c r="J425" s="28" t="n">
        <v>0</v>
      </c>
      <c r="K425" s="28"/>
      <c r="L425" s="83" t="n">
        <v>0</v>
      </c>
      <c r="M425" s="78" t="s">
        <v>61</v>
      </c>
    </row>
    <row r="426" customFormat="false" ht="12.75" hidden="false" customHeight="true" outlineLevel="0" collapsed="false">
      <c r="B426" s="22" t="s">
        <v>126</v>
      </c>
      <c r="C426" s="79" t="s">
        <v>585</v>
      </c>
      <c r="D426" s="79" t="s">
        <v>86</v>
      </c>
      <c r="E426" s="22" t="s">
        <v>19</v>
      </c>
      <c r="F426" s="80"/>
      <c r="G426" s="23" t="n">
        <v>1</v>
      </c>
      <c r="H426" s="23" t="n">
        <v>1</v>
      </c>
      <c r="I426" s="23" t="n">
        <v>0</v>
      </c>
      <c r="J426" s="23" t="n">
        <v>0</v>
      </c>
      <c r="K426" s="23"/>
      <c r="L426" s="82" t="n">
        <v>0</v>
      </c>
      <c r="M426" s="81" t="s">
        <v>61</v>
      </c>
    </row>
    <row r="427" customFormat="false" ht="12.75" hidden="false" customHeight="true" outlineLevel="0" collapsed="false">
      <c r="B427" s="27" t="s">
        <v>126</v>
      </c>
      <c r="C427" s="76" t="s">
        <v>586</v>
      </c>
      <c r="D427" s="76" t="s">
        <v>86</v>
      </c>
      <c r="E427" s="27" t="s">
        <v>19</v>
      </c>
      <c r="F427" s="77"/>
      <c r="G427" s="28" t="n">
        <v>1</v>
      </c>
      <c r="H427" s="28" t="n">
        <v>1</v>
      </c>
      <c r="I427" s="28" t="n">
        <v>0</v>
      </c>
      <c r="J427" s="28" t="n">
        <v>0</v>
      </c>
      <c r="K427" s="28"/>
      <c r="L427" s="83" t="n">
        <v>0</v>
      </c>
      <c r="M427" s="78" t="s">
        <v>61</v>
      </c>
    </row>
    <row r="428" customFormat="false" ht="12.75" hidden="false" customHeight="true" outlineLevel="0" collapsed="false">
      <c r="B428" s="22" t="s">
        <v>126</v>
      </c>
      <c r="C428" s="79" t="s">
        <v>587</v>
      </c>
      <c r="D428" s="79" t="s">
        <v>86</v>
      </c>
      <c r="E428" s="22" t="s">
        <v>19</v>
      </c>
      <c r="F428" s="80"/>
      <c r="G428" s="23" t="n">
        <v>0</v>
      </c>
      <c r="H428" s="23" t="n">
        <v>1</v>
      </c>
      <c r="I428" s="23" t="n">
        <v>0</v>
      </c>
      <c r="J428" s="23" t="n">
        <v>1</v>
      </c>
      <c r="K428" s="23"/>
      <c r="L428" s="23" t="n">
        <v>0</v>
      </c>
      <c r="M428" s="81" t="s">
        <v>61</v>
      </c>
    </row>
    <row r="429" customFormat="false" ht="12.75" hidden="false" customHeight="true" outlineLevel="0" collapsed="false">
      <c r="B429" s="27" t="s">
        <v>126</v>
      </c>
      <c r="C429" s="76" t="s">
        <v>588</v>
      </c>
      <c r="D429" s="76" t="s">
        <v>86</v>
      </c>
      <c r="E429" s="27" t="s">
        <v>19</v>
      </c>
      <c r="F429" s="77"/>
      <c r="G429" s="28" t="n">
        <v>0</v>
      </c>
      <c r="H429" s="28" t="n">
        <v>1</v>
      </c>
      <c r="I429" s="28" t="n">
        <v>0</v>
      </c>
      <c r="J429" s="28" t="n">
        <v>1</v>
      </c>
      <c r="K429" s="29" t="n">
        <v>45500</v>
      </c>
      <c r="L429" s="28" t="n">
        <v>0</v>
      </c>
      <c r="M429" s="78" t="s">
        <v>61</v>
      </c>
    </row>
    <row r="430" customFormat="false" ht="12.75" hidden="false" customHeight="true" outlineLevel="0" collapsed="false">
      <c r="B430" s="22" t="s">
        <v>126</v>
      </c>
      <c r="C430" s="79" t="s">
        <v>589</v>
      </c>
      <c r="D430" s="79" t="s">
        <v>187</v>
      </c>
      <c r="E430" s="22" t="s">
        <v>19</v>
      </c>
      <c r="F430" s="80"/>
      <c r="G430" s="23" t="n">
        <v>1</v>
      </c>
      <c r="H430" s="23" t="n">
        <v>1</v>
      </c>
      <c r="I430" s="23" t="n">
        <v>0</v>
      </c>
      <c r="J430" s="23" t="n">
        <v>0</v>
      </c>
      <c r="K430" s="23"/>
      <c r="L430" s="82" t="n">
        <v>0</v>
      </c>
      <c r="M430" s="81" t="s">
        <v>61</v>
      </c>
    </row>
    <row r="431" customFormat="false" ht="12.75" hidden="false" customHeight="true" outlineLevel="0" collapsed="false">
      <c r="B431" s="27" t="s">
        <v>126</v>
      </c>
      <c r="C431" s="76" t="s">
        <v>590</v>
      </c>
      <c r="D431" s="76" t="s">
        <v>189</v>
      </c>
      <c r="E431" s="27" t="s">
        <v>19</v>
      </c>
      <c r="F431" s="77"/>
      <c r="G431" s="28" t="n">
        <v>2</v>
      </c>
      <c r="H431" s="28" t="n">
        <v>2</v>
      </c>
      <c r="I431" s="28" t="n">
        <v>0</v>
      </c>
      <c r="J431" s="28" t="n">
        <v>0</v>
      </c>
      <c r="K431" s="28"/>
      <c r="L431" s="83" t="n">
        <v>0</v>
      </c>
      <c r="M431" s="78" t="s">
        <v>61</v>
      </c>
    </row>
    <row r="432" customFormat="false" ht="12.75" hidden="false" customHeight="true" outlineLevel="0" collapsed="false">
      <c r="B432" s="22" t="s">
        <v>126</v>
      </c>
      <c r="C432" s="79" t="s">
        <v>591</v>
      </c>
      <c r="D432" s="79" t="s">
        <v>189</v>
      </c>
      <c r="E432" s="22" t="s">
        <v>19</v>
      </c>
      <c r="F432" s="80"/>
      <c r="G432" s="23" t="n">
        <v>1</v>
      </c>
      <c r="H432" s="23" t="n">
        <v>1</v>
      </c>
      <c r="I432" s="23" t="n">
        <v>0</v>
      </c>
      <c r="J432" s="23" t="n">
        <v>0</v>
      </c>
      <c r="K432" s="23"/>
      <c r="L432" s="82" t="n">
        <v>0</v>
      </c>
      <c r="M432" s="81" t="s">
        <v>61</v>
      </c>
    </row>
    <row r="433" customFormat="false" ht="12.75" hidden="false" customHeight="true" outlineLevel="0" collapsed="false">
      <c r="B433" s="27" t="s">
        <v>126</v>
      </c>
      <c r="C433" s="76" t="s">
        <v>592</v>
      </c>
      <c r="D433" s="76" t="s">
        <v>189</v>
      </c>
      <c r="E433" s="27" t="s">
        <v>19</v>
      </c>
      <c r="F433" s="77"/>
      <c r="G433" s="28" t="n">
        <v>1</v>
      </c>
      <c r="H433" s="28" t="n">
        <v>1</v>
      </c>
      <c r="I433" s="28" t="n">
        <v>0</v>
      </c>
      <c r="J433" s="28" t="n">
        <v>0</v>
      </c>
      <c r="K433" s="28"/>
      <c r="L433" s="83" t="n">
        <v>0</v>
      </c>
      <c r="M433" s="78" t="s">
        <v>61</v>
      </c>
    </row>
    <row r="434" customFormat="false" ht="12.75" hidden="false" customHeight="true" outlineLevel="0" collapsed="false">
      <c r="B434" s="22" t="s">
        <v>126</v>
      </c>
      <c r="C434" s="79" t="s">
        <v>593</v>
      </c>
      <c r="D434" s="79" t="s">
        <v>189</v>
      </c>
      <c r="E434" s="22" t="s">
        <v>19</v>
      </c>
      <c r="F434" s="80"/>
      <c r="G434" s="23" t="n">
        <v>1</v>
      </c>
      <c r="H434" s="23" t="n">
        <v>1</v>
      </c>
      <c r="I434" s="23" t="n">
        <v>0</v>
      </c>
      <c r="J434" s="23" t="n">
        <v>0</v>
      </c>
      <c r="K434" s="23"/>
      <c r="L434" s="82" t="n">
        <v>0</v>
      </c>
      <c r="M434" s="81" t="s">
        <v>61</v>
      </c>
    </row>
    <row r="435" customFormat="false" ht="12.75" hidden="false" customHeight="true" outlineLevel="0" collapsed="false">
      <c r="B435" s="27" t="s">
        <v>126</v>
      </c>
      <c r="C435" s="76" t="s">
        <v>594</v>
      </c>
      <c r="D435" s="76" t="s">
        <v>189</v>
      </c>
      <c r="E435" s="27" t="s">
        <v>19</v>
      </c>
      <c r="F435" s="77"/>
      <c r="G435" s="28" t="n">
        <v>1</v>
      </c>
      <c r="H435" s="28" t="n">
        <v>1</v>
      </c>
      <c r="I435" s="28" t="n">
        <v>0</v>
      </c>
      <c r="J435" s="28" t="n">
        <v>0</v>
      </c>
      <c r="K435" s="28"/>
      <c r="L435" s="83" t="n">
        <v>0</v>
      </c>
      <c r="M435" s="78" t="s">
        <v>61</v>
      </c>
    </row>
    <row r="436" customFormat="false" ht="12.75" hidden="false" customHeight="true" outlineLevel="0" collapsed="false">
      <c r="B436" s="22" t="s">
        <v>126</v>
      </c>
      <c r="C436" s="79" t="s">
        <v>595</v>
      </c>
      <c r="D436" s="79" t="s">
        <v>596</v>
      </c>
      <c r="E436" s="22" t="s">
        <v>19</v>
      </c>
      <c r="F436" s="80"/>
      <c r="G436" s="23" t="n">
        <v>1</v>
      </c>
      <c r="H436" s="23" t="n">
        <v>1</v>
      </c>
      <c r="I436" s="23" t="n">
        <v>0</v>
      </c>
      <c r="J436" s="23" t="n">
        <v>0</v>
      </c>
      <c r="K436" s="23"/>
      <c r="L436" s="82" t="n">
        <v>0</v>
      </c>
      <c r="M436" s="81" t="s">
        <v>61</v>
      </c>
    </row>
    <row r="437" customFormat="false" ht="12.75" hidden="false" customHeight="true" outlineLevel="0" collapsed="false">
      <c r="B437" s="27" t="s">
        <v>126</v>
      </c>
      <c r="C437" s="76" t="s">
        <v>597</v>
      </c>
      <c r="D437" s="76" t="s">
        <v>596</v>
      </c>
      <c r="E437" s="27" t="s">
        <v>19</v>
      </c>
      <c r="F437" s="77"/>
      <c r="G437" s="28" t="n">
        <v>1</v>
      </c>
      <c r="H437" s="28" t="n">
        <v>1</v>
      </c>
      <c r="I437" s="28" t="n">
        <v>0</v>
      </c>
      <c r="J437" s="28" t="n">
        <v>0</v>
      </c>
      <c r="K437" s="28"/>
      <c r="L437" s="83" t="n">
        <v>0</v>
      </c>
      <c r="M437" s="78" t="s">
        <v>61</v>
      </c>
    </row>
    <row r="438" customFormat="false" ht="12.75" hidden="false" customHeight="true" outlineLevel="0" collapsed="false">
      <c r="B438" s="22" t="s">
        <v>126</v>
      </c>
      <c r="C438" s="79" t="s">
        <v>598</v>
      </c>
      <c r="D438" s="79" t="s">
        <v>134</v>
      </c>
      <c r="E438" s="22" t="s">
        <v>19</v>
      </c>
      <c r="F438" s="80"/>
      <c r="G438" s="23" t="n">
        <v>1</v>
      </c>
      <c r="H438" s="23" t="n">
        <v>1</v>
      </c>
      <c r="I438" s="23" t="n">
        <v>0</v>
      </c>
      <c r="J438" s="23" t="n">
        <v>0</v>
      </c>
      <c r="K438" s="23"/>
      <c r="L438" s="82" t="n">
        <v>0</v>
      </c>
      <c r="M438" s="81" t="s">
        <v>61</v>
      </c>
    </row>
    <row r="439" customFormat="false" ht="12.75" hidden="false" customHeight="true" outlineLevel="0" collapsed="false">
      <c r="B439" s="27" t="s">
        <v>126</v>
      </c>
      <c r="C439" s="27" t="s">
        <v>599</v>
      </c>
      <c r="D439" s="27" t="s">
        <v>600</v>
      </c>
      <c r="E439" s="27" t="s">
        <v>19</v>
      </c>
      <c r="F439" s="77"/>
      <c r="G439" s="28" t="n">
        <v>1</v>
      </c>
      <c r="H439" s="28" t="n">
        <v>1</v>
      </c>
      <c r="I439" s="28" t="n">
        <v>0</v>
      </c>
      <c r="J439" s="28" t="n">
        <v>0</v>
      </c>
      <c r="K439" s="28"/>
      <c r="L439" s="83" t="n">
        <v>0</v>
      </c>
      <c r="M439" s="78" t="s">
        <v>61</v>
      </c>
    </row>
    <row r="440" customFormat="false" ht="12.75" hidden="false" customHeight="true" outlineLevel="0" collapsed="false">
      <c r="B440" s="61"/>
      <c r="C440" s="62" t="s">
        <v>152</v>
      </c>
      <c r="D440" s="62"/>
      <c r="E440" s="62"/>
      <c r="F440" s="62"/>
      <c r="G440" s="63" t="n">
        <v>14</v>
      </c>
      <c r="H440" s="61"/>
      <c r="I440" s="61"/>
      <c r="J440" s="61"/>
      <c r="K440" s="61"/>
      <c r="L440" s="63" t="n">
        <v>0</v>
      </c>
      <c r="M440" s="61"/>
    </row>
    <row r="441" customFormat="false" ht="12.75" hidden="false" customHeight="true" outlineLevel="0" collapsed="false">
      <c r="B441" s="27" t="s">
        <v>153</v>
      </c>
      <c r="C441" s="27" t="s">
        <v>601</v>
      </c>
      <c r="D441" s="27" t="s">
        <v>600</v>
      </c>
      <c r="E441" s="27" t="s">
        <v>19</v>
      </c>
      <c r="F441" s="77"/>
      <c r="G441" s="28" t="n">
        <v>1</v>
      </c>
      <c r="H441" s="28" t="n">
        <v>1</v>
      </c>
      <c r="I441" s="28" t="n">
        <v>0</v>
      </c>
      <c r="J441" s="28" t="n">
        <v>0</v>
      </c>
      <c r="K441" s="28"/>
      <c r="L441" s="83" t="n">
        <v>0</v>
      </c>
      <c r="M441" s="78" t="s">
        <v>61</v>
      </c>
    </row>
    <row r="442" customFormat="false" ht="12.75" hidden="false" customHeight="true" outlineLevel="0" collapsed="false">
      <c r="B442" s="61"/>
      <c r="C442" s="62" t="s">
        <v>163</v>
      </c>
      <c r="D442" s="62"/>
      <c r="E442" s="62"/>
      <c r="F442" s="62"/>
      <c r="G442" s="63" t="n">
        <v>1</v>
      </c>
      <c r="H442" s="61"/>
      <c r="I442" s="61"/>
      <c r="J442" s="61"/>
      <c r="K442" s="61"/>
      <c r="L442" s="63" t="n">
        <v>0</v>
      </c>
      <c r="M442" s="61"/>
    </row>
    <row r="443" customFormat="false" ht="12.75" hidden="false" customHeight="true" outlineLevel="0" collapsed="false">
      <c r="B443" s="27" t="s">
        <v>361</v>
      </c>
      <c r="C443" s="76" t="s">
        <v>602</v>
      </c>
      <c r="D443" s="76" t="s">
        <v>363</v>
      </c>
      <c r="E443" s="27" t="s">
        <v>19</v>
      </c>
      <c r="F443" s="77"/>
      <c r="G443" s="28" t="n">
        <v>1</v>
      </c>
      <c r="H443" s="28" t="n">
        <v>1</v>
      </c>
      <c r="I443" s="28" t="n">
        <v>0</v>
      </c>
      <c r="J443" s="28" t="n">
        <v>0</v>
      </c>
      <c r="K443" s="28"/>
      <c r="L443" s="83" t="n">
        <v>0</v>
      </c>
      <c r="M443" s="78" t="s">
        <v>61</v>
      </c>
    </row>
    <row r="444" customFormat="false" ht="12.75" hidden="false" customHeight="true" outlineLevel="0" collapsed="false">
      <c r="B444" s="22" t="s">
        <v>361</v>
      </c>
      <c r="C444" s="79" t="s">
        <v>603</v>
      </c>
      <c r="D444" s="79" t="s">
        <v>363</v>
      </c>
      <c r="E444" s="22" t="s">
        <v>19</v>
      </c>
      <c r="F444" s="80"/>
      <c r="G444" s="23" t="n">
        <v>1</v>
      </c>
      <c r="H444" s="23" t="n">
        <v>1</v>
      </c>
      <c r="I444" s="23" t="n">
        <v>0</v>
      </c>
      <c r="J444" s="23" t="n">
        <v>0</v>
      </c>
      <c r="K444" s="23"/>
      <c r="L444" s="82" t="n">
        <v>0</v>
      </c>
      <c r="M444" s="81" t="s">
        <v>61</v>
      </c>
    </row>
    <row r="445" customFormat="false" ht="12.75" hidden="false" customHeight="true" outlineLevel="0" collapsed="false">
      <c r="B445" s="27" t="s">
        <v>361</v>
      </c>
      <c r="C445" s="76" t="s">
        <v>604</v>
      </c>
      <c r="D445" s="76" t="s">
        <v>363</v>
      </c>
      <c r="E445" s="27" t="s">
        <v>19</v>
      </c>
      <c r="F445" s="77"/>
      <c r="G445" s="28" t="n">
        <v>1</v>
      </c>
      <c r="H445" s="28" t="n">
        <v>1</v>
      </c>
      <c r="I445" s="28" t="n">
        <v>0</v>
      </c>
      <c r="J445" s="28" t="n">
        <v>0</v>
      </c>
      <c r="K445" s="28"/>
      <c r="L445" s="83" t="n">
        <v>0</v>
      </c>
      <c r="M445" s="78" t="s">
        <v>61</v>
      </c>
    </row>
    <row r="446" customFormat="false" ht="12.75" hidden="false" customHeight="true" outlineLevel="0" collapsed="false">
      <c r="B446" s="61"/>
      <c r="C446" s="62" t="s">
        <v>365</v>
      </c>
      <c r="D446" s="62"/>
      <c r="E446" s="62"/>
      <c r="F446" s="62"/>
      <c r="G446" s="63" t="n">
        <v>3</v>
      </c>
      <c r="H446" s="61"/>
      <c r="I446" s="61"/>
      <c r="J446" s="61"/>
      <c r="K446" s="61"/>
      <c r="L446" s="63" t="n">
        <v>0</v>
      </c>
      <c r="M446" s="61"/>
    </row>
    <row r="447" customFormat="false" ht="13.5" hidden="false" customHeight="true" outlineLevel="0" collapsed="false">
      <c r="B447" s="66" t="s">
        <v>605</v>
      </c>
      <c r="C447" s="66"/>
      <c r="D447" s="66"/>
      <c r="E447" s="66"/>
      <c r="F447" s="66"/>
      <c r="G447" s="67" t="n">
        <v>19</v>
      </c>
      <c r="H447" s="68"/>
      <c r="I447" s="68"/>
      <c r="J447" s="68"/>
      <c r="K447" s="68"/>
      <c r="L447" s="67" t="n">
        <v>0</v>
      </c>
      <c r="M447" s="68"/>
    </row>
    <row r="448" customFormat="false" ht="7.5" hidden="false" customHeight="true" outlineLevel="0" collapsed="false"/>
    <row r="449" customFormat="false" ht="15" hidden="false" customHeight="false" outlineLevel="0" collapsed="false">
      <c r="B449" s="75" t="s">
        <v>606</v>
      </c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</row>
    <row r="450" customFormat="false" ht="12.75" hidden="false" customHeight="true" outlineLevel="0" collapsed="false">
      <c r="B450" s="27" t="s">
        <v>393</v>
      </c>
      <c r="C450" s="27" t="s">
        <v>607</v>
      </c>
      <c r="D450" s="27"/>
      <c r="E450" s="27"/>
      <c r="F450" s="77"/>
      <c r="G450" s="28" t="n">
        <v>2</v>
      </c>
      <c r="H450" s="28" t="n">
        <v>2</v>
      </c>
      <c r="I450" s="28" t="n">
        <v>0</v>
      </c>
      <c r="J450" s="28" t="n">
        <v>0</v>
      </c>
      <c r="K450" s="28"/>
      <c r="L450" s="86" t="s">
        <v>608</v>
      </c>
      <c r="M450" s="78" t="s">
        <v>61</v>
      </c>
    </row>
    <row r="451" customFormat="false" ht="12.75" hidden="false" customHeight="true" outlineLevel="0" collapsed="false">
      <c r="B451" s="61"/>
      <c r="C451" s="62" t="s">
        <v>401</v>
      </c>
      <c r="D451" s="62"/>
      <c r="E451" s="62"/>
      <c r="F451" s="62"/>
      <c r="G451" s="63" t="n">
        <v>2</v>
      </c>
      <c r="H451" s="61"/>
      <c r="I451" s="61"/>
      <c r="J451" s="61"/>
      <c r="K451" s="61"/>
      <c r="L451" s="63" t="n">
        <v>0</v>
      </c>
      <c r="M451" s="61"/>
    </row>
    <row r="452" customFormat="false" ht="12.75" hidden="false" customHeight="true" outlineLevel="0" collapsed="false">
      <c r="B452" s="27" t="s">
        <v>153</v>
      </c>
      <c r="C452" s="76" t="s">
        <v>609</v>
      </c>
      <c r="D452" s="76" t="s">
        <v>610</v>
      </c>
      <c r="E452" s="27"/>
      <c r="F452" s="77"/>
      <c r="G452" s="28" t="n">
        <v>0</v>
      </c>
      <c r="H452" s="28" t="n">
        <v>1</v>
      </c>
      <c r="I452" s="28" t="n">
        <v>0</v>
      </c>
      <c r="J452" s="28" t="n">
        <v>1</v>
      </c>
      <c r="K452" s="29" t="n">
        <v>12738</v>
      </c>
      <c r="L452" s="28" t="n">
        <v>0</v>
      </c>
      <c r="M452" s="78" t="s">
        <v>61</v>
      </c>
    </row>
    <row r="453" customFormat="false" ht="12.75" hidden="false" customHeight="true" outlineLevel="0" collapsed="false">
      <c r="B453" s="61"/>
      <c r="C453" s="62" t="s">
        <v>163</v>
      </c>
      <c r="D453" s="62"/>
      <c r="E453" s="62"/>
      <c r="F453" s="62"/>
      <c r="G453" s="63" t="n">
        <v>0</v>
      </c>
      <c r="H453" s="61"/>
      <c r="I453" s="61"/>
      <c r="J453" s="61"/>
      <c r="K453" s="61"/>
      <c r="L453" s="63" t="n">
        <v>0</v>
      </c>
      <c r="M453" s="61"/>
    </row>
    <row r="454" customFormat="false" ht="13.5" hidden="false" customHeight="true" outlineLevel="0" collapsed="false">
      <c r="B454" s="66" t="s">
        <v>611</v>
      </c>
      <c r="C454" s="66"/>
      <c r="D454" s="66"/>
      <c r="E454" s="66"/>
      <c r="F454" s="66"/>
      <c r="G454" s="67" t="n">
        <v>2</v>
      </c>
      <c r="H454" s="68"/>
      <c r="I454" s="68"/>
      <c r="J454" s="68"/>
      <c r="K454" s="68"/>
      <c r="L454" s="67" t="n">
        <v>0</v>
      </c>
      <c r="M454" s="68"/>
    </row>
    <row r="455" customFormat="false" ht="7.5" hidden="false" customHeight="true" outlineLevel="0" collapsed="false"/>
    <row r="456" customFormat="false" ht="15" hidden="false" customHeight="false" outlineLevel="0" collapsed="false">
      <c r="B456" s="75" t="s">
        <v>612</v>
      </c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</row>
    <row r="457" customFormat="false" ht="12.75" hidden="false" customHeight="true" outlineLevel="0" collapsed="false">
      <c r="B457" s="27" t="s">
        <v>279</v>
      </c>
      <c r="C457" s="76" t="s">
        <v>613</v>
      </c>
      <c r="D457" s="76" t="s">
        <v>371</v>
      </c>
      <c r="E457" s="27" t="s">
        <v>614</v>
      </c>
      <c r="F457" s="77"/>
      <c r="G457" s="28" t="n">
        <v>0</v>
      </c>
      <c r="H457" s="28" t="n">
        <v>0</v>
      </c>
      <c r="I457" s="28" t="n">
        <v>21</v>
      </c>
      <c r="J457" s="28" t="n">
        <v>21</v>
      </c>
      <c r="K457" s="29" t="n">
        <v>4000</v>
      </c>
      <c r="L457" s="28" t="n">
        <v>0</v>
      </c>
      <c r="M457" s="78" t="s">
        <v>61</v>
      </c>
    </row>
    <row r="458" customFormat="false" ht="15" hidden="false" customHeight="false" outlineLevel="0" collapsed="false">
      <c r="B458" s="61"/>
      <c r="C458" s="62" t="s">
        <v>284</v>
      </c>
      <c r="D458" s="62"/>
      <c r="E458" s="62"/>
      <c r="F458" s="62"/>
      <c r="G458" s="63" t="n">
        <v>0</v>
      </c>
      <c r="H458" s="61"/>
      <c r="I458" s="61"/>
      <c r="J458" s="61"/>
      <c r="K458" s="61"/>
      <c r="L458" s="63" t="n">
        <v>0</v>
      </c>
      <c r="M458" s="61"/>
    </row>
    <row r="459" customFormat="false" ht="13.5" hidden="false" customHeight="true" outlineLevel="0" collapsed="false">
      <c r="B459" s="66" t="s">
        <v>615</v>
      </c>
      <c r="C459" s="66"/>
      <c r="D459" s="66"/>
      <c r="E459" s="66"/>
      <c r="F459" s="66"/>
      <c r="G459" s="67" t="n">
        <v>0</v>
      </c>
      <c r="H459" s="68"/>
      <c r="I459" s="68"/>
      <c r="J459" s="68"/>
      <c r="K459" s="68"/>
      <c r="L459" s="67" t="n">
        <v>0</v>
      </c>
      <c r="M459" s="68"/>
    </row>
    <row r="461" customFormat="false" ht="13.5" hidden="false" customHeight="true" outlineLevel="0" collapsed="false">
      <c r="B461" s="33" t="s">
        <v>616</v>
      </c>
      <c r="C461" s="33"/>
      <c r="D461" s="33"/>
      <c r="E461" s="33"/>
      <c r="F461" s="33"/>
      <c r="G461" s="35" t="n">
        <v>3668</v>
      </c>
      <c r="H461" s="37"/>
      <c r="I461" s="37"/>
      <c r="J461" s="37"/>
      <c r="K461" s="37"/>
      <c r="L461" s="35" t="n">
        <v>4492177.87</v>
      </c>
      <c r="M461" s="37"/>
    </row>
    <row r="463" customFormat="false" ht="15" hidden="false" customHeight="false" outlineLevel="0" collapsed="false">
      <c r="B463" s="50" t="s">
        <v>617</v>
      </c>
    </row>
  </sheetData>
  <mergeCells count="76">
    <mergeCell ref="B2:M2"/>
    <mergeCell ref="B3:M3"/>
    <mergeCell ref="B5:M5"/>
    <mergeCell ref="B8:M8"/>
    <mergeCell ref="C11:F11"/>
    <mergeCell ref="C15:F15"/>
    <mergeCell ref="C22:F22"/>
    <mergeCell ref="C36:F36"/>
    <mergeCell ref="C39:F39"/>
    <mergeCell ref="C51:F51"/>
    <mergeCell ref="C73:F73"/>
    <mergeCell ref="C79:F79"/>
    <mergeCell ref="B80:F80"/>
    <mergeCell ref="B82:M82"/>
    <mergeCell ref="C85:F85"/>
    <mergeCell ref="C93:F93"/>
    <mergeCell ref="C95:F95"/>
    <mergeCell ref="C116:F116"/>
    <mergeCell ref="C123:F123"/>
    <mergeCell ref="B124:F124"/>
    <mergeCell ref="B126:M126"/>
    <mergeCell ref="C131:F131"/>
    <mergeCell ref="B132:F132"/>
    <mergeCell ref="B134:M134"/>
    <mergeCell ref="C137:F137"/>
    <mergeCell ref="C140:F140"/>
    <mergeCell ref="C161:F161"/>
    <mergeCell ref="C165:F165"/>
    <mergeCell ref="C172:F172"/>
    <mergeCell ref="C176:F176"/>
    <mergeCell ref="C188:F188"/>
    <mergeCell ref="C191:F191"/>
    <mergeCell ref="C196:F196"/>
    <mergeCell ref="C198:F198"/>
    <mergeCell ref="C203:F203"/>
    <mergeCell ref="C207:F207"/>
    <mergeCell ref="C216:F216"/>
    <mergeCell ref="C218:F218"/>
    <mergeCell ref="C233:F233"/>
    <mergeCell ref="C235:F235"/>
    <mergeCell ref="C237:F237"/>
    <mergeCell ref="C240:F240"/>
    <mergeCell ref="B241:F241"/>
    <mergeCell ref="B243:M243"/>
    <mergeCell ref="C250:F250"/>
    <mergeCell ref="C255:F255"/>
    <mergeCell ref="C257:F257"/>
    <mergeCell ref="C265:F265"/>
    <mergeCell ref="C273:F273"/>
    <mergeCell ref="B274:F274"/>
    <mergeCell ref="B276:M276"/>
    <mergeCell ref="C283:F283"/>
    <mergeCell ref="B284:F284"/>
    <mergeCell ref="B286:M286"/>
    <mergeCell ref="C294:F294"/>
    <mergeCell ref="C314:F314"/>
    <mergeCell ref="C320:F320"/>
    <mergeCell ref="C348:F348"/>
    <mergeCell ref="C362:F362"/>
    <mergeCell ref="C378:F378"/>
    <mergeCell ref="C418:F418"/>
    <mergeCell ref="B419:F419"/>
    <mergeCell ref="B421:M421"/>
    <mergeCell ref="C424:F424"/>
    <mergeCell ref="C440:F440"/>
    <mergeCell ref="C442:F442"/>
    <mergeCell ref="C446:F446"/>
    <mergeCell ref="B447:F447"/>
    <mergeCell ref="B449:M449"/>
    <mergeCell ref="C451:F451"/>
    <mergeCell ref="C453:F453"/>
    <mergeCell ref="B454:F454"/>
    <mergeCell ref="B456:M456"/>
    <mergeCell ref="C458:F458"/>
    <mergeCell ref="B459:F459"/>
    <mergeCell ref="B461:F4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B3E"/>
    <pageSetUpPr fitToPage="false"/>
  </sheetPr>
  <dimension ref="B1:M4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7"/>
    <col collapsed="false" customWidth="true" hidden="false" outlineLevel="0" max="10" min="10" style="0" width="11"/>
    <col collapsed="false" customWidth="true" hidden="false" outlineLevel="0" max="11" min="11" style="0" width="7"/>
    <col collapsed="false" customWidth="true" hidden="false" outlineLevel="0" max="12" min="12" style="0" width="11"/>
    <col collapsed="false" customWidth="true" hidden="false" outlineLevel="0" max="13" min="13" style="0" width="18"/>
    <col collapsed="false" customWidth="true" hidden="false" outlineLevel="0" max="14" min="14" style="0" width="2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" t="s">
        <v>618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3.5" hidden="false" customHeight="true" outlineLevel="0" collapsed="false">
      <c r="B3" s="2" t="s">
        <v>619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7.5" hidden="false" customHeight="true" outlineLevel="0" collapsed="false"/>
    <row r="5" customFormat="false" ht="15.75" hidden="false" customHeight="true" outlineLevel="0" collapsed="false">
      <c r="B5" s="87" t="s">
        <v>620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</row>
    <row r="6" customFormat="false" ht="7.5" hidden="false" customHeight="true" outlineLevel="0" collapsed="false"/>
    <row r="7" customFormat="false" ht="31.5" hidden="false" customHeight="true" outlineLevel="0" collapsed="false">
      <c r="B7" s="53" t="s">
        <v>45</v>
      </c>
      <c r="C7" s="54" t="s">
        <v>46</v>
      </c>
      <c r="D7" s="53" t="s">
        <v>47</v>
      </c>
      <c r="E7" s="53" t="s">
        <v>3</v>
      </c>
      <c r="F7" s="55" t="s">
        <v>621</v>
      </c>
      <c r="G7" s="56" t="s">
        <v>622</v>
      </c>
      <c r="H7" s="56" t="s">
        <v>623</v>
      </c>
      <c r="I7" s="56" t="s">
        <v>624</v>
      </c>
      <c r="J7" s="56" t="s">
        <v>625</v>
      </c>
      <c r="K7" s="56" t="s">
        <v>626</v>
      </c>
      <c r="L7" s="56" t="s">
        <v>627</v>
      </c>
      <c r="M7" s="53" t="s">
        <v>8</v>
      </c>
    </row>
    <row r="8" customFormat="false" ht="15" hidden="false" customHeight="false" outlineLevel="0" collapsed="false">
      <c r="B8" s="57" t="s">
        <v>56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</row>
    <row r="9" customFormat="false" ht="12.75" hidden="false" customHeight="true" outlineLevel="0" collapsed="false">
      <c r="B9" s="58" t="s">
        <v>57</v>
      </c>
      <c r="C9" s="18" t="s">
        <v>58</v>
      </c>
      <c r="D9" s="18" t="s">
        <v>59</v>
      </c>
      <c r="E9" s="58" t="s">
        <v>9</v>
      </c>
      <c r="F9" s="59" t="s">
        <v>60</v>
      </c>
      <c r="G9" s="20" t="n">
        <v>1</v>
      </c>
      <c r="H9" s="20" t="n">
        <v>12500</v>
      </c>
      <c r="I9" s="88" t="n">
        <v>1</v>
      </c>
      <c r="J9" s="88" t="n">
        <v>12500</v>
      </c>
      <c r="K9" s="20" t="n">
        <f aca="false">IF(I9="","—",IFERROR(I9-G9,""))</f>
        <v>0</v>
      </c>
      <c r="L9" s="20" t="n">
        <f aca="false">IF(J9="","—",IFERROR(J9-H9,""))</f>
        <v>0</v>
      </c>
      <c r="M9" s="89"/>
    </row>
    <row r="10" customFormat="false" ht="12.75" hidden="false" customHeight="true" outlineLevel="0" collapsed="false">
      <c r="B10" s="58" t="s">
        <v>57</v>
      </c>
      <c r="C10" s="18" t="s">
        <v>62</v>
      </c>
      <c r="D10" s="18" t="s">
        <v>63</v>
      </c>
      <c r="E10" s="58" t="s">
        <v>9</v>
      </c>
      <c r="F10" s="59" t="s">
        <v>64</v>
      </c>
      <c r="G10" s="20" t="n">
        <v>1</v>
      </c>
      <c r="H10" s="20" t="n">
        <v>2050</v>
      </c>
      <c r="I10" s="88" t="n">
        <v>1</v>
      </c>
      <c r="J10" s="88" t="n">
        <v>2050</v>
      </c>
      <c r="K10" s="20" t="n">
        <f aca="false">IF(I10="","—",IFERROR(I10-G10,""))</f>
        <v>0</v>
      </c>
      <c r="L10" s="20" t="n">
        <f aca="false">IF(J10="","—",IFERROR(J10-H10,""))</f>
        <v>0</v>
      </c>
      <c r="M10" s="89"/>
    </row>
    <row r="11" customFormat="false" ht="12.75" hidden="false" customHeight="true" outlineLevel="0" collapsed="false">
      <c r="B11" s="58" t="s">
        <v>66</v>
      </c>
      <c r="C11" s="18" t="s">
        <v>67</v>
      </c>
      <c r="D11" s="18" t="s">
        <v>68</v>
      </c>
      <c r="E11" s="58" t="s">
        <v>9</v>
      </c>
      <c r="F11" s="59" t="s">
        <v>60</v>
      </c>
      <c r="G11" s="20" t="n">
        <v>2</v>
      </c>
      <c r="H11" s="20" t="n">
        <v>6600</v>
      </c>
      <c r="I11" s="88" t="n">
        <v>2</v>
      </c>
      <c r="J11" s="88" t="n">
        <v>6600</v>
      </c>
      <c r="K11" s="20" t="n">
        <f aca="false">IF(I11="","—",IFERROR(I11-G11,""))</f>
        <v>0</v>
      </c>
      <c r="L11" s="20" t="n">
        <f aca="false">IF(J11="","—",IFERROR(J11-H11,""))</f>
        <v>0</v>
      </c>
      <c r="M11" s="89"/>
    </row>
    <row r="12" customFormat="false" ht="12.75" hidden="false" customHeight="true" outlineLevel="0" collapsed="false">
      <c r="B12" s="58" t="s">
        <v>66</v>
      </c>
      <c r="C12" s="18" t="s">
        <v>69</v>
      </c>
      <c r="D12" s="18" t="s">
        <v>68</v>
      </c>
      <c r="E12" s="58" t="s">
        <v>9</v>
      </c>
      <c r="F12" s="59" t="s">
        <v>60</v>
      </c>
      <c r="G12" s="20" t="n">
        <v>2</v>
      </c>
      <c r="H12" s="20" t="n">
        <v>4000</v>
      </c>
      <c r="I12" s="88" t="n">
        <v>2</v>
      </c>
      <c r="J12" s="88" t="n">
        <v>4000</v>
      </c>
      <c r="K12" s="20" t="n">
        <f aca="false">IF(I12="","—",IFERROR(I12-G12,""))</f>
        <v>0</v>
      </c>
      <c r="L12" s="20" t="n">
        <f aca="false">IF(J12="","—",IFERROR(J12-H12,""))</f>
        <v>0</v>
      </c>
      <c r="M12" s="89"/>
    </row>
    <row r="13" customFormat="false" ht="12.75" hidden="false" customHeight="true" outlineLevel="0" collapsed="false">
      <c r="B13" s="58" t="s">
        <v>66</v>
      </c>
      <c r="C13" s="18" t="s">
        <v>70</v>
      </c>
      <c r="D13" s="18" t="s">
        <v>68</v>
      </c>
      <c r="E13" s="58" t="s">
        <v>9</v>
      </c>
      <c r="F13" s="59" t="s">
        <v>71</v>
      </c>
      <c r="G13" s="20" t="n">
        <v>1</v>
      </c>
      <c r="H13" s="20" t="n">
        <v>2200</v>
      </c>
      <c r="I13" s="88" t="n">
        <v>1</v>
      </c>
      <c r="J13" s="88" t="n">
        <v>2200</v>
      </c>
      <c r="K13" s="20" t="n">
        <f aca="false">IF(I13="","—",IFERROR(I13-G13,""))</f>
        <v>0</v>
      </c>
      <c r="L13" s="20" t="n">
        <f aca="false">IF(J13="","—",IFERROR(J13-H13,""))</f>
        <v>0</v>
      </c>
      <c r="M13" s="89"/>
    </row>
    <row r="14" customFormat="false" ht="12.75" hidden="false" customHeight="true" outlineLevel="0" collapsed="false">
      <c r="B14" s="58" t="s">
        <v>73</v>
      </c>
      <c r="C14" s="58" t="s">
        <v>74</v>
      </c>
      <c r="D14" s="58" t="s">
        <v>75</v>
      </c>
      <c r="E14" s="58" t="s">
        <v>9</v>
      </c>
      <c r="F14" s="64" t="s">
        <v>76</v>
      </c>
      <c r="G14" s="20" t="n">
        <v>113</v>
      </c>
      <c r="H14" s="20" t="n">
        <v>22600</v>
      </c>
      <c r="I14" s="88" t="n">
        <v>113</v>
      </c>
      <c r="J14" s="88" t="n">
        <v>22600</v>
      </c>
      <c r="K14" s="20" t="n">
        <f aca="false">IF(I14="","—",IFERROR(I14-G14,""))</f>
        <v>0</v>
      </c>
      <c r="L14" s="20" t="n">
        <f aca="false">IF(J14="","—",IFERROR(J14-H14,""))</f>
        <v>0</v>
      </c>
      <c r="M14" s="89"/>
    </row>
    <row r="15" customFormat="false" ht="12.75" hidden="false" customHeight="true" outlineLevel="0" collapsed="false">
      <c r="B15" s="58" t="s">
        <v>73</v>
      </c>
      <c r="C15" s="18" t="s">
        <v>77</v>
      </c>
      <c r="D15" s="18" t="s">
        <v>78</v>
      </c>
      <c r="E15" s="58" t="s">
        <v>9</v>
      </c>
      <c r="F15" s="59" t="s">
        <v>64</v>
      </c>
      <c r="G15" s="20" t="n">
        <v>1</v>
      </c>
      <c r="H15" s="20" t="n">
        <v>1596</v>
      </c>
      <c r="I15" s="88" t="n">
        <v>1</v>
      </c>
      <c r="J15" s="88" t="n">
        <v>1596</v>
      </c>
      <c r="K15" s="20" t="n">
        <f aca="false">IF(I15="","—",IFERROR(I15-G15,""))</f>
        <v>0</v>
      </c>
      <c r="L15" s="20" t="n">
        <f aca="false">IF(J15="","—",IFERROR(J15-H15,""))</f>
        <v>0</v>
      </c>
      <c r="M15" s="89"/>
    </row>
    <row r="16" customFormat="false" ht="12.75" hidden="false" customHeight="true" outlineLevel="0" collapsed="false">
      <c r="B16" s="58" t="s">
        <v>73</v>
      </c>
      <c r="C16" s="18" t="s">
        <v>79</v>
      </c>
      <c r="D16" s="18" t="s">
        <v>78</v>
      </c>
      <c r="E16" s="58" t="s">
        <v>9</v>
      </c>
      <c r="F16" s="59" t="s">
        <v>64</v>
      </c>
      <c r="G16" s="20" t="n">
        <v>1</v>
      </c>
      <c r="H16" s="20" t="n">
        <v>1200</v>
      </c>
      <c r="I16" s="88" t="n">
        <v>1</v>
      </c>
      <c r="J16" s="88" t="n">
        <v>1200</v>
      </c>
      <c r="K16" s="20" t="n">
        <f aca="false">IF(I16="","—",IFERROR(I16-G16,""))</f>
        <v>0</v>
      </c>
      <c r="L16" s="20" t="n">
        <f aca="false">IF(J16="","—",IFERROR(J16-H16,""))</f>
        <v>0</v>
      </c>
      <c r="M16" s="89"/>
    </row>
    <row r="17" customFormat="false" ht="12.75" hidden="false" customHeight="true" outlineLevel="0" collapsed="false">
      <c r="B17" s="58" t="s">
        <v>73</v>
      </c>
      <c r="C17" s="18" t="s">
        <v>80</v>
      </c>
      <c r="D17" s="18" t="s">
        <v>78</v>
      </c>
      <c r="E17" s="58" t="s">
        <v>9</v>
      </c>
      <c r="F17" s="59" t="s">
        <v>64</v>
      </c>
      <c r="G17" s="20" t="n">
        <v>1</v>
      </c>
      <c r="H17" s="20" t="n">
        <v>1126</v>
      </c>
      <c r="I17" s="88" t="n">
        <v>1</v>
      </c>
      <c r="J17" s="88" t="n">
        <v>1126</v>
      </c>
      <c r="K17" s="20" t="n">
        <f aca="false">IF(I17="","—",IFERROR(I17-G17,""))</f>
        <v>0</v>
      </c>
      <c r="L17" s="20" t="n">
        <f aca="false">IF(J17="","—",IFERROR(J17-H17,""))</f>
        <v>0</v>
      </c>
      <c r="M17" s="89"/>
    </row>
    <row r="18" customFormat="false" ht="12.75" hidden="false" customHeight="true" outlineLevel="0" collapsed="false">
      <c r="B18" s="58" t="s">
        <v>73</v>
      </c>
      <c r="C18" s="18" t="s">
        <v>81</v>
      </c>
      <c r="D18" s="18" t="s">
        <v>78</v>
      </c>
      <c r="E18" s="58" t="s">
        <v>9</v>
      </c>
      <c r="F18" s="59" t="s">
        <v>64</v>
      </c>
      <c r="G18" s="20" t="n">
        <v>1</v>
      </c>
      <c r="H18" s="20" t="n">
        <v>645</v>
      </c>
      <c r="I18" s="88" t="n">
        <v>1</v>
      </c>
      <c r="J18" s="88" t="n">
        <v>645</v>
      </c>
      <c r="K18" s="20" t="n">
        <f aca="false">IF(I18="","—",IFERROR(I18-G18,""))</f>
        <v>0</v>
      </c>
      <c r="L18" s="20" t="n">
        <f aca="false">IF(J18="","—",IFERROR(J18-H18,""))</f>
        <v>0</v>
      </c>
      <c r="M18" s="89"/>
    </row>
    <row r="19" customFormat="false" ht="12.75" hidden="false" customHeight="true" outlineLevel="0" collapsed="false">
      <c r="B19" s="58" t="s">
        <v>73</v>
      </c>
      <c r="C19" s="18" t="s">
        <v>82</v>
      </c>
      <c r="D19" s="18" t="s">
        <v>78</v>
      </c>
      <c r="E19" s="58" t="s">
        <v>9</v>
      </c>
      <c r="F19" s="59" t="s">
        <v>64</v>
      </c>
      <c r="G19" s="20" t="n">
        <v>1</v>
      </c>
      <c r="H19" s="20" t="n">
        <v>645</v>
      </c>
      <c r="I19" s="88" t="n">
        <v>1</v>
      </c>
      <c r="J19" s="88" t="n">
        <v>645</v>
      </c>
      <c r="K19" s="20" t="n">
        <f aca="false">IF(I19="","—",IFERROR(I19-G19,""))</f>
        <v>0</v>
      </c>
      <c r="L19" s="20" t="n">
        <f aca="false">IF(J19="","—",IFERROR(J19-H19,""))</f>
        <v>0</v>
      </c>
      <c r="M19" s="89"/>
    </row>
    <row r="20" customFormat="false" ht="12.75" hidden="false" customHeight="true" outlineLevel="0" collapsed="false">
      <c r="B20" s="58" t="s">
        <v>84</v>
      </c>
      <c r="C20" s="18" t="s">
        <v>85</v>
      </c>
      <c r="D20" s="18" t="s">
        <v>86</v>
      </c>
      <c r="E20" s="58" t="s">
        <v>9</v>
      </c>
      <c r="F20" s="59" t="s">
        <v>87</v>
      </c>
      <c r="G20" s="20" t="n">
        <v>1</v>
      </c>
      <c r="H20" s="20" t="n">
        <v>41468</v>
      </c>
      <c r="I20" s="88" t="n">
        <v>1</v>
      </c>
      <c r="J20" s="88" t="n">
        <v>41468</v>
      </c>
      <c r="K20" s="20" t="n">
        <f aca="false">IF(I20="","—",IFERROR(I20-G20,""))</f>
        <v>0</v>
      </c>
      <c r="L20" s="20" t="n">
        <f aca="false">IF(J20="","—",IFERROR(J20-H20,""))</f>
        <v>0</v>
      </c>
      <c r="M20" s="89"/>
    </row>
    <row r="21" customFormat="false" ht="12.75" hidden="false" customHeight="true" outlineLevel="0" collapsed="false">
      <c r="B21" s="58" t="s">
        <v>84</v>
      </c>
      <c r="C21" s="18" t="s">
        <v>88</v>
      </c>
      <c r="D21" s="18" t="s">
        <v>89</v>
      </c>
      <c r="E21" s="58" t="s">
        <v>9</v>
      </c>
      <c r="F21" s="59" t="s">
        <v>60</v>
      </c>
      <c r="G21" s="20" t="n">
        <v>1</v>
      </c>
      <c r="H21" s="20" t="n">
        <v>33996</v>
      </c>
      <c r="I21" s="88" t="n">
        <v>1</v>
      </c>
      <c r="J21" s="88" t="n">
        <v>33996</v>
      </c>
      <c r="K21" s="20" t="n">
        <f aca="false">IF(I21="","—",IFERROR(I21-G21,""))</f>
        <v>0</v>
      </c>
      <c r="L21" s="20" t="n">
        <f aca="false">IF(J21="","—",IFERROR(J21-H21,""))</f>
        <v>0</v>
      </c>
      <c r="M21" s="89"/>
    </row>
    <row r="22" customFormat="false" ht="12.75" hidden="false" customHeight="true" outlineLevel="0" collapsed="false">
      <c r="B22" s="58" t="s">
        <v>84</v>
      </c>
      <c r="C22" s="18" t="s">
        <v>90</v>
      </c>
      <c r="D22" s="18" t="s">
        <v>91</v>
      </c>
      <c r="E22" s="58" t="s">
        <v>9</v>
      </c>
      <c r="F22" s="59" t="s">
        <v>60</v>
      </c>
      <c r="G22" s="20" t="n">
        <v>1</v>
      </c>
      <c r="H22" s="20" t="n">
        <v>33916</v>
      </c>
      <c r="I22" s="88" t="n">
        <v>1</v>
      </c>
      <c r="J22" s="88" t="n">
        <v>33916</v>
      </c>
      <c r="K22" s="20" t="n">
        <f aca="false">IF(I22="","—",IFERROR(I22-G22,""))</f>
        <v>0</v>
      </c>
      <c r="L22" s="20" t="n">
        <f aca="false">IF(J22="","—",IFERROR(J22-H22,""))</f>
        <v>0</v>
      </c>
      <c r="M22" s="89"/>
    </row>
    <row r="23" customFormat="false" ht="12.75" hidden="false" customHeight="true" outlineLevel="0" collapsed="false">
      <c r="B23" s="58" t="s">
        <v>84</v>
      </c>
      <c r="C23" s="18" t="s">
        <v>92</v>
      </c>
      <c r="D23" s="18" t="s">
        <v>91</v>
      </c>
      <c r="E23" s="58" t="s">
        <v>9</v>
      </c>
      <c r="F23" s="59" t="s">
        <v>60</v>
      </c>
      <c r="G23" s="20" t="n">
        <v>1</v>
      </c>
      <c r="H23" s="20" t="n">
        <v>31500</v>
      </c>
      <c r="I23" s="88" t="n">
        <v>1</v>
      </c>
      <c r="J23" s="88" t="n">
        <v>31500</v>
      </c>
      <c r="K23" s="20" t="n">
        <f aca="false">IF(I23="","—",IFERROR(I23-G23,""))</f>
        <v>0</v>
      </c>
      <c r="L23" s="20" t="n">
        <f aca="false">IF(J23="","—",IFERROR(J23-H23,""))</f>
        <v>0</v>
      </c>
      <c r="M23" s="89"/>
    </row>
    <row r="24" customFormat="false" ht="12.75" hidden="false" customHeight="true" outlineLevel="0" collapsed="false">
      <c r="B24" s="58" t="s">
        <v>84</v>
      </c>
      <c r="C24" s="18" t="s">
        <v>93</v>
      </c>
      <c r="D24" s="18" t="s">
        <v>91</v>
      </c>
      <c r="E24" s="58" t="s">
        <v>9</v>
      </c>
      <c r="F24" s="59" t="s">
        <v>60</v>
      </c>
      <c r="G24" s="20" t="n">
        <v>1</v>
      </c>
      <c r="H24" s="20" t="n">
        <v>31500</v>
      </c>
      <c r="I24" s="88" t="n">
        <v>1</v>
      </c>
      <c r="J24" s="88" t="n">
        <v>31500</v>
      </c>
      <c r="K24" s="20" t="n">
        <f aca="false">IF(I24="","—",IFERROR(I24-G24,""))</f>
        <v>0</v>
      </c>
      <c r="L24" s="20" t="n">
        <f aca="false">IF(J24="","—",IFERROR(J24-H24,""))</f>
        <v>0</v>
      </c>
      <c r="M24" s="89"/>
    </row>
    <row r="25" customFormat="false" ht="12.75" hidden="false" customHeight="true" outlineLevel="0" collapsed="false">
      <c r="B25" s="58" t="s">
        <v>84</v>
      </c>
      <c r="C25" s="18" t="s">
        <v>94</v>
      </c>
      <c r="D25" s="18" t="s">
        <v>91</v>
      </c>
      <c r="E25" s="58" t="s">
        <v>9</v>
      </c>
      <c r="F25" s="59" t="s">
        <v>60</v>
      </c>
      <c r="G25" s="20" t="n">
        <v>1</v>
      </c>
      <c r="H25" s="20" t="n">
        <v>24400</v>
      </c>
      <c r="I25" s="88" t="n">
        <v>1</v>
      </c>
      <c r="J25" s="88" t="n">
        <v>24400</v>
      </c>
      <c r="K25" s="20" t="n">
        <f aca="false">IF(I25="","—",IFERROR(I25-G25,""))</f>
        <v>0</v>
      </c>
      <c r="L25" s="20" t="n">
        <f aca="false">IF(J25="","—",IFERROR(J25-H25,""))</f>
        <v>0</v>
      </c>
      <c r="M25" s="89"/>
    </row>
    <row r="26" customFormat="false" ht="12.75" hidden="false" customHeight="true" outlineLevel="0" collapsed="false">
      <c r="B26" s="58" t="s">
        <v>84</v>
      </c>
      <c r="C26" s="18" t="s">
        <v>95</v>
      </c>
      <c r="D26" s="18" t="s">
        <v>91</v>
      </c>
      <c r="E26" s="58" t="s">
        <v>9</v>
      </c>
      <c r="F26" s="59" t="s">
        <v>60</v>
      </c>
      <c r="G26" s="20" t="n">
        <v>1</v>
      </c>
      <c r="H26" s="20" t="n">
        <v>24400</v>
      </c>
      <c r="I26" s="88" t="n">
        <v>1</v>
      </c>
      <c r="J26" s="88" t="n">
        <v>24400</v>
      </c>
      <c r="K26" s="20" t="n">
        <f aca="false">IF(I26="","—",IFERROR(I26-G26,""))</f>
        <v>0</v>
      </c>
      <c r="L26" s="20" t="n">
        <f aca="false">IF(J26="","—",IFERROR(J26-H26,""))</f>
        <v>0</v>
      </c>
      <c r="M26" s="89"/>
    </row>
    <row r="27" customFormat="false" ht="12.75" hidden="false" customHeight="true" outlineLevel="0" collapsed="false">
      <c r="B27" s="58" t="s">
        <v>84</v>
      </c>
      <c r="C27" s="18" t="s">
        <v>96</v>
      </c>
      <c r="D27" s="18" t="s">
        <v>91</v>
      </c>
      <c r="E27" s="58" t="s">
        <v>9</v>
      </c>
      <c r="F27" s="59" t="s">
        <v>60</v>
      </c>
      <c r="G27" s="20" t="n">
        <v>1</v>
      </c>
      <c r="H27" s="20" t="n">
        <v>24400</v>
      </c>
      <c r="I27" s="88" t="n">
        <v>1</v>
      </c>
      <c r="J27" s="88" t="n">
        <v>24400</v>
      </c>
      <c r="K27" s="20" t="n">
        <f aca="false">IF(I27="","—",IFERROR(I27-G27,""))</f>
        <v>0</v>
      </c>
      <c r="L27" s="20" t="n">
        <f aca="false">IF(J27="","—",IFERROR(J27-H27,""))</f>
        <v>0</v>
      </c>
      <c r="M27" s="89"/>
    </row>
    <row r="28" customFormat="false" ht="12.75" hidden="false" customHeight="true" outlineLevel="0" collapsed="false">
      <c r="B28" s="58" t="s">
        <v>84</v>
      </c>
      <c r="C28" s="18" t="s">
        <v>97</v>
      </c>
      <c r="D28" s="18" t="s">
        <v>98</v>
      </c>
      <c r="E28" s="58" t="s">
        <v>9</v>
      </c>
      <c r="F28" s="59" t="s">
        <v>60</v>
      </c>
      <c r="G28" s="20" t="n">
        <v>1</v>
      </c>
      <c r="H28" s="20" t="n">
        <v>22500</v>
      </c>
      <c r="I28" s="88" t="n">
        <v>1</v>
      </c>
      <c r="J28" s="88" t="n">
        <v>22500</v>
      </c>
      <c r="K28" s="20" t="n">
        <f aca="false">IF(I28="","—",IFERROR(I28-G28,""))</f>
        <v>0</v>
      </c>
      <c r="L28" s="20" t="n">
        <f aca="false">IF(J28="","—",IFERROR(J28-H28,""))</f>
        <v>0</v>
      </c>
      <c r="M28" s="89"/>
    </row>
    <row r="29" customFormat="false" ht="12.75" hidden="false" customHeight="true" outlineLevel="0" collapsed="false">
      <c r="B29" s="58" t="s">
        <v>84</v>
      </c>
      <c r="C29" s="18" t="s">
        <v>99</v>
      </c>
      <c r="D29" s="18" t="s">
        <v>91</v>
      </c>
      <c r="E29" s="58" t="s">
        <v>9</v>
      </c>
      <c r="F29" s="59" t="s">
        <v>60</v>
      </c>
      <c r="G29" s="20" t="n">
        <v>1</v>
      </c>
      <c r="H29" s="20" t="n">
        <v>20000</v>
      </c>
      <c r="I29" s="88" t="n">
        <v>1</v>
      </c>
      <c r="J29" s="88" t="n">
        <v>20000</v>
      </c>
      <c r="K29" s="20" t="n">
        <f aca="false">IF(I29="","—",IFERROR(I29-G29,""))</f>
        <v>0</v>
      </c>
      <c r="L29" s="20" t="n">
        <f aca="false">IF(J29="","—",IFERROR(J29-H29,""))</f>
        <v>0</v>
      </c>
      <c r="M29" s="89"/>
    </row>
    <row r="30" customFormat="false" ht="12.75" hidden="false" customHeight="true" outlineLevel="0" collapsed="false">
      <c r="B30" s="58" t="s">
        <v>84</v>
      </c>
      <c r="C30" s="18" t="s">
        <v>100</v>
      </c>
      <c r="D30" s="18" t="s">
        <v>91</v>
      </c>
      <c r="E30" s="58" t="s">
        <v>9</v>
      </c>
      <c r="F30" s="59" t="s">
        <v>60</v>
      </c>
      <c r="G30" s="20" t="n">
        <v>1</v>
      </c>
      <c r="H30" s="20" t="n">
        <v>20000</v>
      </c>
      <c r="I30" s="88" t="n">
        <v>1</v>
      </c>
      <c r="J30" s="88" t="n">
        <v>20000</v>
      </c>
      <c r="K30" s="20" t="n">
        <f aca="false">IF(I30="","—",IFERROR(I30-G30,""))</f>
        <v>0</v>
      </c>
      <c r="L30" s="20" t="n">
        <f aca="false">IF(J30="","—",IFERROR(J30-H30,""))</f>
        <v>0</v>
      </c>
      <c r="M30" s="89"/>
    </row>
    <row r="31" customFormat="false" ht="12.75" hidden="false" customHeight="true" outlineLevel="0" collapsed="false">
      <c r="B31" s="58" t="s">
        <v>84</v>
      </c>
      <c r="C31" s="18" t="s">
        <v>101</v>
      </c>
      <c r="D31" s="18" t="s">
        <v>91</v>
      </c>
      <c r="E31" s="58" t="s">
        <v>9</v>
      </c>
      <c r="F31" s="59" t="s">
        <v>60</v>
      </c>
      <c r="G31" s="20" t="n">
        <v>0</v>
      </c>
      <c r="H31" s="20" t="n">
        <v>0</v>
      </c>
      <c r="I31" s="88" t="n">
        <v>0</v>
      </c>
      <c r="J31" s="88" t="n">
        <v>0</v>
      </c>
      <c r="K31" s="20" t="n">
        <f aca="false">IF(I31="","—",IFERROR(I31-G31,""))</f>
        <v>0</v>
      </c>
      <c r="L31" s="20" t="n">
        <f aca="false">IF(J31="","—",IFERROR(J31-H31,""))</f>
        <v>0</v>
      </c>
      <c r="M31" s="89"/>
    </row>
    <row r="32" customFormat="false" ht="12.75" hidden="false" customHeight="true" outlineLevel="0" collapsed="false">
      <c r="B32" s="58" t="s">
        <v>84</v>
      </c>
      <c r="C32" s="18" t="s">
        <v>102</v>
      </c>
      <c r="D32" s="18" t="s">
        <v>103</v>
      </c>
      <c r="E32" s="58" t="s">
        <v>9</v>
      </c>
      <c r="F32" s="59" t="s">
        <v>87</v>
      </c>
      <c r="G32" s="20" t="n">
        <v>1</v>
      </c>
      <c r="H32" s="20" t="n">
        <v>0</v>
      </c>
      <c r="I32" s="88" t="n">
        <v>1</v>
      </c>
      <c r="J32" s="88" t="n">
        <v>0</v>
      </c>
      <c r="K32" s="20" t="n">
        <f aca="false">IF(I32="","—",IFERROR(I32-G32,""))</f>
        <v>0</v>
      </c>
      <c r="L32" s="20" t="n">
        <f aca="false">IF(J32="","—",IFERROR(J32-H32,""))</f>
        <v>0</v>
      </c>
      <c r="M32" s="89"/>
    </row>
    <row r="33" customFormat="false" ht="12.75" hidden="false" customHeight="true" outlineLevel="0" collapsed="false">
      <c r="B33" s="58" t="s">
        <v>105</v>
      </c>
      <c r="C33" s="18" t="s">
        <v>106</v>
      </c>
      <c r="D33" s="18" t="s">
        <v>63</v>
      </c>
      <c r="E33" s="58" t="s">
        <v>9</v>
      </c>
      <c r="F33" s="59" t="s">
        <v>64</v>
      </c>
      <c r="G33" s="20" t="n">
        <v>5</v>
      </c>
      <c r="H33" s="20" t="n">
        <v>2470</v>
      </c>
      <c r="I33" s="88" t="n">
        <v>5</v>
      </c>
      <c r="J33" s="88" t="n">
        <v>2470</v>
      </c>
      <c r="K33" s="20" t="n">
        <f aca="false">IF(I33="","—",IFERROR(I33-G33,""))</f>
        <v>0</v>
      </c>
      <c r="L33" s="20" t="n">
        <f aca="false">IF(J33="","—",IFERROR(J33-H33,""))</f>
        <v>0</v>
      </c>
      <c r="M33" s="89"/>
    </row>
    <row r="34" customFormat="false" ht="12.75" hidden="false" customHeight="true" outlineLevel="0" collapsed="false">
      <c r="B34" s="58" t="s">
        <v>105</v>
      </c>
      <c r="C34" s="18" t="s">
        <v>107</v>
      </c>
      <c r="D34" s="18" t="s">
        <v>63</v>
      </c>
      <c r="E34" s="58" t="s">
        <v>9</v>
      </c>
      <c r="F34" s="59" t="s">
        <v>64</v>
      </c>
      <c r="G34" s="20" t="n">
        <v>1</v>
      </c>
      <c r="H34" s="20" t="n">
        <v>494</v>
      </c>
      <c r="I34" s="88" t="n">
        <v>1</v>
      </c>
      <c r="J34" s="88" t="n">
        <v>494</v>
      </c>
      <c r="K34" s="20" t="n">
        <f aca="false">IF(I34="","—",IFERROR(I34-G34,""))</f>
        <v>0</v>
      </c>
      <c r="L34" s="20" t="n">
        <f aca="false">IF(J34="","—",IFERROR(J34-H34,""))</f>
        <v>0</v>
      </c>
      <c r="M34" s="89"/>
    </row>
    <row r="35" customFormat="false" ht="12.75" hidden="false" customHeight="true" outlineLevel="0" collapsed="false">
      <c r="B35" s="58" t="s">
        <v>109</v>
      </c>
      <c r="C35" s="18" t="s">
        <v>110</v>
      </c>
      <c r="D35" s="18" t="s">
        <v>111</v>
      </c>
      <c r="E35" s="58" t="s">
        <v>9</v>
      </c>
      <c r="F35" s="59" t="s">
        <v>60</v>
      </c>
      <c r="G35" s="20" t="n">
        <v>15</v>
      </c>
      <c r="H35" s="20" t="n">
        <v>42000</v>
      </c>
      <c r="I35" s="88" t="n">
        <v>15</v>
      </c>
      <c r="J35" s="88" t="n">
        <v>42000</v>
      </c>
      <c r="K35" s="20" t="n">
        <f aca="false">IF(I35="","—",IFERROR(I35-G35,""))</f>
        <v>0</v>
      </c>
      <c r="L35" s="20" t="n">
        <f aca="false">IF(J35="","—",IFERROR(J35-H35,""))</f>
        <v>0</v>
      </c>
      <c r="M35" s="89"/>
    </row>
    <row r="36" customFormat="false" ht="12.75" hidden="false" customHeight="true" outlineLevel="0" collapsed="false">
      <c r="B36" s="58" t="s">
        <v>109</v>
      </c>
      <c r="C36" s="18" t="s">
        <v>112</v>
      </c>
      <c r="D36" s="18" t="s">
        <v>111</v>
      </c>
      <c r="E36" s="58" t="s">
        <v>9</v>
      </c>
      <c r="F36" s="59" t="s">
        <v>60</v>
      </c>
      <c r="G36" s="20" t="n">
        <v>11</v>
      </c>
      <c r="H36" s="20" t="n">
        <v>30800</v>
      </c>
      <c r="I36" s="88" t="n">
        <v>11</v>
      </c>
      <c r="J36" s="88" t="n">
        <v>30800</v>
      </c>
      <c r="K36" s="20" t="n">
        <f aca="false">IF(I36="","—",IFERROR(I36-G36,""))</f>
        <v>0</v>
      </c>
      <c r="L36" s="20" t="n">
        <f aca="false">IF(J36="","—",IFERROR(J36-H36,""))</f>
        <v>0</v>
      </c>
      <c r="M36" s="89"/>
    </row>
    <row r="37" customFormat="false" ht="12.75" hidden="false" customHeight="true" outlineLevel="0" collapsed="false">
      <c r="B37" s="58" t="s">
        <v>109</v>
      </c>
      <c r="C37" s="18" t="s">
        <v>113</v>
      </c>
      <c r="D37" s="18" t="s">
        <v>111</v>
      </c>
      <c r="E37" s="58" t="s">
        <v>9</v>
      </c>
      <c r="F37" s="59" t="s">
        <v>60</v>
      </c>
      <c r="G37" s="20" t="n">
        <v>9</v>
      </c>
      <c r="H37" s="20" t="n">
        <v>25200</v>
      </c>
      <c r="I37" s="88" t="n">
        <v>9</v>
      </c>
      <c r="J37" s="88" t="n">
        <v>25200</v>
      </c>
      <c r="K37" s="20" t="n">
        <f aca="false">IF(I37="","—",IFERROR(I37-G37,""))</f>
        <v>0</v>
      </c>
      <c r="L37" s="20" t="n">
        <f aca="false">IF(J37="","—",IFERROR(J37-H37,""))</f>
        <v>0</v>
      </c>
      <c r="M37" s="89"/>
    </row>
    <row r="38" customFormat="false" ht="12.75" hidden="false" customHeight="true" outlineLevel="0" collapsed="false">
      <c r="B38" s="58" t="s">
        <v>109</v>
      </c>
      <c r="C38" s="18" t="s">
        <v>114</v>
      </c>
      <c r="D38" s="18" t="s">
        <v>115</v>
      </c>
      <c r="E38" s="58" t="s">
        <v>9</v>
      </c>
      <c r="F38" s="59" t="s">
        <v>60</v>
      </c>
      <c r="G38" s="20" t="n">
        <v>3</v>
      </c>
      <c r="H38" s="20" t="n">
        <v>22560</v>
      </c>
      <c r="I38" s="88" t="n">
        <v>3</v>
      </c>
      <c r="J38" s="88" t="n">
        <v>22560</v>
      </c>
      <c r="K38" s="20" t="n">
        <f aca="false">IF(I38="","—",IFERROR(I38-G38,""))</f>
        <v>0</v>
      </c>
      <c r="L38" s="20" t="n">
        <f aca="false">IF(J38="","—",IFERROR(J38-H38,""))</f>
        <v>0</v>
      </c>
      <c r="M38" s="89"/>
    </row>
    <row r="39" customFormat="false" ht="12.75" hidden="false" customHeight="true" outlineLevel="0" collapsed="false">
      <c r="B39" s="58" t="s">
        <v>109</v>
      </c>
      <c r="C39" s="18" t="s">
        <v>116</v>
      </c>
      <c r="D39" s="18" t="s">
        <v>111</v>
      </c>
      <c r="E39" s="58" t="s">
        <v>9</v>
      </c>
      <c r="F39" s="59" t="s">
        <v>60</v>
      </c>
      <c r="G39" s="20" t="n">
        <v>8</v>
      </c>
      <c r="H39" s="20" t="n">
        <v>22400</v>
      </c>
      <c r="I39" s="88" t="n">
        <v>8</v>
      </c>
      <c r="J39" s="88" t="n">
        <v>22400</v>
      </c>
      <c r="K39" s="20" t="n">
        <f aca="false">IF(I39="","—",IFERROR(I39-G39,""))</f>
        <v>0</v>
      </c>
      <c r="L39" s="20" t="n">
        <f aca="false">IF(J39="","—",IFERROR(J39-H39,""))</f>
        <v>0</v>
      </c>
      <c r="M39" s="89"/>
    </row>
    <row r="40" customFormat="false" ht="12.75" hidden="false" customHeight="true" outlineLevel="0" collapsed="false">
      <c r="B40" s="58" t="s">
        <v>109</v>
      </c>
      <c r="C40" s="18" t="s">
        <v>117</v>
      </c>
      <c r="D40" s="18" t="s">
        <v>111</v>
      </c>
      <c r="E40" s="58" t="s">
        <v>9</v>
      </c>
      <c r="F40" s="59" t="s">
        <v>60</v>
      </c>
      <c r="G40" s="20" t="n">
        <v>7</v>
      </c>
      <c r="H40" s="20" t="n">
        <v>19600</v>
      </c>
      <c r="I40" s="88" t="n">
        <v>7</v>
      </c>
      <c r="J40" s="88" t="n">
        <v>19600</v>
      </c>
      <c r="K40" s="20" t="n">
        <f aca="false">IF(I40="","—",IFERROR(I40-G40,""))</f>
        <v>0</v>
      </c>
      <c r="L40" s="20" t="n">
        <f aca="false">IF(J40="","—",IFERROR(J40-H40,""))</f>
        <v>0</v>
      </c>
      <c r="M40" s="89"/>
    </row>
    <row r="41" customFormat="false" ht="12.75" hidden="false" customHeight="true" outlineLevel="0" collapsed="false">
      <c r="B41" s="58" t="s">
        <v>109</v>
      </c>
      <c r="C41" s="18" t="s">
        <v>118</v>
      </c>
      <c r="D41" s="18" t="s">
        <v>115</v>
      </c>
      <c r="E41" s="58" t="s">
        <v>9</v>
      </c>
      <c r="F41" s="59" t="s">
        <v>60</v>
      </c>
      <c r="G41" s="20" t="n">
        <v>1</v>
      </c>
      <c r="H41" s="20" t="n">
        <v>7520</v>
      </c>
      <c r="I41" s="88" t="n">
        <v>1</v>
      </c>
      <c r="J41" s="88" t="n">
        <v>7520</v>
      </c>
      <c r="K41" s="20" t="n">
        <f aca="false">IF(I41="","—",IFERROR(I41-G41,""))</f>
        <v>0</v>
      </c>
      <c r="L41" s="20" t="n">
        <f aca="false">IF(J41="","—",IFERROR(J41-H41,""))</f>
        <v>0</v>
      </c>
      <c r="M41" s="89"/>
    </row>
    <row r="42" customFormat="false" ht="12.75" hidden="false" customHeight="true" outlineLevel="0" collapsed="false">
      <c r="B42" s="58" t="s">
        <v>109</v>
      </c>
      <c r="C42" s="18" t="s">
        <v>119</v>
      </c>
      <c r="D42" s="18" t="s">
        <v>111</v>
      </c>
      <c r="E42" s="58" t="s">
        <v>9</v>
      </c>
      <c r="F42" s="59" t="s">
        <v>60</v>
      </c>
      <c r="G42" s="20" t="n">
        <v>1</v>
      </c>
      <c r="H42" s="20" t="n">
        <v>2800</v>
      </c>
      <c r="I42" s="88" t="n">
        <v>1</v>
      </c>
      <c r="J42" s="88" t="n">
        <v>2800</v>
      </c>
      <c r="K42" s="20" t="n">
        <f aca="false">IF(I42="","—",IFERROR(I42-G42,""))</f>
        <v>0</v>
      </c>
      <c r="L42" s="20" t="n">
        <f aca="false">IF(J42="","—",IFERROR(J42-H42,""))</f>
        <v>0</v>
      </c>
      <c r="M42" s="89"/>
    </row>
    <row r="43" customFormat="false" ht="12.75" hidden="false" customHeight="true" outlineLevel="0" collapsed="false">
      <c r="B43" s="58" t="s">
        <v>109</v>
      </c>
      <c r="C43" s="18" t="s">
        <v>120</v>
      </c>
      <c r="D43" s="18" t="s">
        <v>111</v>
      </c>
      <c r="E43" s="58" t="s">
        <v>9</v>
      </c>
      <c r="F43" s="59" t="s">
        <v>60</v>
      </c>
      <c r="G43" s="20" t="n">
        <v>1</v>
      </c>
      <c r="H43" s="20" t="n">
        <v>2800</v>
      </c>
      <c r="I43" s="88" t="n">
        <v>1</v>
      </c>
      <c r="J43" s="88" t="n">
        <v>2800</v>
      </c>
      <c r="K43" s="20" t="n">
        <f aca="false">IF(I43="","—",IFERROR(I43-G43,""))</f>
        <v>0</v>
      </c>
      <c r="L43" s="20" t="n">
        <f aca="false">IF(J43="","—",IFERROR(J43-H43,""))</f>
        <v>0</v>
      </c>
      <c r="M43" s="89"/>
    </row>
    <row r="44" customFormat="false" ht="12.75" hidden="false" customHeight="true" outlineLevel="0" collapsed="false">
      <c r="B44" s="58" t="s">
        <v>109</v>
      </c>
      <c r="C44" s="18" t="s">
        <v>121</v>
      </c>
      <c r="D44" s="18" t="s">
        <v>122</v>
      </c>
      <c r="E44" s="58" t="s">
        <v>9</v>
      </c>
      <c r="F44" s="59" t="s">
        <v>60</v>
      </c>
      <c r="G44" s="20" t="n">
        <v>1</v>
      </c>
      <c r="H44" s="20" t="n">
        <v>600</v>
      </c>
      <c r="I44" s="88" t="n">
        <v>1</v>
      </c>
      <c r="J44" s="88" t="n">
        <v>600</v>
      </c>
      <c r="K44" s="20" t="n">
        <f aca="false">IF(I44="","—",IFERROR(I44-G44,""))</f>
        <v>0</v>
      </c>
      <c r="L44" s="20" t="n">
        <f aca="false">IF(J44="","—",IFERROR(J44-H44,""))</f>
        <v>0</v>
      </c>
      <c r="M44" s="89"/>
    </row>
    <row r="45" customFormat="false" ht="12.75" hidden="false" customHeight="true" outlineLevel="0" collapsed="false">
      <c r="B45" s="58" t="s">
        <v>109</v>
      </c>
      <c r="C45" s="18" t="s">
        <v>123</v>
      </c>
      <c r="D45" s="18" t="s">
        <v>124</v>
      </c>
      <c r="E45" s="58" t="s">
        <v>9</v>
      </c>
      <c r="F45" s="59" t="s">
        <v>60</v>
      </c>
      <c r="G45" s="20" t="n">
        <v>1</v>
      </c>
      <c r="H45" s="20" t="n">
        <v>600</v>
      </c>
      <c r="I45" s="88" t="n">
        <v>1</v>
      </c>
      <c r="J45" s="88" t="n">
        <v>600</v>
      </c>
      <c r="K45" s="20" t="n">
        <f aca="false">IF(I45="","—",IFERROR(I45-G45,""))</f>
        <v>0</v>
      </c>
      <c r="L45" s="20" t="n">
        <f aca="false">IF(J45="","—",IFERROR(J45-H45,""))</f>
        <v>0</v>
      </c>
      <c r="M45" s="89"/>
    </row>
    <row r="46" customFormat="false" ht="12.75" hidden="false" customHeight="true" outlineLevel="0" collapsed="false">
      <c r="B46" s="58" t="s">
        <v>126</v>
      </c>
      <c r="C46" s="18" t="s">
        <v>127</v>
      </c>
      <c r="D46" s="18" t="s">
        <v>91</v>
      </c>
      <c r="E46" s="58" t="s">
        <v>9</v>
      </c>
      <c r="F46" s="59" t="s">
        <v>60</v>
      </c>
      <c r="G46" s="20" t="n">
        <v>2</v>
      </c>
      <c r="H46" s="20" t="n">
        <v>48800</v>
      </c>
      <c r="I46" s="88" t="n">
        <v>2</v>
      </c>
      <c r="J46" s="88" t="n">
        <v>48800</v>
      </c>
      <c r="K46" s="20" t="n">
        <f aca="false">IF(I46="","—",IFERROR(I46-G46,""))</f>
        <v>0</v>
      </c>
      <c r="L46" s="20" t="n">
        <f aca="false">IF(J46="","—",IFERROR(J46-H46,""))</f>
        <v>0</v>
      </c>
      <c r="M46" s="89"/>
    </row>
    <row r="47" customFormat="false" ht="12.75" hidden="false" customHeight="true" outlineLevel="0" collapsed="false">
      <c r="B47" s="58" t="s">
        <v>126</v>
      </c>
      <c r="C47" s="18" t="s">
        <v>128</v>
      </c>
      <c r="D47" s="18" t="s">
        <v>91</v>
      </c>
      <c r="E47" s="58" t="s">
        <v>9</v>
      </c>
      <c r="F47" s="59" t="s">
        <v>60</v>
      </c>
      <c r="G47" s="20" t="n">
        <v>2</v>
      </c>
      <c r="H47" s="20" t="n">
        <v>48800</v>
      </c>
      <c r="I47" s="88" t="n">
        <v>2</v>
      </c>
      <c r="J47" s="88" t="n">
        <v>48800</v>
      </c>
      <c r="K47" s="20" t="n">
        <f aca="false">IF(I47="","—",IFERROR(I47-G47,""))</f>
        <v>0</v>
      </c>
      <c r="L47" s="20" t="n">
        <f aca="false">IF(J47="","—",IFERROR(J47-H47,""))</f>
        <v>0</v>
      </c>
      <c r="M47" s="89"/>
    </row>
    <row r="48" customFormat="false" ht="12.75" hidden="false" customHeight="true" outlineLevel="0" collapsed="false">
      <c r="B48" s="58" t="s">
        <v>126</v>
      </c>
      <c r="C48" s="18" t="s">
        <v>129</v>
      </c>
      <c r="D48" s="18" t="s">
        <v>91</v>
      </c>
      <c r="E48" s="58" t="s">
        <v>9</v>
      </c>
      <c r="F48" s="59" t="s">
        <v>60</v>
      </c>
      <c r="G48" s="20" t="n">
        <v>2</v>
      </c>
      <c r="H48" s="20" t="n">
        <v>48800</v>
      </c>
      <c r="I48" s="88" t="n">
        <v>2</v>
      </c>
      <c r="J48" s="88" t="n">
        <v>48800</v>
      </c>
      <c r="K48" s="20" t="n">
        <f aca="false">IF(I48="","—",IFERROR(I48-G48,""))</f>
        <v>0</v>
      </c>
      <c r="L48" s="20" t="n">
        <f aca="false">IF(J48="","—",IFERROR(J48-H48,""))</f>
        <v>0</v>
      </c>
      <c r="M48" s="89"/>
    </row>
    <row r="49" customFormat="false" ht="12.75" hidden="false" customHeight="true" outlineLevel="0" collapsed="false">
      <c r="B49" s="58" t="s">
        <v>126</v>
      </c>
      <c r="C49" s="18" t="s">
        <v>130</v>
      </c>
      <c r="D49" s="18" t="s">
        <v>86</v>
      </c>
      <c r="E49" s="58" t="s">
        <v>9</v>
      </c>
      <c r="F49" s="59" t="s">
        <v>60</v>
      </c>
      <c r="G49" s="20" t="n">
        <v>1</v>
      </c>
      <c r="H49" s="20" t="n">
        <v>38000</v>
      </c>
      <c r="I49" s="88" t="n">
        <v>1</v>
      </c>
      <c r="J49" s="88" t="n">
        <v>38000</v>
      </c>
      <c r="K49" s="20" t="n">
        <f aca="false">IF(I49="","—",IFERROR(I49-G49,""))</f>
        <v>0</v>
      </c>
      <c r="L49" s="20" t="n">
        <f aca="false">IF(J49="","—",IFERROR(J49-H49,""))</f>
        <v>0</v>
      </c>
      <c r="M49" s="89"/>
    </row>
    <row r="50" customFormat="false" ht="12.75" hidden="false" customHeight="true" outlineLevel="0" collapsed="false">
      <c r="B50" s="58" t="s">
        <v>126</v>
      </c>
      <c r="C50" s="18" t="s">
        <v>131</v>
      </c>
      <c r="D50" s="18" t="s">
        <v>132</v>
      </c>
      <c r="E50" s="58" t="s">
        <v>9</v>
      </c>
      <c r="F50" s="59" t="s">
        <v>60</v>
      </c>
      <c r="G50" s="20" t="n">
        <v>1</v>
      </c>
      <c r="H50" s="20" t="n">
        <v>32760</v>
      </c>
      <c r="I50" s="88" t="n">
        <v>1</v>
      </c>
      <c r="J50" s="88" t="n">
        <v>32760</v>
      </c>
      <c r="K50" s="20" t="n">
        <f aca="false">IF(I50="","—",IFERROR(I50-G50,""))</f>
        <v>0</v>
      </c>
      <c r="L50" s="20" t="n">
        <f aca="false">IF(J50="","—",IFERROR(J50-H50,""))</f>
        <v>0</v>
      </c>
      <c r="M50" s="89"/>
    </row>
    <row r="51" customFormat="false" ht="12.75" hidden="false" customHeight="true" outlineLevel="0" collapsed="false">
      <c r="B51" s="58" t="s">
        <v>126</v>
      </c>
      <c r="C51" s="18" t="s">
        <v>133</v>
      </c>
      <c r="D51" s="18" t="s">
        <v>134</v>
      </c>
      <c r="E51" s="58" t="s">
        <v>9</v>
      </c>
      <c r="F51" s="59" t="s">
        <v>64</v>
      </c>
      <c r="G51" s="20" t="n">
        <v>1</v>
      </c>
      <c r="H51" s="20" t="n">
        <v>31550</v>
      </c>
      <c r="I51" s="88" t="n">
        <v>1</v>
      </c>
      <c r="J51" s="88" t="n">
        <v>31550</v>
      </c>
      <c r="K51" s="20" t="n">
        <f aca="false">IF(I51="","—",IFERROR(I51-G51,""))</f>
        <v>0</v>
      </c>
      <c r="L51" s="20" t="n">
        <f aca="false">IF(J51="","—",IFERROR(J51-H51,""))</f>
        <v>0</v>
      </c>
      <c r="M51" s="89"/>
    </row>
    <row r="52" customFormat="false" ht="12.75" hidden="false" customHeight="true" outlineLevel="0" collapsed="false">
      <c r="B52" s="58" t="s">
        <v>126</v>
      </c>
      <c r="C52" s="18" t="s">
        <v>135</v>
      </c>
      <c r="D52" s="18" t="s">
        <v>136</v>
      </c>
      <c r="E52" s="58" t="s">
        <v>9</v>
      </c>
      <c r="F52" s="59" t="s">
        <v>60</v>
      </c>
      <c r="G52" s="20" t="n">
        <v>2</v>
      </c>
      <c r="H52" s="20" t="n">
        <v>30000</v>
      </c>
      <c r="I52" s="88" t="n">
        <v>2</v>
      </c>
      <c r="J52" s="88" t="n">
        <v>30000</v>
      </c>
      <c r="K52" s="20" t="n">
        <f aca="false">IF(I52="","—",IFERROR(I52-G52,""))</f>
        <v>0</v>
      </c>
      <c r="L52" s="20" t="n">
        <f aca="false">IF(J52="","—",IFERROR(J52-H52,""))</f>
        <v>0</v>
      </c>
      <c r="M52" s="89"/>
    </row>
    <row r="53" customFormat="false" ht="12.75" hidden="false" customHeight="true" outlineLevel="0" collapsed="false">
      <c r="B53" s="58" t="s">
        <v>126</v>
      </c>
      <c r="C53" s="18" t="s">
        <v>137</v>
      </c>
      <c r="D53" s="18" t="s">
        <v>132</v>
      </c>
      <c r="E53" s="58" t="s">
        <v>9</v>
      </c>
      <c r="F53" s="59" t="s">
        <v>60</v>
      </c>
      <c r="G53" s="20" t="n">
        <v>1</v>
      </c>
      <c r="H53" s="20" t="n">
        <v>25220</v>
      </c>
      <c r="I53" s="88" t="n">
        <v>1</v>
      </c>
      <c r="J53" s="88" t="n">
        <v>25220</v>
      </c>
      <c r="K53" s="20" t="n">
        <f aca="false">IF(I53="","—",IFERROR(I53-G53,""))</f>
        <v>0</v>
      </c>
      <c r="L53" s="20" t="n">
        <f aca="false">IF(J53="","—",IFERROR(J53-H53,""))</f>
        <v>0</v>
      </c>
      <c r="M53" s="89"/>
    </row>
    <row r="54" customFormat="false" ht="12.75" hidden="false" customHeight="true" outlineLevel="0" collapsed="false">
      <c r="B54" s="58" t="s">
        <v>126</v>
      </c>
      <c r="C54" s="18" t="s">
        <v>138</v>
      </c>
      <c r="D54" s="18" t="s">
        <v>91</v>
      </c>
      <c r="E54" s="58" t="s">
        <v>9</v>
      </c>
      <c r="F54" s="59" t="s">
        <v>60</v>
      </c>
      <c r="G54" s="20" t="n">
        <v>1</v>
      </c>
      <c r="H54" s="20" t="n">
        <v>24400</v>
      </c>
      <c r="I54" s="88" t="n">
        <v>1</v>
      </c>
      <c r="J54" s="88" t="n">
        <v>24400</v>
      </c>
      <c r="K54" s="20" t="n">
        <f aca="false">IF(I54="","—",IFERROR(I54-G54,""))</f>
        <v>0</v>
      </c>
      <c r="L54" s="20" t="n">
        <f aca="false">IF(J54="","—",IFERROR(J54-H54,""))</f>
        <v>0</v>
      </c>
      <c r="M54" s="89"/>
    </row>
    <row r="55" customFormat="false" ht="12.75" hidden="false" customHeight="true" outlineLevel="0" collapsed="false">
      <c r="B55" s="58" t="s">
        <v>126</v>
      </c>
      <c r="C55" s="18" t="s">
        <v>139</v>
      </c>
      <c r="D55" s="18" t="s">
        <v>91</v>
      </c>
      <c r="E55" s="58" t="s">
        <v>9</v>
      </c>
      <c r="F55" s="59" t="s">
        <v>60</v>
      </c>
      <c r="G55" s="20" t="n">
        <v>1</v>
      </c>
      <c r="H55" s="20" t="n">
        <v>24400</v>
      </c>
      <c r="I55" s="88" t="n">
        <v>1</v>
      </c>
      <c r="J55" s="88" t="n">
        <v>24400</v>
      </c>
      <c r="K55" s="20" t="n">
        <f aca="false">IF(I55="","—",IFERROR(I55-G55,""))</f>
        <v>0</v>
      </c>
      <c r="L55" s="20" t="n">
        <f aca="false">IF(J55="","—",IFERROR(J55-H55,""))</f>
        <v>0</v>
      </c>
      <c r="M55" s="89"/>
    </row>
    <row r="56" customFormat="false" ht="12.75" hidden="false" customHeight="true" outlineLevel="0" collapsed="false">
      <c r="B56" s="58" t="s">
        <v>126</v>
      </c>
      <c r="C56" s="18" t="s">
        <v>140</v>
      </c>
      <c r="D56" s="18" t="s">
        <v>91</v>
      </c>
      <c r="E56" s="58" t="s">
        <v>9</v>
      </c>
      <c r="F56" s="59" t="s">
        <v>60</v>
      </c>
      <c r="G56" s="20" t="n">
        <v>1</v>
      </c>
      <c r="H56" s="20" t="n">
        <v>24400</v>
      </c>
      <c r="I56" s="88" t="n">
        <v>1</v>
      </c>
      <c r="J56" s="88" t="n">
        <v>24400</v>
      </c>
      <c r="K56" s="20" t="n">
        <f aca="false">IF(I56="","—",IFERROR(I56-G56,""))</f>
        <v>0</v>
      </c>
      <c r="L56" s="20" t="n">
        <f aca="false">IF(J56="","—",IFERROR(J56-H56,""))</f>
        <v>0</v>
      </c>
      <c r="M56" s="89"/>
    </row>
    <row r="57" customFormat="false" ht="12.75" hidden="false" customHeight="true" outlineLevel="0" collapsed="false">
      <c r="B57" s="58" t="s">
        <v>126</v>
      </c>
      <c r="C57" s="18" t="s">
        <v>141</v>
      </c>
      <c r="D57" s="18" t="s">
        <v>91</v>
      </c>
      <c r="E57" s="58" t="s">
        <v>9</v>
      </c>
      <c r="F57" s="59" t="s">
        <v>60</v>
      </c>
      <c r="G57" s="20" t="n">
        <v>1</v>
      </c>
      <c r="H57" s="20" t="n">
        <v>24400</v>
      </c>
      <c r="I57" s="88" t="n">
        <v>1</v>
      </c>
      <c r="J57" s="88" t="n">
        <v>24400</v>
      </c>
      <c r="K57" s="20" t="n">
        <f aca="false">IF(I57="","—",IFERROR(I57-G57,""))</f>
        <v>0</v>
      </c>
      <c r="L57" s="20" t="n">
        <f aca="false">IF(J57="","—",IFERROR(J57-H57,""))</f>
        <v>0</v>
      </c>
      <c r="M57" s="89"/>
    </row>
    <row r="58" customFormat="false" ht="12.75" hidden="false" customHeight="true" outlineLevel="0" collapsed="false">
      <c r="B58" s="58" t="s">
        <v>126</v>
      </c>
      <c r="C58" s="18" t="s">
        <v>142</v>
      </c>
      <c r="D58" s="18" t="s">
        <v>91</v>
      </c>
      <c r="E58" s="58" t="s">
        <v>9</v>
      </c>
      <c r="F58" s="59" t="s">
        <v>60</v>
      </c>
      <c r="G58" s="20" t="n">
        <v>1</v>
      </c>
      <c r="H58" s="20" t="n">
        <v>24400</v>
      </c>
      <c r="I58" s="88" t="n">
        <v>1</v>
      </c>
      <c r="J58" s="88" t="n">
        <v>24400</v>
      </c>
      <c r="K58" s="20" t="n">
        <f aca="false">IF(I58="","—",IFERROR(I58-G58,""))</f>
        <v>0</v>
      </c>
      <c r="L58" s="20" t="n">
        <f aca="false">IF(J58="","—",IFERROR(J58-H58,""))</f>
        <v>0</v>
      </c>
      <c r="M58" s="89"/>
    </row>
    <row r="59" customFormat="false" ht="12.75" hidden="false" customHeight="true" outlineLevel="0" collapsed="false">
      <c r="B59" s="58" t="s">
        <v>126</v>
      </c>
      <c r="C59" s="18" t="s">
        <v>143</v>
      </c>
      <c r="D59" s="18" t="s">
        <v>91</v>
      </c>
      <c r="E59" s="58" t="s">
        <v>9</v>
      </c>
      <c r="F59" s="59" t="s">
        <v>60</v>
      </c>
      <c r="G59" s="20" t="n">
        <v>1</v>
      </c>
      <c r="H59" s="20" t="n">
        <v>24400</v>
      </c>
      <c r="I59" s="88" t="n">
        <v>1</v>
      </c>
      <c r="J59" s="88" t="n">
        <v>24400</v>
      </c>
      <c r="K59" s="20" t="n">
        <f aca="false">IF(I59="","—",IFERROR(I59-G59,""))</f>
        <v>0</v>
      </c>
      <c r="L59" s="20" t="n">
        <f aca="false">IF(J59="","—",IFERROR(J59-H59,""))</f>
        <v>0</v>
      </c>
      <c r="M59" s="89"/>
    </row>
    <row r="60" customFormat="false" ht="12.75" hidden="false" customHeight="true" outlineLevel="0" collapsed="false">
      <c r="B60" s="58" t="s">
        <v>126</v>
      </c>
      <c r="C60" s="18" t="s">
        <v>144</v>
      </c>
      <c r="D60" s="18" t="s">
        <v>91</v>
      </c>
      <c r="E60" s="58" t="s">
        <v>9</v>
      </c>
      <c r="F60" s="59" t="s">
        <v>60</v>
      </c>
      <c r="G60" s="20" t="n">
        <v>1</v>
      </c>
      <c r="H60" s="20" t="n">
        <v>24400</v>
      </c>
      <c r="I60" s="88" t="n">
        <v>1</v>
      </c>
      <c r="J60" s="88" t="n">
        <v>24400</v>
      </c>
      <c r="K60" s="20" t="n">
        <f aca="false">IF(I60="","—",IFERROR(I60-G60,""))</f>
        <v>0</v>
      </c>
      <c r="L60" s="20" t="n">
        <f aca="false">IF(J60="","—",IFERROR(J60-H60,""))</f>
        <v>0</v>
      </c>
      <c r="M60" s="89"/>
    </row>
    <row r="61" customFormat="false" ht="12.75" hidden="false" customHeight="true" outlineLevel="0" collapsed="false">
      <c r="B61" s="58" t="s">
        <v>126</v>
      </c>
      <c r="C61" s="18" t="s">
        <v>145</v>
      </c>
      <c r="D61" s="18" t="s">
        <v>132</v>
      </c>
      <c r="E61" s="58" t="s">
        <v>9</v>
      </c>
      <c r="F61" s="59" t="s">
        <v>60</v>
      </c>
      <c r="G61" s="20" t="n">
        <v>1</v>
      </c>
      <c r="H61" s="20" t="n">
        <v>22260</v>
      </c>
      <c r="I61" s="88" t="n">
        <v>1</v>
      </c>
      <c r="J61" s="88" t="n">
        <v>22260</v>
      </c>
      <c r="K61" s="20" t="n">
        <f aca="false">IF(I61="","—",IFERROR(I61-G61,""))</f>
        <v>0</v>
      </c>
      <c r="L61" s="20" t="n">
        <f aca="false">IF(J61="","—",IFERROR(J61-H61,""))</f>
        <v>0</v>
      </c>
      <c r="M61" s="89"/>
    </row>
    <row r="62" customFormat="false" ht="12.75" hidden="false" customHeight="true" outlineLevel="0" collapsed="false">
      <c r="B62" s="58" t="s">
        <v>126</v>
      </c>
      <c r="C62" s="18" t="s">
        <v>146</v>
      </c>
      <c r="D62" s="18" t="s">
        <v>91</v>
      </c>
      <c r="E62" s="58" t="s">
        <v>9</v>
      </c>
      <c r="F62" s="59" t="s">
        <v>60</v>
      </c>
      <c r="G62" s="20" t="n">
        <v>1</v>
      </c>
      <c r="H62" s="20" t="n">
        <v>21720</v>
      </c>
      <c r="I62" s="88" t="n">
        <v>1</v>
      </c>
      <c r="J62" s="88" t="n">
        <v>21720</v>
      </c>
      <c r="K62" s="20" t="n">
        <f aca="false">IF(I62="","—",IFERROR(I62-G62,""))</f>
        <v>0</v>
      </c>
      <c r="L62" s="20" t="n">
        <f aca="false">IF(J62="","—",IFERROR(J62-H62,""))</f>
        <v>0</v>
      </c>
      <c r="M62" s="89"/>
    </row>
    <row r="63" customFormat="false" ht="12.75" hidden="false" customHeight="true" outlineLevel="0" collapsed="false">
      <c r="B63" s="58" t="s">
        <v>126</v>
      </c>
      <c r="C63" s="18" t="s">
        <v>147</v>
      </c>
      <c r="D63" s="18" t="s">
        <v>148</v>
      </c>
      <c r="E63" s="58" t="s">
        <v>9</v>
      </c>
      <c r="F63" s="59" t="s">
        <v>64</v>
      </c>
      <c r="G63" s="20" t="n">
        <v>1</v>
      </c>
      <c r="H63" s="20" t="n">
        <v>18000</v>
      </c>
      <c r="I63" s="88" t="n">
        <v>1</v>
      </c>
      <c r="J63" s="88" t="n">
        <v>18000</v>
      </c>
      <c r="K63" s="20" t="n">
        <f aca="false">IF(I63="","—",IFERROR(I63-G63,""))</f>
        <v>0</v>
      </c>
      <c r="L63" s="20" t="n">
        <f aca="false">IF(J63="","—",IFERROR(J63-H63,""))</f>
        <v>0</v>
      </c>
      <c r="M63" s="89"/>
    </row>
    <row r="64" customFormat="false" ht="12.75" hidden="false" customHeight="true" outlineLevel="0" collapsed="false">
      <c r="B64" s="58" t="s">
        <v>126</v>
      </c>
      <c r="C64" s="18" t="s">
        <v>149</v>
      </c>
      <c r="D64" s="18" t="s">
        <v>136</v>
      </c>
      <c r="E64" s="58" t="s">
        <v>9</v>
      </c>
      <c r="F64" s="59" t="s">
        <v>87</v>
      </c>
      <c r="G64" s="20" t="n">
        <v>1</v>
      </c>
      <c r="H64" s="20" t="n">
        <v>15000</v>
      </c>
      <c r="I64" s="88" t="n">
        <v>1</v>
      </c>
      <c r="J64" s="88" t="n">
        <v>15000</v>
      </c>
      <c r="K64" s="20" t="n">
        <f aca="false">IF(I64="","—",IFERROR(I64-G64,""))</f>
        <v>0</v>
      </c>
      <c r="L64" s="20" t="n">
        <f aca="false">IF(J64="","—",IFERROR(J64-H64,""))</f>
        <v>0</v>
      </c>
      <c r="M64" s="89"/>
    </row>
    <row r="65" customFormat="false" ht="12.75" hidden="false" customHeight="true" outlineLevel="0" collapsed="false">
      <c r="B65" s="58" t="s">
        <v>126</v>
      </c>
      <c r="C65" s="18" t="s">
        <v>150</v>
      </c>
      <c r="D65" s="18" t="s">
        <v>103</v>
      </c>
      <c r="E65" s="58" t="s">
        <v>9</v>
      </c>
      <c r="F65" s="59" t="s">
        <v>64</v>
      </c>
      <c r="G65" s="20" t="n">
        <v>1</v>
      </c>
      <c r="H65" s="20" t="n">
        <v>7825</v>
      </c>
      <c r="I65" s="88" t="n">
        <v>1</v>
      </c>
      <c r="J65" s="88" t="n">
        <v>7825</v>
      </c>
      <c r="K65" s="20" t="n">
        <f aca="false">IF(I65="","—",IFERROR(I65-G65,""))</f>
        <v>0</v>
      </c>
      <c r="L65" s="20" t="n">
        <f aca="false">IF(J65="","—",IFERROR(J65-H65,""))</f>
        <v>0</v>
      </c>
      <c r="M65" s="89"/>
    </row>
    <row r="66" customFormat="false" ht="12.75" hidden="false" customHeight="true" outlineLevel="0" collapsed="false">
      <c r="B66" s="58" t="s">
        <v>126</v>
      </c>
      <c r="C66" s="18" t="s">
        <v>151</v>
      </c>
      <c r="D66" s="18" t="s">
        <v>103</v>
      </c>
      <c r="E66" s="58" t="s">
        <v>9</v>
      </c>
      <c r="F66" s="59" t="s">
        <v>64</v>
      </c>
      <c r="G66" s="20" t="n">
        <v>1</v>
      </c>
      <c r="H66" s="20" t="n">
        <v>7825</v>
      </c>
      <c r="I66" s="88" t="n">
        <v>1</v>
      </c>
      <c r="J66" s="88" t="n">
        <v>7825</v>
      </c>
      <c r="K66" s="20" t="n">
        <f aca="false">IF(I66="","—",IFERROR(I66-G66,""))</f>
        <v>0</v>
      </c>
      <c r="L66" s="20" t="n">
        <f aca="false">IF(J66="","—",IFERROR(J66-H66,""))</f>
        <v>0</v>
      </c>
      <c r="M66" s="89"/>
    </row>
    <row r="67" customFormat="false" ht="12.75" hidden="false" customHeight="true" outlineLevel="0" collapsed="false">
      <c r="B67" s="58" t="s">
        <v>153</v>
      </c>
      <c r="C67" s="18" t="s">
        <v>154</v>
      </c>
      <c r="D67" s="18" t="s">
        <v>155</v>
      </c>
      <c r="E67" s="58" t="s">
        <v>9</v>
      </c>
      <c r="F67" s="59" t="s">
        <v>87</v>
      </c>
      <c r="G67" s="20" t="n">
        <v>17</v>
      </c>
      <c r="H67" s="20" t="n">
        <v>243015</v>
      </c>
      <c r="I67" s="88" t="n">
        <v>17</v>
      </c>
      <c r="J67" s="88" t="n">
        <v>243015</v>
      </c>
      <c r="K67" s="20" t="n">
        <f aca="false">IF(I67="","—",IFERROR(I67-G67,""))</f>
        <v>0</v>
      </c>
      <c r="L67" s="20" t="n">
        <f aca="false">IF(J67="","—",IFERROR(J67-H67,""))</f>
        <v>0</v>
      </c>
      <c r="M67" s="89"/>
    </row>
    <row r="68" customFormat="false" ht="12.75" hidden="false" customHeight="true" outlineLevel="0" collapsed="false">
      <c r="B68" s="58" t="s">
        <v>153</v>
      </c>
      <c r="C68" s="18" t="s">
        <v>156</v>
      </c>
      <c r="D68" s="18" t="s">
        <v>157</v>
      </c>
      <c r="E68" s="58" t="s">
        <v>9</v>
      </c>
      <c r="F68" s="59" t="s">
        <v>158</v>
      </c>
      <c r="G68" s="20" t="n">
        <v>2</v>
      </c>
      <c r="H68" s="20" t="n">
        <v>48000</v>
      </c>
      <c r="I68" s="88" t="n">
        <v>2</v>
      </c>
      <c r="J68" s="88" t="n">
        <v>48000</v>
      </c>
      <c r="K68" s="20" t="n">
        <f aca="false">IF(I68="","—",IFERROR(I68-G68,""))</f>
        <v>0</v>
      </c>
      <c r="L68" s="20" t="n">
        <f aca="false">IF(J68="","—",IFERROR(J68-H68,""))</f>
        <v>0</v>
      </c>
      <c r="M68" s="89"/>
    </row>
    <row r="69" customFormat="false" ht="12.75" hidden="false" customHeight="true" outlineLevel="0" collapsed="false">
      <c r="B69" s="58" t="s">
        <v>153</v>
      </c>
      <c r="C69" s="18" t="s">
        <v>159</v>
      </c>
      <c r="D69" s="18" t="s">
        <v>157</v>
      </c>
      <c r="E69" s="58" t="s">
        <v>9</v>
      </c>
      <c r="F69" s="59" t="s">
        <v>158</v>
      </c>
      <c r="G69" s="20" t="n">
        <v>1</v>
      </c>
      <c r="H69" s="20" t="n">
        <v>22150</v>
      </c>
      <c r="I69" s="88" t="n">
        <v>1</v>
      </c>
      <c r="J69" s="88" t="n">
        <v>22150</v>
      </c>
      <c r="K69" s="20" t="n">
        <f aca="false">IF(I69="","—",IFERROR(I69-G69,""))</f>
        <v>0</v>
      </c>
      <c r="L69" s="20" t="n">
        <f aca="false">IF(J69="","—",IFERROR(J69-H69,""))</f>
        <v>0</v>
      </c>
      <c r="M69" s="89"/>
    </row>
    <row r="70" customFormat="false" ht="12.75" hidden="false" customHeight="true" outlineLevel="0" collapsed="false">
      <c r="B70" s="58" t="s">
        <v>153</v>
      </c>
      <c r="C70" s="18" t="s">
        <v>160</v>
      </c>
      <c r="D70" s="18" t="s">
        <v>161</v>
      </c>
      <c r="E70" s="58" t="s">
        <v>9</v>
      </c>
      <c r="F70" s="59" t="s">
        <v>64</v>
      </c>
      <c r="G70" s="20" t="n">
        <v>1</v>
      </c>
      <c r="H70" s="20" t="n">
        <v>6099</v>
      </c>
      <c r="I70" s="88" t="n">
        <v>1</v>
      </c>
      <c r="J70" s="88" t="n">
        <v>6099</v>
      </c>
      <c r="K70" s="20" t="n">
        <f aca="false">IF(I70="","—",IFERROR(I70-G70,""))</f>
        <v>0</v>
      </c>
      <c r="L70" s="20" t="n">
        <f aca="false">IF(J70="","—",IFERROR(J70-H70,""))</f>
        <v>0</v>
      </c>
      <c r="M70" s="89"/>
    </row>
    <row r="71" customFormat="false" ht="12.75" hidden="false" customHeight="true" outlineLevel="0" collapsed="false">
      <c r="B71" s="58" t="s">
        <v>153</v>
      </c>
      <c r="C71" s="18" t="s">
        <v>162</v>
      </c>
      <c r="D71" s="18" t="s">
        <v>161</v>
      </c>
      <c r="E71" s="58" t="s">
        <v>9</v>
      </c>
      <c r="F71" s="59" t="s">
        <v>64</v>
      </c>
      <c r="G71" s="20" t="n">
        <v>1</v>
      </c>
      <c r="H71" s="20" t="n">
        <v>4199</v>
      </c>
      <c r="I71" s="88" t="n">
        <v>1</v>
      </c>
      <c r="J71" s="88" t="n">
        <v>4199</v>
      </c>
      <c r="K71" s="20" t="n">
        <f aca="false">IF(I71="","—",IFERROR(I71-G71,""))</f>
        <v>0</v>
      </c>
      <c r="L71" s="20" t="n">
        <f aca="false">IF(J71="","—",IFERROR(J71-H71,""))</f>
        <v>0</v>
      </c>
      <c r="M71" s="89"/>
    </row>
    <row r="72" customFormat="false" ht="12.75" hidden="false" customHeight="true" outlineLevel="0" collapsed="false">
      <c r="B72" s="66" t="s">
        <v>164</v>
      </c>
      <c r="C72" s="66"/>
      <c r="D72" s="66"/>
      <c r="E72" s="66"/>
      <c r="F72" s="66"/>
      <c r="G72" s="67" t="n">
        <v>248</v>
      </c>
      <c r="H72" s="67" t="n">
        <v>1433909</v>
      </c>
      <c r="I72" s="90" t="n">
        <v>248</v>
      </c>
      <c r="J72" s="90" t="n">
        <v>1433909</v>
      </c>
      <c r="K72" s="90" t="n">
        <v>0</v>
      </c>
      <c r="L72" s="90" t="n">
        <v>0</v>
      </c>
      <c r="M72" s="68"/>
    </row>
    <row r="73" customFormat="false" ht="7.5" hidden="false" customHeight="true" outlineLevel="0" collapsed="false"/>
    <row r="74" customFormat="false" ht="15" hidden="false" customHeight="false" outlineLevel="0" collapsed="false">
      <c r="B74" s="69" t="s">
        <v>165</v>
      </c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</row>
    <row r="75" customFormat="false" ht="12.75" hidden="false" customHeight="true" outlineLevel="0" collapsed="false">
      <c r="B75" s="13" t="s">
        <v>166</v>
      </c>
      <c r="C75" s="13" t="s">
        <v>167</v>
      </c>
      <c r="D75" s="13" t="s">
        <v>168</v>
      </c>
      <c r="E75" s="13" t="s">
        <v>11</v>
      </c>
      <c r="F75" s="70"/>
      <c r="G75" s="15" t="n">
        <v>16</v>
      </c>
      <c r="H75" s="15" t="n">
        <v>11200</v>
      </c>
      <c r="I75" s="88" t="n">
        <v>16</v>
      </c>
      <c r="J75" s="88" t="n">
        <v>11200</v>
      </c>
      <c r="K75" s="15" t="n">
        <f aca="false">IF(I75="","—",IFERROR(I75-G75,""))</f>
        <v>0</v>
      </c>
      <c r="L75" s="15" t="n">
        <f aca="false">IF(J75="","—",IFERROR(J75-H75,""))</f>
        <v>0</v>
      </c>
      <c r="M75" s="91"/>
    </row>
    <row r="76" customFormat="false" ht="12.75" hidden="false" customHeight="true" outlineLevel="0" collapsed="false">
      <c r="B76" s="13" t="s">
        <v>166</v>
      </c>
      <c r="C76" s="13" t="s">
        <v>169</v>
      </c>
      <c r="D76" s="13" t="s">
        <v>170</v>
      </c>
      <c r="E76" s="13" t="s">
        <v>11</v>
      </c>
      <c r="F76" s="70"/>
      <c r="G76" s="15" t="n">
        <v>5</v>
      </c>
      <c r="H76" s="15" t="n">
        <v>3000</v>
      </c>
      <c r="I76" s="88" t="n">
        <v>5</v>
      </c>
      <c r="J76" s="88" t="n">
        <v>3000</v>
      </c>
      <c r="K76" s="15" t="n">
        <f aca="false">IF(I76="","—",IFERROR(I76-G76,""))</f>
        <v>0</v>
      </c>
      <c r="L76" s="15" t="n">
        <f aca="false">IF(J76="","—",IFERROR(J76-H76,""))</f>
        <v>0</v>
      </c>
      <c r="M76" s="91"/>
    </row>
    <row r="77" customFormat="false" ht="12.75" hidden="false" customHeight="true" outlineLevel="0" collapsed="false">
      <c r="B77" s="13" t="s">
        <v>105</v>
      </c>
      <c r="C77" s="72" t="s">
        <v>172</v>
      </c>
      <c r="D77" s="72" t="s">
        <v>173</v>
      </c>
      <c r="E77" s="13" t="s">
        <v>11</v>
      </c>
      <c r="F77" s="70"/>
      <c r="G77" s="15" t="n">
        <v>6</v>
      </c>
      <c r="H77" s="15" t="n">
        <v>13200</v>
      </c>
      <c r="I77" s="88" t="n">
        <v>6</v>
      </c>
      <c r="J77" s="88" t="n">
        <v>13200</v>
      </c>
      <c r="K77" s="15" t="n">
        <f aca="false">IF(I77="","—",IFERROR(I77-G77,""))</f>
        <v>0</v>
      </c>
      <c r="L77" s="15" t="n">
        <f aca="false">IF(J77="","—",IFERROR(J77-H77,""))</f>
        <v>0</v>
      </c>
      <c r="M77" s="91"/>
    </row>
    <row r="78" customFormat="false" ht="12.75" hidden="false" customHeight="true" outlineLevel="0" collapsed="false">
      <c r="B78" s="13" t="s">
        <v>105</v>
      </c>
      <c r="C78" s="72" t="s">
        <v>174</v>
      </c>
      <c r="D78" s="72" t="s">
        <v>175</v>
      </c>
      <c r="E78" s="13" t="s">
        <v>11</v>
      </c>
      <c r="F78" s="70"/>
      <c r="G78" s="15" t="n">
        <v>2</v>
      </c>
      <c r="H78" s="15" t="n">
        <v>4172</v>
      </c>
      <c r="I78" s="88" t="n">
        <v>2</v>
      </c>
      <c r="J78" s="88" t="n">
        <v>4172</v>
      </c>
      <c r="K78" s="15" t="n">
        <f aca="false">IF(I78="","—",IFERROR(I78-G78,""))</f>
        <v>0</v>
      </c>
      <c r="L78" s="15" t="n">
        <f aca="false">IF(J78="","—",IFERROR(J78-H78,""))</f>
        <v>0</v>
      </c>
      <c r="M78" s="91"/>
    </row>
    <row r="79" customFormat="false" ht="12.75" hidden="false" customHeight="true" outlineLevel="0" collapsed="false">
      <c r="B79" s="13" t="s">
        <v>105</v>
      </c>
      <c r="C79" s="72" t="s">
        <v>176</v>
      </c>
      <c r="D79" s="72" t="s">
        <v>177</v>
      </c>
      <c r="E79" s="13" t="s">
        <v>11</v>
      </c>
      <c r="F79" s="70"/>
      <c r="G79" s="15" t="n">
        <v>1</v>
      </c>
      <c r="H79" s="15" t="n">
        <v>2650</v>
      </c>
      <c r="I79" s="88" t="n">
        <v>1</v>
      </c>
      <c r="J79" s="88" t="n">
        <v>2650</v>
      </c>
      <c r="K79" s="15" t="n">
        <f aca="false">IF(I79="","—",IFERROR(I79-G79,""))</f>
        <v>0</v>
      </c>
      <c r="L79" s="15" t="n">
        <f aca="false">IF(J79="","—",IFERROR(J79-H79,""))</f>
        <v>0</v>
      </c>
      <c r="M79" s="91"/>
    </row>
    <row r="80" customFormat="false" ht="12.75" hidden="false" customHeight="true" outlineLevel="0" collapsed="false">
      <c r="B80" s="13" t="s">
        <v>105</v>
      </c>
      <c r="C80" s="72" t="s">
        <v>178</v>
      </c>
      <c r="D80" s="72" t="s">
        <v>175</v>
      </c>
      <c r="E80" s="13" t="s">
        <v>11</v>
      </c>
      <c r="F80" s="70"/>
      <c r="G80" s="15" t="n">
        <v>1</v>
      </c>
      <c r="H80" s="15" t="n">
        <v>2086</v>
      </c>
      <c r="I80" s="88" t="n">
        <v>1</v>
      </c>
      <c r="J80" s="88" t="n">
        <v>2086</v>
      </c>
      <c r="K80" s="15" t="n">
        <f aca="false">IF(I80="","—",IFERROR(I80-G80,""))</f>
        <v>0</v>
      </c>
      <c r="L80" s="15" t="n">
        <f aca="false">IF(J80="","—",IFERROR(J80-H80,""))</f>
        <v>0</v>
      </c>
      <c r="M80" s="91"/>
    </row>
    <row r="81" customFormat="false" ht="12.75" hidden="false" customHeight="true" outlineLevel="0" collapsed="false">
      <c r="B81" s="13" t="s">
        <v>105</v>
      </c>
      <c r="C81" s="72" t="s">
        <v>179</v>
      </c>
      <c r="D81" s="72" t="s">
        <v>175</v>
      </c>
      <c r="E81" s="13" t="s">
        <v>11</v>
      </c>
      <c r="F81" s="70"/>
      <c r="G81" s="15" t="n">
        <v>1</v>
      </c>
      <c r="H81" s="15" t="n">
        <v>1736</v>
      </c>
      <c r="I81" s="88" t="n">
        <v>1</v>
      </c>
      <c r="J81" s="88" t="n">
        <v>1736</v>
      </c>
      <c r="K81" s="15" t="n">
        <f aca="false">IF(I81="","—",IFERROR(I81-G81,""))</f>
        <v>0</v>
      </c>
      <c r="L81" s="15" t="n">
        <f aca="false">IF(J81="","—",IFERROR(J81-H81,""))</f>
        <v>0</v>
      </c>
      <c r="M81" s="91"/>
    </row>
    <row r="82" customFormat="false" ht="12.75" hidden="false" customHeight="true" outlineLevel="0" collapsed="false">
      <c r="B82" s="13" t="s">
        <v>105</v>
      </c>
      <c r="C82" s="72" t="s">
        <v>180</v>
      </c>
      <c r="D82" s="72" t="s">
        <v>177</v>
      </c>
      <c r="E82" s="13" t="s">
        <v>11</v>
      </c>
      <c r="F82" s="70"/>
      <c r="G82" s="15" t="n">
        <v>1</v>
      </c>
      <c r="H82" s="15" t="n">
        <v>1580</v>
      </c>
      <c r="I82" s="88" t="n">
        <v>1</v>
      </c>
      <c r="J82" s="88" t="n">
        <v>1580</v>
      </c>
      <c r="K82" s="15" t="n">
        <f aca="false">IF(I82="","—",IFERROR(I82-G82,""))</f>
        <v>0</v>
      </c>
      <c r="L82" s="15" t="n">
        <f aca="false">IF(J82="","—",IFERROR(J82-H82,""))</f>
        <v>0</v>
      </c>
      <c r="M82" s="91"/>
    </row>
    <row r="83" customFormat="false" ht="12.75" hidden="false" customHeight="true" outlineLevel="0" collapsed="false">
      <c r="B83" s="13" t="s">
        <v>105</v>
      </c>
      <c r="C83" s="72" t="s">
        <v>181</v>
      </c>
      <c r="D83" s="72" t="s">
        <v>177</v>
      </c>
      <c r="E83" s="13" t="s">
        <v>11</v>
      </c>
      <c r="F83" s="70"/>
      <c r="G83" s="15" t="n">
        <v>0</v>
      </c>
      <c r="H83" s="15" t="n">
        <v>0</v>
      </c>
      <c r="I83" s="88" t="n">
        <v>0</v>
      </c>
      <c r="J83" s="88" t="n">
        <v>0</v>
      </c>
      <c r="K83" s="15" t="n">
        <f aca="false">IF(I83="","—",IFERROR(I83-G83,""))</f>
        <v>0</v>
      </c>
      <c r="L83" s="15" t="n">
        <f aca="false">IF(J83="","—",IFERROR(J83-H83,""))</f>
        <v>0</v>
      </c>
      <c r="M83" s="91"/>
    </row>
    <row r="84" customFormat="false" ht="12.75" hidden="false" customHeight="true" outlineLevel="0" collapsed="false">
      <c r="B84" s="13" t="s">
        <v>182</v>
      </c>
      <c r="C84" s="72" t="s">
        <v>183</v>
      </c>
      <c r="D84" s="72" t="s">
        <v>184</v>
      </c>
      <c r="E84" s="13" t="s">
        <v>11</v>
      </c>
      <c r="F84" s="70"/>
      <c r="G84" s="15" t="n">
        <v>1</v>
      </c>
      <c r="H84" s="15" t="n">
        <v>3000</v>
      </c>
      <c r="I84" s="88" t="n">
        <v>1</v>
      </c>
      <c r="J84" s="88" t="n">
        <v>3000</v>
      </c>
      <c r="K84" s="15" t="n">
        <f aca="false">IF(I84="","—",IFERROR(I84-G84,""))</f>
        <v>0</v>
      </c>
      <c r="L84" s="15" t="n">
        <f aca="false">IF(J84="","—",IFERROR(J84-H84,""))</f>
        <v>0</v>
      </c>
      <c r="M84" s="91"/>
    </row>
    <row r="85" customFormat="false" ht="12.75" hidden="false" customHeight="true" outlineLevel="0" collapsed="false">
      <c r="B85" s="13" t="s">
        <v>126</v>
      </c>
      <c r="C85" s="72" t="s">
        <v>186</v>
      </c>
      <c r="D85" s="72" t="s">
        <v>187</v>
      </c>
      <c r="E85" s="13" t="s">
        <v>11</v>
      </c>
      <c r="F85" s="70"/>
      <c r="G85" s="15" t="n">
        <v>2</v>
      </c>
      <c r="H85" s="15" t="n">
        <v>74400</v>
      </c>
      <c r="I85" s="88" t="n">
        <v>2</v>
      </c>
      <c r="J85" s="88" t="n">
        <v>74400</v>
      </c>
      <c r="K85" s="15" t="n">
        <f aca="false">IF(I85="","—",IFERROR(I85-G85,""))</f>
        <v>0</v>
      </c>
      <c r="L85" s="15" t="n">
        <f aca="false">IF(J85="","—",IFERROR(J85-H85,""))</f>
        <v>0</v>
      </c>
      <c r="M85" s="91"/>
    </row>
    <row r="86" customFormat="false" ht="12.75" hidden="false" customHeight="true" outlineLevel="0" collapsed="false">
      <c r="B86" s="13" t="s">
        <v>126</v>
      </c>
      <c r="C86" s="72" t="s">
        <v>188</v>
      </c>
      <c r="D86" s="72" t="s">
        <v>189</v>
      </c>
      <c r="E86" s="13" t="s">
        <v>11</v>
      </c>
      <c r="F86" s="70"/>
      <c r="G86" s="15" t="n">
        <v>1</v>
      </c>
      <c r="H86" s="15" t="n">
        <v>62600</v>
      </c>
      <c r="I86" s="88" t="n">
        <v>1</v>
      </c>
      <c r="J86" s="88" t="n">
        <v>62600</v>
      </c>
      <c r="K86" s="15" t="n">
        <f aca="false">IF(I86="","—",IFERROR(I86-G86,""))</f>
        <v>0</v>
      </c>
      <c r="L86" s="15" t="n">
        <f aca="false">IF(J86="","—",IFERROR(J86-H86,""))</f>
        <v>0</v>
      </c>
      <c r="M86" s="91"/>
    </row>
    <row r="87" customFormat="false" ht="12.75" hidden="false" customHeight="true" outlineLevel="0" collapsed="false">
      <c r="B87" s="13" t="s">
        <v>126</v>
      </c>
      <c r="C87" s="72" t="s">
        <v>190</v>
      </c>
      <c r="D87" s="72" t="s">
        <v>189</v>
      </c>
      <c r="E87" s="13" t="s">
        <v>11</v>
      </c>
      <c r="F87" s="70"/>
      <c r="G87" s="15" t="n">
        <v>1</v>
      </c>
      <c r="H87" s="15" t="n">
        <v>58687.5</v>
      </c>
      <c r="I87" s="88" t="n">
        <v>1</v>
      </c>
      <c r="J87" s="88" t="n">
        <v>58688</v>
      </c>
      <c r="K87" s="15" t="n">
        <f aca="false">IF(I87="","—",IFERROR(I87-G87,""))</f>
        <v>0</v>
      </c>
      <c r="L87" s="15" t="n">
        <f aca="false">IF(J87="","—",IFERROR(J87-H87,""))</f>
        <v>0.5</v>
      </c>
      <c r="M87" s="91"/>
    </row>
    <row r="88" customFormat="false" ht="12.75" hidden="false" customHeight="true" outlineLevel="0" collapsed="false">
      <c r="B88" s="13" t="s">
        <v>126</v>
      </c>
      <c r="C88" s="72" t="s">
        <v>191</v>
      </c>
      <c r="D88" s="72" t="s">
        <v>187</v>
      </c>
      <c r="E88" s="13" t="s">
        <v>11</v>
      </c>
      <c r="F88" s="70"/>
      <c r="G88" s="15" t="n">
        <v>1</v>
      </c>
      <c r="H88" s="15" t="n">
        <v>39707</v>
      </c>
      <c r="I88" s="88" t="n">
        <v>1</v>
      </c>
      <c r="J88" s="88" t="n">
        <v>39707</v>
      </c>
      <c r="K88" s="15" t="n">
        <f aca="false">IF(I88="","—",IFERROR(I88-G88,""))</f>
        <v>0</v>
      </c>
      <c r="L88" s="15" t="n">
        <f aca="false">IF(J88="","—",IFERROR(J88-H88,""))</f>
        <v>0</v>
      </c>
      <c r="M88" s="91"/>
    </row>
    <row r="89" customFormat="false" ht="12.75" hidden="false" customHeight="true" outlineLevel="0" collapsed="false">
      <c r="B89" s="13" t="s">
        <v>126</v>
      </c>
      <c r="C89" s="72" t="s">
        <v>192</v>
      </c>
      <c r="D89" s="72" t="s">
        <v>187</v>
      </c>
      <c r="E89" s="13" t="s">
        <v>11</v>
      </c>
      <c r="F89" s="70"/>
      <c r="G89" s="15" t="n">
        <v>1</v>
      </c>
      <c r="H89" s="15" t="n">
        <v>37200</v>
      </c>
      <c r="I89" s="88" t="n">
        <v>1</v>
      </c>
      <c r="J89" s="88" t="n">
        <v>37200</v>
      </c>
      <c r="K89" s="15" t="n">
        <f aca="false">IF(I89="","—",IFERROR(I89-G89,""))</f>
        <v>0</v>
      </c>
      <c r="L89" s="15" t="n">
        <f aca="false">IF(J89="","—",IFERROR(J89-H89,""))</f>
        <v>0</v>
      </c>
      <c r="M89" s="91"/>
    </row>
    <row r="90" customFormat="false" ht="12.75" hidden="false" customHeight="true" outlineLevel="0" collapsed="false">
      <c r="B90" s="13" t="s">
        <v>126</v>
      </c>
      <c r="C90" s="72" t="s">
        <v>193</v>
      </c>
      <c r="D90" s="72" t="s">
        <v>187</v>
      </c>
      <c r="E90" s="13" t="s">
        <v>11</v>
      </c>
      <c r="F90" s="70"/>
      <c r="G90" s="15" t="n">
        <v>1</v>
      </c>
      <c r="H90" s="15" t="n">
        <v>37200</v>
      </c>
      <c r="I90" s="88" t="n">
        <v>1</v>
      </c>
      <c r="J90" s="88" t="n">
        <v>37200</v>
      </c>
      <c r="K90" s="15" t="n">
        <f aca="false">IF(I90="","—",IFERROR(I90-G90,""))</f>
        <v>0</v>
      </c>
      <c r="L90" s="15" t="n">
        <f aca="false">IF(J90="","—",IFERROR(J90-H90,""))</f>
        <v>0</v>
      </c>
      <c r="M90" s="91"/>
    </row>
    <row r="91" customFormat="false" ht="12.75" hidden="false" customHeight="true" outlineLevel="0" collapsed="false">
      <c r="B91" s="13" t="s">
        <v>126</v>
      </c>
      <c r="C91" s="72" t="s">
        <v>194</v>
      </c>
      <c r="D91" s="72" t="s">
        <v>187</v>
      </c>
      <c r="E91" s="13" t="s">
        <v>11</v>
      </c>
      <c r="F91" s="70"/>
      <c r="G91" s="15" t="n">
        <v>1</v>
      </c>
      <c r="H91" s="15" t="n">
        <v>37200</v>
      </c>
      <c r="I91" s="88" t="n">
        <v>1</v>
      </c>
      <c r="J91" s="88" t="n">
        <v>37200</v>
      </c>
      <c r="K91" s="15" t="n">
        <f aca="false">IF(I91="","—",IFERROR(I91-G91,""))</f>
        <v>0</v>
      </c>
      <c r="L91" s="15" t="n">
        <f aca="false">IF(J91="","—",IFERROR(J91-H91,""))</f>
        <v>0</v>
      </c>
      <c r="M91" s="91"/>
    </row>
    <row r="92" customFormat="false" ht="12.75" hidden="false" customHeight="true" outlineLevel="0" collapsed="false">
      <c r="B92" s="13" t="s">
        <v>126</v>
      </c>
      <c r="C92" s="72" t="s">
        <v>195</v>
      </c>
      <c r="D92" s="72" t="s">
        <v>187</v>
      </c>
      <c r="E92" s="13" t="s">
        <v>11</v>
      </c>
      <c r="F92" s="70"/>
      <c r="G92" s="15" t="n">
        <v>1</v>
      </c>
      <c r="H92" s="15" t="n">
        <v>37200</v>
      </c>
      <c r="I92" s="88" t="n">
        <v>1</v>
      </c>
      <c r="J92" s="88" t="n">
        <v>37200</v>
      </c>
      <c r="K92" s="15" t="n">
        <f aca="false">IF(I92="","—",IFERROR(I92-G92,""))</f>
        <v>0</v>
      </c>
      <c r="L92" s="15" t="n">
        <f aca="false">IF(J92="","—",IFERROR(J92-H92,""))</f>
        <v>0</v>
      </c>
      <c r="M92" s="91"/>
    </row>
    <row r="93" customFormat="false" ht="12.75" hidden="false" customHeight="true" outlineLevel="0" collapsed="false">
      <c r="B93" s="13" t="s">
        <v>126</v>
      </c>
      <c r="C93" s="72" t="s">
        <v>196</v>
      </c>
      <c r="D93" s="72" t="s">
        <v>187</v>
      </c>
      <c r="E93" s="13" t="s">
        <v>11</v>
      </c>
      <c r="F93" s="70"/>
      <c r="G93" s="15" t="n">
        <v>1</v>
      </c>
      <c r="H93" s="15" t="n">
        <v>37200</v>
      </c>
      <c r="I93" s="88" t="n">
        <v>1</v>
      </c>
      <c r="J93" s="88" t="n">
        <v>37200</v>
      </c>
      <c r="K93" s="15" t="n">
        <f aca="false">IF(I93="","—",IFERROR(I93-G93,""))</f>
        <v>0</v>
      </c>
      <c r="L93" s="15" t="n">
        <f aca="false">IF(J93="","—",IFERROR(J93-H93,""))</f>
        <v>0</v>
      </c>
      <c r="M93" s="91"/>
    </row>
    <row r="94" customFormat="false" ht="12.75" hidden="false" customHeight="true" outlineLevel="0" collapsed="false">
      <c r="B94" s="13" t="s">
        <v>126</v>
      </c>
      <c r="C94" s="72" t="s">
        <v>197</v>
      </c>
      <c r="D94" s="72" t="s">
        <v>187</v>
      </c>
      <c r="E94" s="13" t="s">
        <v>11</v>
      </c>
      <c r="F94" s="70"/>
      <c r="G94" s="15" t="n">
        <v>1</v>
      </c>
      <c r="H94" s="15" t="n">
        <v>37200</v>
      </c>
      <c r="I94" s="88" t="n">
        <v>1</v>
      </c>
      <c r="J94" s="88" t="n">
        <v>37200</v>
      </c>
      <c r="K94" s="15" t="n">
        <f aca="false">IF(I94="","—",IFERROR(I94-G94,""))</f>
        <v>0</v>
      </c>
      <c r="L94" s="15" t="n">
        <f aca="false">IF(J94="","—",IFERROR(J94-H94,""))</f>
        <v>0</v>
      </c>
      <c r="M94" s="91"/>
    </row>
    <row r="95" customFormat="false" ht="12.75" hidden="false" customHeight="true" outlineLevel="0" collapsed="false">
      <c r="B95" s="13" t="s">
        <v>126</v>
      </c>
      <c r="C95" s="72" t="s">
        <v>198</v>
      </c>
      <c r="D95" s="72" t="s">
        <v>187</v>
      </c>
      <c r="E95" s="13" t="s">
        <v>11</v>
      </c>
      <c r="F95" s="70"/>
      <c r="G95" s="15" t="n">
        <v>1</v>
      </c>
      <c r="H95" s="15" t="n">
        <v>37200</v>
      </c>
      <c r="I95" s="88" t="n">
        <v>1</v>
      </c>
      <c r="J95" s="88" t="n">
        <v>37200</v>
      </c>
      <c r="K95" s="15" t="n">
        <f aca="false">IF(I95="","—",IFERROR(I95-G95,""))</f>
        <v>0</v>
      </c>
      <c r="L95" s="15" t="n">
        <f aca="false">IF(J95="","—",IFERROR(J95-H95,""))</f>
        <v>0</v>
      </c>
      <c r="M95" s="91"/>
    </row>
    <row r="96" customFormat="false" ht="12.75" hidden="false" customHeight="true" outlineLevel="0" collapsed="false">
      <c r="B96" s="13" t="s">
        <v>126</v>
      </c>
      <c r="C96" s="72" t="s">
        <v>199</v>
      </c>
      <c r="D96" s="72" t="s">
        <v>187</v>
      </c>
      <c r="E96" s="13" t="s">
        <v>11</v>
      </c>
      <c r="F96" s="70"/>
      <c r="G96" s="15" t="n">
        <v>1</v>
      </c>
      <c r="H96" s="15" t="n">
        <v>37200</v>
      </c>
      <c r="I96" s="88" t="n">
        <v>1</v>
      </c>
      <c r="J96" s="88" t="n">
        <v>37200</v>
      </c>
      <c r="K96" s="15" t="n">
        <f aca="false">IF(I96="","—",IFERROR(I96-G96,""))</f>
        <v>0</v>
      </c>
      <c r="L96" s="15" t="n">
        <f aca="false">IF(J96="","—",IFERROR(J96-H96,""))</f>
        <v>0</v>
      </c>
      <c r="M96" s="91"/>
    </row>
    <row r="97" customFormat="false" ht="12.75" hidden="false" customHeight="true" outlineLevel="0" collapsed="false">
      <c r="B97" s="13" t="s">
        <v>126</v>
      </c>
      <c r="C97" s="72" t="s">
        <v>200</v>
      </c>
      <c r="D97" s="72" t="s">
        <v>187</v>
      </c>
      <c r="E97" s="13" t="s">
        <v>11</v>
      </c>
      <c r="F97" s="70"/>
      <c r="G97" s="15" t="n">
        <v>1</v>
      </c>
      <c r="H97" s="15" t="n">
        <v>37200</v>
      </c>
      <c r="I97" s="88" t="n">
        <v>1</v>
      </c>
      <c r="J97" s="88" t="n">
        <v>37200</v>
      </c>
      <c r="K97" s="15" t="n">
        <f aca="false">IF(I97="","—",IFERROR(I97-G97,""))</f>
        <v>0</v>
      </c>
      <c r="L97" s="15" t="n">
        <f aca="false">IF(J97="","—",IFERROR(J97-H97,""))</f>
        <v>0</v>
      </c>
      <c r="M97" s="91"/>
    </row>
    <row r="98" customFormat="false" ht="12.75" hidden="false" customHeight="true" outlineLevel="0" collapsed="false">
      <c r="B98" s="13" t="s">
        <v>126</v>
      </c>
      <c r="C98" s="72" t="s">
        <v>201</v>
      </c>
      <c r="D98" s="72" t="s">
        <v>202</v>
      </c>
      <c r="E98" s="13" t="s">
        <v>11</v>
      </c>
      <c r="F98" s="70"/>
      <c r="G98" s="15" t="n">
        <v>1</v>
      </c>
      <c r="H98" s="15" t="n">
        <v>28000</v>
      </c>
      <c r="I98" s="88" t="n">
        <v>1</v>
      </c>
      <c r="J98" s="88" t="n">
        <v>28000</v>
      </c>
      <c r="K98" s="15" t="n">
        <f aca="false">IF(I98="","—",IFERROR(I98-G98,""))</f>
        <v>0</v>
      </c>
      <c r="L98" s="15" t="n">
        <f aca="false">IF(J98="","—",IFERROR(J98-H98,""))</f>
        <v>0</v>
      </c>
      <c r="M98" s="91"/>
    </row>
    <row r="99" customFormat="false" ht="12.75" hidden="false" customHeight="true" outlineLevel="0" collapsed="false">
      <c r="B99" s="13" t="s">
        <v>126</v>
      </c>
      <c r="C99" s="72" t="s">
        <v>203</v>
      </c>
      <c r="D99" s="72" t="s">
        <v>187</v>
      </c>
      <c r="E99" s="13" t="s">
        <v>11</v>
      </c>
      <c r="F99" s="70"/>
      <c r="G99" s="15" t="n">
        <v>0</v>
      </c>
      <c r="H99" s="15" t="n">
        <v>0</v>
      </c>
      <c r="I99" s="88" t="n">
        <v>0</v>
      </c>
      <c r="J99" s="88" t="n">
        <v>0</v>
      </c>
      <c r="K99" s="15" t="n">
        <f aca="false">IF(I99="","—",IFERROR(I99-G99,""))</f>
        <v>0</v>
      </c>
      <c r="L99" s="15" t="n">
        <f aca="false">IF(J99="","—",IFERROR(J99-H99,""))</f>
        <v>0</v>
      </c>
      <c r="M99" s="91"/>
    </row>
    <row r="100" customFormat="false" ht="12.75" hidden="false" customHeight="true" outlineLevel="0" collapsed="false">
      <c r="B100" s="13" t="s">
        <v>126</v>
      </c>
      <c r="C100" s="72" t="s">
        <v>204</v>
      </c>
      <c r="D100" s="72" t="s">
        <v>187</v>
      </c>
      <c r="E100" s="13" t="s">
        <v>11</v>
      </c>
      <c r="F100" s="70"/>
      <c r="G100" s="15" t="n">
        <v>0</v>
      </c>
      <c r="H100" s="15" t="n">
        <v>0</v>
      </c>
      <c r="I100" s="88" t="n">
        <v>0</v>
      </c>
      <c r="J100" s="88" t="n">
        <v>0</v>
      </c>
      <c r="K100" s="15" t="n">
        <f aca="false">IF(I100="","—",IFERROR(I100-G100,""))</f>
        <v>0</v>
      </c>
      <c r="L100" s="15" t="n">
        <f aca="false">IF(J100="","—",IFERROR(J100-H100,""))</f>
        <v>0</v>
      </c>
      <c r="M100" s="91"/>
    </row>
    <row r="101" customFormat="false" ht="12.75" hidden="false" customHeight="true" outlineLevel="0" collapsed="false">
      <c r="B101" s="13" t="s">
        <v>126</v>
      </c>
      <c r="C101" s="72" t="s">
        <v>205</v>
      </c>
      <c r="D101" s="72" t="s">
        <v>187</v>
      </c>
      <c r="E101" s="13" t="s">
        <v>11</v>
      </c>
      <c r="F101" s="70"/>
      <c r="G101" s="15" t="n">
        <v>0</v>
      </c>
      <c r="H101" s="15" t="n">
        <v>0</v>
      </c>
      <c r="I101" s="88" t="n">
        <v>0</v>
      </c>
      <c r="J101" s="88" t="n">
        <v>0</v>
      </c>
      <c r="K101" s="15" t="n">
        <f aca="false">IF(I101="","—",IFERROR(I101-G101,""))</f>
        <v>0</v>
      </c>
      <c r="L101" s="15" t="n">
        <f aca="false">IF(J101="","—",IFERROR(J101-H101,""))</f>
        <v>0</v>
      </c>
      <c r="M101" s="91"/>
    </row>
    <row r="102" customFormat="false" ht="12.75" hidden="false" customHeight="true" outlineLevel="0" collapsed="false">
      <c r="B102" s="13" t="s">
        <v>126</v>
      </c>
      <c r="C102" s="72" t="s">
        <v>206</v>
      </c>
      <c r="D102" s="72" t="s">
        <v>207</v>
      </c>
      <c r="E102" s="13" t="s">
        <v>11</v>
      </c>
      <c r="F102" s="70"/>
      <c r="G102" s="15" t="n">
        <v>0</v>
      </c>
      <c r="H102" s="15" t="n">
        <v>0</v>
      </c>
      <c r="I102" s="88" t="n">
        <v>0</v>
      </c>
      <c r="J102" s="88" t="n">
        <v>0</v>
      </c>
      <c r="K102" s="15" t="n">
        <f aca="false">IF(I102="","—",IFERROR(I102-G102,""))</f>
        <v>0</v>
      </c>
      <c r="L102" s="15" t="n">
        <f aca="false">IF(J102="","—",IFERROR(J102-H102,""))</f>
        <v>0</v>
      </c>
      <c r="M102" s="91"/>
    </row>
    <row r="103" customFormat="false" ht="12.75" hidden="false" customHeight="true" outlineLevel="0" collapsed="false">
      <c r="B103" s="13" t="s">
        <v>126</v>
      </c>
      <c r="C103" s="72" t="s">
        <v>208</v>
      </c>
      <c r="D103" s="72" t="s">
        <v>207</v>
      </c>
      <c r="E103" s="13" t="s">
        <v>11</v>
      </c>
      <c r="F103" s="70"/>
      <c r="G103" s="15" t="n">
        <v>0</v>
      </c>
      <c r="H103" s="15" t="n">
        <v>0</v>
      </c>
      <c r="I103" s="88" t="n">
        <v>0</v>
      </c>
      <c r="J103" s="88" t="n">
        <v>0</v>
      </c>
      <c r="K103" s="15" t="n">
        <f aca="false">IF(I103="","—",IFERROR(I103-G103,""))</f>
        <v>0</v>
      </c>
      <c r="L103" s="15" t="n">
        <f aca="false">IF(J103="","—",IFERROR(J103-H103,""))</f>
        <v>0</v>
      </c>
      <c r="M103" s="91"/>
    </row>
    <row r="104" customFormat="false" ht="12.75" hidden="false" customHeight="true" outlineLevel="0" collapsed="false">
      <c r="B104" s="13" t="s">
        <v>126</v>
      </c>
      <c r="C104" s="72" t="s">
        <v>209</v>
      </c>
      <c r="D104" s="72" t="s">
        <v>207</v>
      </c>
      <c r="E104" s="13" t="s">
        <v>11</v>
      </c>
      <c r="F104" s="70"/>
      <c r="G104" s="15" t="n">
        <v>0</v>
      </c>
      <c r="H104" s="15" t="n">
        <v>0</v>
      </c>
      <c r="I104" s="88" t="n">
        <v>0</v>
      </c>
      <c r="J104" s="88" t="n">
        <v>0</v>
      </c>
      <c r="K104" s="15" t="n">
        <f aca="false">IF(I104="","—",IFERROR(I104-G104,""))</f>
        <v>0</v>
      </c>
      <c r="L104" s="15" t="n">
        <f aca="false">IF(J104="","—",IFERROR(J104-H104,""))</f>
        <v>0</v>
      </c>
      <c r="M104" s="91"/>
    </row>
    <row r="105" customFormat="false" ht="12.75" hidden="false" customHeight="true" outlineLevel="0" collapsed="false">
      <c r="B105" s="13" t="s">
        <v>153</v>
      </c>
      <c r="C105" s="72" t="s">
        <v>210</v>
      </c>
      <c r="D105" s="72" t="s">
        <v>155</v>
      </c>
      <c r="E105" s="13" t="s">
        <v>11</v>
      </c>
      <c r="F105" s="70"/>
      <c r="G105" s="15" t="n">
        <v>25</v>
      </c>
      <c r="H105" s="15" t="n">
        <v>162500</v>
      </c>
      <c r="I105" s="88" t="n">
        <v>25</v>
      </c>
      <c r="J105" s="88" t="n">
        <v>162500</v>
      </c>
      <c r="K105" s="15" t="n">
        <f aca="false">IF(I105="","—",IFERROR(I105-G105,""))</f>
        <v>0</v>
      </c>
      <c r="L105" s="15" t="n">
        <f aca="false">IF(J105="","—",IFERROR(J105-H105,""))</f>
        <v>0</v>
      </c>
      <c r="M105" s="91"/>
    </row>
    <row r="106" customFormat="false" ht="12.75" hidden="false" customHeight="true" outlineLevel="0" collapsed="false">
      <c r="B106" s="13" t="s">
        <v>153</v>
      </c>
      <c r="C106" s="72" t="s">
        <v>211</v>
      </c>
      <c r="D106" s="72" t="s">
        <v>212</v>
      </c>
      <c r="E106" s="13" t="s">
        <v>11</v>
      </c>
      <c r="F106" s="70"/>
      <c r="G106" s="15" t="n">
        <v>13</v>
      </c>
      <c r="H106" s="15" t="n">
        <v>95464.33</v>
      </c>
      <c r="I106" s="88" t="n">
        <v>11</v>
      </c>
      <c r="J106" s="88" t="n">
        <v>80778</v>
      </c>
      <c r="K106" s="15" t="n">
        <f aca="false">IF(I106="","—",IFERROR(I106-G106,""))</f>
        <v>-2</v>
      </c>
      <c r="L106" s="15" t="n">
        <f aca="false">IF(J106="","—",IFERROR(J106-H106,""))</f>
        <v>-14686.33</v>
      </c>
      <c r="M106" s="91"/>
    </row>
    <row r="107" customFormat="false" ht="12.75" hidden="false" customHeight="true" outlineLevel="0" collapsed="false">
      <c r="B107" s="13" t="s">
        <v>153</v>
      </c>
      <c r="C107" s="72" t="s">
        <v>213</v>
      </c>
      <c r="D107" s="72" t="s">
        <v>212</v>
      </c>
      <c r="E107" s="13" t="s">
        <v>11</v>
      </c>
      <c r="F107" s="70"/>
      <c r="G107" s="15" t="n">
        <v>8</v>
      </c>
      <c r="H107" s="15" t="n">
        <v>58747.28</v>
      </c>
      <c r="I107" s="88" t="n">
        <v>6</v>
      </c>
      <c r="J107" s="88" t="n">
        <v>44060</v>
      </c>
      <c r="K107" s="15" t="n">
        <f aca="false">IF(I107="","—",IFERROR(I107-G107,""))</f>
        <v>-2</v>
      </c>
      <c r="L107" s="15" t="n">
        <f aca="false">IF(J107="","—",IFERROR(J107-H107,""))</f>
        <v>-14687.28</v>
      </c>
      <c r="M107" s="91"/>
    </row>
    <row r="108" customFormat="false" ht="12.75" hidden="false" customHeight="true" outlineLevel="0" collapsed="false">
      <c r="B108" s="13" t="s">
        <v>153</v>
      </c>
      <c r="C108" s="72" t="s">
        <v>214</v>
      </c>
      <c r="D108" s="72" t="s">
        <v>215</v>
      </c>
      <c r="E108" s="13" t="s">
        <v>11</v>
      </c>
      <c r="F108" s="70"/>
      <c r="G108" s="15" t="n">
        <v>1</v>
      </c>
      <c r="H108" s="15" t="n">
        <v>18488</v>
      </c>
      <c r="I108" s="88" t="n">
        <v>1</v>
      </c>
      <c r="J108" s="88" t="n">
        <v>18488</v>
      </c>
      <c r="K108" s="15" t="n">
        <f aca="false">IF(I108="","—",IFERROR(I108-G108,""))</f>
        <v>0</v>
      </c>
      <c r="L108" s="15" t="n">
        <f aca="false">IF(J108="","—",IFERROR(J108-H108,""))</f>
        <v>0</v>
      </c>
      <c r="M108" s="91"/>
    </row>
    <row r="109" customFormat="false" ht="12.75" hidden="false" customHeight="true" outlineLevel="0" collapsed="false">
      <c r="B109" s="13" t="s">
        <v>153</v>
      </c>
      <c r="C109" s="72" t="s">
        <v>216</v>
      </c>
      <c r="D109" s="72" t="s">
        <v>217</v>
      </c>
      <c r="E109" s="13" t="s">
        <v>11</v>
      </c>
      <c r="F109" s="70"/>
      <c r="G109" s="15" t="n">
        <v>1</v>
      </c>
      <c r="H109" s="15" t="n">
        <v>13100</v>
      </c>
      <c r="I109" s="88" t="n">
        <v>1</v>
      </c>
      <c r="J109" s="88" t="n">
        <v>13100</v>
      </c>
      <c r="K109" s="15" t="n">
        <f aca="false">IF(I109="","—",IFERROR(I109-G109,""))</f>
        <v>0</v>
      </c>
      <c r="L109" s="15" t="n">
        <f aca="false">IF(J109="","—",IFERROR(J109-H109,""))</f>
        <v>0</v>
      </c>
      <c r="M109" s="91"/>
    </row>
    <row r="110" customFormat="false" ht="12.75" hidden="false" customHeight="true" outlineLevel="0" collapsed="false">
      <c r="B110" s="13" t="s">
        <v>153</v>
      </c>
      <c r="C110" s="72" t="s">
        <v>218</v>
      </c>
      <c r="D110" s="72" t="s">
        <v>155</v>
      </c>
      <c r="E110" s="13" t="s">
        <v>11</v>
      </c>
      <c r="F110" s="70"/>
      <c r="G110" s="15" t="n">
        <v>0</v>
      </c>
      <c r="H110" s="15" t="n">
        <v>0</v>
      </c>
      <c r="I110" s="88" t="n">
        <v>0</v>
      </c>
      <c r="J110" s="88" t="n">
        <v>0</v>
      </c>
      <c r="K110" s="15" t="n">
        <f aca="false">IF(I110="","—",IFERROR(I110-G110,""))</f>
        <v>0</v>
      </c>
      <c r="L110" s="15" t="n">
        <f aca="false">IF(J110="","—",IFERROR(J110-H110,""))</f>
        <v>0</v>
      </c>
      <c r="M110" s="91"/>
    </row>
    <row r="111" customFormat="false" ht="12.75" hidden="false" customHeight="true" outlineLevel="0" collapsed="false">
      <c r="B111" s="66" t="s">
        <v>219</v>
      </c>
      <c r="C111" s="66"/>
      <c r="D111" s="66"/>
      <c r="E111" s="66"/>
      <c r="F111" s="66"/>
      <c r="G111" s="67" t="n">
        <v>97</v>
      </c>
      <c r="H111" s="67" t="n">
        <v>989118.11</v>
      </c>
      <c r="I111" s="90" t="n">
        <v>93</v>
      </c>
      <c r="J111" s="90" t="n">
        <v>959745</v>
      </c>
      <c r="K111" s="90" t="n">
        <v>-4</v>
      </c>
      <c r="L111" s="90" t="n">
        <v>-29373.11</v>
      </c>
      <c r="M111" s="68"/>
    </row>
    <row r="112" customFormat="false" ht="7.5" hidden="false" customHeight="true" outlineLevel="0" collapsed="false"/>
    <row r="113" customFormat="false" ht="15" hidden="false" customHeight="false" outlineLevel="0" collapsed="false">
      <c r="B113" s="73" t="s">
        <v>220</v>
      </c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</row>
    <row r="114" customFormat="false" ht="12.75" hidden="false" customHeight="true" outlineLevel="0" collapsed="false">
      <c r="B114" s="58" t="s">
        <v>109</v>
      </c>
      <c r="C114" s="18" t="s">
        <v>221</v>
      </c>
      <c r="D114" s="18" t="s">
        <v>215</v>
      </c>
      <c r="E114" s="18" t="s">
        <v>13</v>
      </c>
      <c r="F114" s="64"/>
      <c r="G114" s="20" t="n">
        <v>10</v>
      </c>
      <c r="H114" s="20" t="n">
        <v>18040</v>
      </c>
      <c r="I114" s="88" t="n">
        <v>10</v>
      </c>
      <c r="J114" s="88" t="n">
        <v>18040</v>
      </c>
      <c r="K114" s="20" t="n">
        <f aca="false">IF(I114="","—",IFERROR(I114-G114,""))</f>
        <v>0</v>
      </c>
      <c r="L114" s="20" t="n">
        <f aca="false">IF(J114="","—",IFERROR(J114-H114,""))</f>
        <v>0</v>
      </c>
      <c r="M114" s="89"/>
    </row>
    <row r="115" customFormat="false" ht="12.75" hidden="false" customHeight="true" outlineLevel="0" collapsed="false">
      <c r="B115" s="58" t="s">
        <v>109</v>
      </c>
      <c r="C115" s="18" t="s">
        <v>222</v>
      </c>
      <c r="D115" s="18" t="s">
        <v>215</v>
      </c>
      <c r="E115" s="18" t="s">
        <v>13</v>
      </c>
      <c r="F115" s="64"/>
      <c r="G115" s="20" t="n">
        <v>9</v>
      </c>
      <c r="H115" s="20" t="n">
        <v>16236</v>
      </c>
      <c r="I115" s="88" t="n">
        <v>9</v>
      </c>
      <c r="J115" s="88" t="n">
        <v>16236</v>
      </c>
      <c r="K115" s="20" t="n">
        <f aca="false">IF(I115="","—",IFERROR(I115-G115,""))</f>
        <v>0</v>
      </c>
      <c r="L115" s="20" t="n">
        <f aca="false">IF(J115="","—",IFERROR(J115-H115,""))</f>
        <v>0</v>
      </c>
      <c r="M115" s="89"/>
    </row>
    <row r="116" customFormat="false" ht="12.75" hidden="false" customHeight="true" outlineLevel="0" collapsed="false">
      <c r="B116" s="58" t="s">
        <v>109</v>
      </c>
      <c r="C116" s="18" t="s">
        <v>223</v>
      </c>
      <c r="D116" s="18" t="s">
        <v>215</v>
      </c>
      <c r="E116" s="18" t="s">
        <v>13</v>
      </c>
      <c r="F116" s="64"/>
      <c r="G116" s="20" t="n">
        <v>1</v>
      </c>
      <c r="H116" s="20" t="n">
        <v>1900</v>
      </c>
      <c r="I116" s="88" t="n">
        <v>1</v>
      </c>
      <c r="J116" s="88" t="n">
        <v>1900</v>
      </c>
      <c r="K116" s="20" t="n">
        <f aca="false">IF(I116="","—",IFERROR(I116-G116,""))</f>
        <v>0</v>
      </c>
      <c r="L116" s="20" t="n">
        <f aca="false">IF(J116="","—",IFERROR(J116-H116,""))</f>
        <v>0</v>
      </c>
      <c r="M116" s="89"/>
    </row>
    <row r="117" customFormat="false" ht="12.75" hidden="false" customHeight="true" outlineLevel="0" collapsed="false">
      <c r="B117" s="58" t="s">
        <v>109</v>
      </c>
      <c r="C117" s="18" t="s">
        <v>224</v>
      </c>
      <c r="D117" s="18" t="s">
        <v>215</v>
      </c>
      <c r="E117" s="18" t="s">
        <v>13</v>
      </c>
      <c r="F117" s="64"/>
      <c r="G117" s="20" t="n">
        <v>0</v>
      </c>
      <c r="H117" s="20" t="n">
        <v>0</v>
      </c>
      <c r="I117" s="88" t="n">
        <v>0</v>
      </c>
      <c r="J117" s="88" t="n">
        <v>0</v>
      </c>
      <c r="K117" s="20" t="n">
        <f aca="false">IF(I117="","—",IFERROR(I117-G117,""))</f>
        <v>0</v>
      </c>
      <c r="L117" s="20" t="n">
        <f aca="false">IF(J117="","—",IFERROR(J117-H117,""))</f>
        <v>0</v>
      </c>
      <c r="M117" s="89"/>
    </row>
    <row r="118" customFormat="false" ht="12.75" hidden="false" customHeight="true" outlineLevel="0" collapsed="false">
      <c r="B118" s="74" t="s">
        <v>225</v>
      </c>
      <c r="C118" s="74"/>
      <c r="D118" s="74"/>
      <c r="E118" s="74"/>
      <c r="F118" s="74"/>
      <c r="G118" s="67" t="n">
        <v>20</v>
      </c>
      <c r="H118" s="67" t="n">
        <v>36176</v>
      </c>
      <c r="I118" s="90" t="n">
        <v>20</v>
      </c>
      <c r="J118" s="90" t="n">
        <v>36176</v>
      </c>
      <c r="K118" s="90" t="n">
        <v>0</v>
      </c>
      <c r="L118" s="90" t="n">
        <v>0</v>
      </c>
      <c r="M118" s="68"/>
    </row>
    <row r="119" customFormat="false" ht="7.5" hidden="false" customHeight="true" outlineLevel="0" collapsed="false"/>
    <row r="120" customFormat="false" ht="15" hidden="false" customHeight="false" outlineLevel="0" collapsed="false">
      <c r="B120" s="75" t="s">
        <v>226</v>
      </c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</row>
    <row r="121" customFormat="false" ht="12.75" hidden="false" customHeight="true" outlineLevel="0" collapsed="false">
      <c r="B121" s="22" t="s">
        <v>227</v>
      </c>
      <c r="C121" s="79" t="s">
        <v>228</v>
      </c>
      <c r="D121" s="79" t="s">
        <v>68</v>
      </c>
      <c r="E121" s="22" t="s">
        <v>15</v>
      </c>
      <c r="F121" s="80"/>
      <c r="G121" s="24" t="n">
        <v>2</v>
      </c>
      <c r="H121" s="24" t="n">
        <v>2450</v>
      </c>
      <c r="I121" s="88" t="n">
        <v>2</v>
      </c>
      <c r="J121" s="88" t="n">
        <v>2450</v>
      </c>
      <c r="K121" s="24" t="n">
        <f aca="false">IF(I121="","—",IFERROR(I121-G121,""))</f>
        <v>0</v>
      </c>
      <c r="L121" s="24" t="n">
        <f aca="false">IF(J121="","—",IFERROR(J121-H121,""))</f>
        <v>0</v>
      </c>
      <c r="M121" s="92"/>
    </row>
    <row r="122" customFormat="false" ht="12.75" hidden="false" customHeight="true" outlineLevel="0" collapsed="false">
      <c r="B122" s="27" t="s">
        <v>227</v>
      </c>
      <c r="C122" s="76" t="s">
        <v>229</v>
      </c>
      <c r="D122" s="76" t="s">
        <v>230</v>
      </c>
      <c r="E122" s="27" t="s">
        <v>15</v>
      </c>
      <c r="F122" s="77"/>
      <c r="G122" s="29" t="n">
        <v>0</v>
      </c>
      <c r="H122" s="29" t="n">
        <v>0</v>
      </c>
      <c r="I122" s="88" t="n">
        <v>0</v>
      </c>
      <c r="J122" s="88" t="n">
        <v>0</v>
      </c>
      <c r="K122" s="29" t="n">
        <f aca="false">IF(I122="","—",IFERROR(I122-G122,""))</f>
        <v>0</v>
      </c>
      <c r="L122" s="29" t="n">
        <f aca="false">IF(J122="","—",IFERROR(J122-H122,""))</f>
        <v>0</v>
      </c>
      <c r="M122" s="93"/>
    </row>
    <row r="123" customFormat="false" ht="12.75" hidden="false" customHeight="true" outlineLevel="0" collapsed="false">
      <c r="B123" s="22" t="s">
        <v>57</v>
      </c>
      <c r="C123" s="79" t="s">
        <v>232</v>
      </c>
      <c r="D123" s="79" t="s">
        <v>233</v>
      </c>
      <c r="E123" s="22" t="s">
        <v>15</v>
      </c>
      <c r="F123" s="80"/>
      <c r="G123" s="24" t="n">
        <v>0</v>
      </c>
      <c r="H123" s="24" t="n">
        <v>0</v>
      </c>
      <c r="I123" s="88" t="n">
        <v>0</v>
      </c>
      <c r="J123" s="88" t="n">
        <v>0</v>
      </c>
      <c r="K123" s="24" t="n">
        <f aca="false">IF(I123="","—",IFERROR(I123-G123,""))</f>
        <v>0</v>
      </c>
      <c r="L123" s="24" t="n">
        <f aca="false">IF(J123="","—",IFERROR(J123-H123,""))</f>
        <v>0</v>
      </c>
      <c r="M123" s="92"/>
    </row>
    <row r="124" customFormat="false" ht="12.75" hidden="false" customHeight="true" outlineLevel="0" collapsed="false">
      <c r="B124" s="27" t="s">
        <v>57</v>
      </c>
      <c r="C124" s="76" t="s">
        <v>234</v>
      </c>
      <c r="D124" s="76" t="s">
        <v>235</v>
      </c>
      <c r="E124" s="27" t="s">
        <v>15</v>
      </c>
      <c r="F124" s="77"/>
      <c r="G124" s="29" t="n">
        <v>0</v>
      </c>
      <c r="H124" s="29" t="n">
        <v>0</v>
      </c>
      <c r="I124" s="88" t="n">
        <v>0</v>
      </c>
      <c r="J124" s="88" t="n">
        <v>0</v>
      </c>
      <c r="K124" s="29" t="n">
        <f aca="false">IF(I124="","—",IFERROR(I124-G124,""))</f>
        <v>0</v>
      </c>
      <c r="L124" s="29" t="n">
        <f aca="false">IF(J124="","—",IFERROR(J124-H124,""))</f>
        <v>0</v>
      </c>
      <c r="M124" s="93"/>
    </row>
    <row r="125" customFormat="false" ht="12.75" hidden="false" customHeight="true" outlineLevel="0" collapsed="false">
      <c r="B125" s="22" t="s">
        <v>166</v>
      </c>
      <c r="C125" s="22" t="s">
        <v>236</v>
      </c>
      <c r="D125" s="22" t="s">
        <v>168</v>
      </c>
      <c r="E125" s="22" t="s">
        <v>15</v>
      </c>
      <c r="F125" s="80"/>
      <c r="G125" s="24" t="n">
        <v>381</v>
      </c>
      <c r="H125" s="24" t="n">
        <v>35433</v>
      </c>
      <c r="I125" s="88" t="n">
        <v>381</v>
      </c>
      <c r="J125" s="88" t="n">
        <v>35433</v>
      </c>
      <c r="K125" s="24" t="n">
        <f aca="false">IF(I125="","—",IFERROR(I125-G125,""))</f>
        <v>0</v>
      </c>
      <c r="L125" s="24" t="n">
        <f aca="false">IF(J125="","—",IFERROR(J125-H125,""))</f>
        <v>0</v>
      </c>
      <c r="M125" s="92"/>
    </row>
    <row r="126" customFormat="false" ht="12.75" hidden="false" customHeight="true" outlineLevel="0" collapsed="false">
      <c r="B126" s="27" t="s">
        <v>166</v>
      </c>
      <c r="C126" s="27" t="s">
        <v>237</v>
      </c>
      <c r="D126" s="27" t="s">
        <v>168</v>
      </c>
      <c r="E126" s="27" t="s">
        <v>15</v>
      </c>
      <c r="F126" s="77"/>
      <c r="G126" s="29" t="n">
        <v>220</v>
      </c>
      <c r="H126" s="29" t="n">
        <v>18480</v>
      </c>
      <c r="I126" s="88" t="n">
        <v>216</v>
      </c>
      <c r="J126" s="88" t="n">
        <v>18144</v>
      </c>
      <c r="K126" s="29" t="n">
        <f aca="false">IF(I126="","—",IFERROR(I126-G126,""))</f>
        <v>-4</v>
      </c>
      <c r="L126" s="29" t="n">
        <f aca="false">IF(J126="","—",IFERROR(J126-H126,""))</f>
        <v>-336</v>
      </c>
      <c r="M126" s="93"/>
    </row>
    <row r="127" customFormat="false" ht="12.75" hidden="false" customHeight="true" outlineLevel="0" collapsed="false">
      <c r="B127" s="22" t="s">
        <v>166</v>
      </c>
      <c r="C127" s="22" t="s">
        <v>238</v>
      </c>
      <c r="D127" s="22" t="s">
        <v>239</v>
      </c>
      <c r="E127" s="22" t="s">
        <v>15</v>
      </c>
      <c r="F127" s="80"/>
      <c r="G127" s="24" t="n">
        <v>100</v>
      </c>
      <c r="H127" s="24" t="n">
        <v>14000</v>
      </c>
      <c r="I127" s="88" t="n">
        <v>100</v>
      </c>
      <c r="J127" s="88" t="n">
        <v>14000</v>
      </c>
      <c r="K127" s="24" t="n">
        <f aca="false">IF(I127="","—",IFERROR(I127-G127,""))</f>
        <v>0</v>
      </c>
      <c r="L127" s="24" t="n">
        <f aca="false">IF(J127="","—",IFERROR(J127-H127,""))</f>
        <v>0</v>
      </c>
      <c r="M127" s="92"/>
    </row>
    <row r="128" customFormat="false" ht="12.75" hidden="false" customHeight="true" outlineLevel="0" collapsed="false">
      <c r="B128" s="27" t="s">
        <v>166</v>
      </c>
      <c r="C128" s="27" t="s">
        <v>240</v>
      </c>
      <c r="D128" s="27" t="s">
        <v>239</v>
      </c>
      <c r="E128" s="27" t="s">
        <v>15</v>
      </c>
      <c r="F128" s="77"/>
      <c r="G128" s="29" t="n">
        <v>100</v>
      </c>
      <c r="H128" s="29" t="n">
        <v>14000</v>
      </c>
      <c r="I128" s="88" t="n">
        <v>80</v>
      </c>
      <c r="J128" s="88" t="n">
        <v>11200</v>
      </c>
      <c r="K128" s="29" t="n">
        <f aca="false">IF(I128="","—",IFERROR(I128-G128,""))</f>
        <v>-20</v>
      </c>
      <c r="L128" s="29" t="n">
        <f aca="false">IF(J128="","—",IFERROR(J128-H128,""))</f>
        <v>-2800</v>
      </c>
      <c r="M128" s="93"/>
    </row>
    <row r="129" customFormat="false" ht="12.75" hidden="false" customHeight="true" outlineLevel="0" collapsed="false">
      <c r="B129" s="22" t="s">
        <v>166</v>
      </c>
      <c r="C129" s="22" t="s">
        <v>241</v>
      </c>
      <c r="D129" s="22" t="s">
        <v>242</v>
      </c>
      <c r="E129" s="22" t="s">
        <v>15</v>
      </c>
      <c r="F129" s="80"/>
      <c r="G129" s="24" t="n">
        <v>160</v>
      </c>
      <c r="H129" s="24" t="n">
        <v>13440</v>
      </c>
      <c r="I129" s="88" t="n">
        <v>160</v>
      </c>
      <c r="J129" s="88" t="n">
        <v>13440</v>
      </c>
      <c r="K129" s="24" t="n">
        <f aca="false">IF(I129="","—",IFERROR(I129-G129,""))</f>
        <v>0</v>
      </c>
      <c r="L129" s="24" t="n">
        <f aca="false">IF(J129="","—",IFERROR(J129-H129,""))</f>
        <v>0</v>
      </c>
      <c r="M129" s="92"/>
    </row>
    <row r="130" customFormat="false" ht="12.75" hidden="false" customHeight="true" outlineLevel="0" collapsed="false">
      <c r="B130" s="27" t="s">
        <v>166</v>
      </c>
      <c r="C130" s="27" t="s">
        <v>243</v>
      </c>
      <c r="D130" s="27" t="s">
        <v>168</v>
      </c>
      <c r="E130" s="27" t="s">
        <v>15</v>
      </c>
      <c r="F130" s="77"/>
      <c r="G130" s="29" t="n">
        <v>100</v>
      </c>
      <c r="H130" s="29" t="n">
        <v>8000</v>
      </c>
      <c r="I130" s="88" t="n">
        <v>96</v>
      </c>
      <c r="J130" s="88" t="n">
        <v>7680</v>
      </c>
      <c r="K130" s="29" t="n">
        <f aca="false">IF(I130="","—",IFERROR(I130-G130,""))</f>
        <v>-4</v>
      </c>
      <c r="L130" s="29" t="n">
        <f aca="false">IF(J130="","—",IFERROR(J130-H130,""))</f>
        <v>-320</v>
      </c>
      <c r="M130" s="93"/>
    </row>
    <row r="131" customFormat="false" ht="12.75" hidden="false" customHeight="true" outlineLevel="0" collapsed="false">
      <c r="B131" s="22" t="s">
        <v>166</v>
      </c>
      <c r="C131" s="22" t="s">
        <v>244</v>
      </c>
      <c r="D131" s="22" t="s">
        <v>168</v>
      </c>
      <c r="E131" s="22" t="s">
        <v>15</v>
      </c>
      <c r="F131" s="80"/>
      <c r="G131" s="24" t="n">
        <v>42</v>
      </c>
      <c r="H131" s="24" t="n">
        <v>7896</v>
      </c>
      <c r="I131" s="88" t="n">
        <v>42</v>
      </c>
      <c r="J131" s="88" t="n">
        <v>7896</v>
      </c>
      <c r="K131" s="24" t="n">
        <f aca="false">IF(I131="","—",IFERROR(I131-G131,""))</f>
        <v>0</v>
      </c>
      <c r="L131" s="24" t="n">
        <f aca="false">IF(J131="","—",IFERROR(J131-H131,""))</f>
        <v>0</v>
      </c>
      <c r="M131" s="92"/>
    </row>
    <row r="132" customFormat="false" ht="12.75" hidden="false" customHeight="true" outlineLevel="0" collapsed="false">
      <c r="B132" s="27" t="s">
        <v>166</v>
      </c>
      <c r="C132" s="27" t="s">
        <v>245</v>
      </c>
      <c r="D132" s="27" t="s">
        <v>239</v>
      </c>
      <c r="E132" s="27" t="s">
        <v>15</v>
      </c>
      <c r="F132" s="77"/>
      <c r="G132" s="29" t="n">
        <v>50</v>
      </c>
      <c r="H132" s="29" t="n">
        <v>6750</v>
      </c>
      <c r="I132" s="88" t="n">
        <v>50</v>
      </c>
      <c r="J132" s="88" t="n">
        <v>6750</v>
      </c>
      <c r="K132" s="29" t="n">
        <f aca="false">IF(I132="","—",IFERROR(I132-G132,""))</f>
        <v>0</v>
      </c>
      <c r="L132" s="29" t="n">
        <f aca="false">IF(J132="","—",IFERROR(J132-H132,""))</f>
        <v>0</v>
      </c>
      <c r="M132" s="93"/>
    </row>
    <row r="133" customFormat="false" ht="12.75" hidden="false" customHeight="true" outlineLevel="0" collapsed="false">
      <c r="B133" s="22" t="s">
        <v>166</v>
      </c>
      <c r="C133" s="22" t="s">
        <v>246</v>
      </c>
      <c r="D133" s="22" t="s">
        <v>239</v>
      </c>
      <c r="E133" s="22" t="s">
        <v>15</v>
      </c>
      <c r="F133" s="80"/>
      <c r="G133" s="24" t="n">
        <v>49</v>
      </c>
      <c r="H133" s="24" t="n">
        <v>6615</v>
      </c>
      <c r="I133" s="88" t="n">
        <v>29</v>
      </c>
      <c r="J133" s="88" t="n">
        <v>3915</v>
      </c>
      <c r="K133" s="24" t="n">
        <f aca="false">IF(I133="","—",IFERROR(I133-G133,""))</f>
        <v>-20</v>
      </c>
      <c r="L133" s="24" t="n">
        <f aca="false">IF(J133="","—",IFERROR(J133-H133,""))</f>
        <v>-2700</v>
      </c>
      <c r="M133" s="92"/>
    </row>
    <row r="134" customFormat="false" ht="12.75" hidden="false" customHeight="true" outlineLevel="0" collapsed="false">
      <c r="B134" s="27" t="s">
        <v>166</v>
      </c>
      <c r="C134" s="27" t="s">
        <v>247</v>
      </c>
      <c r="D134" s="27" t="s">
        <v>248</v>
      </c>
      <c r="E134" s="27" t="s">
        <v>15</v>
      </c>
      <c r="F134" s="77"/>
      <c r="G134" s="29" t="n">
        <v>17</v>
      </c>
      <c r="H134" s="29" t="n">
        <v>5950</v>
      </c>
      <c r="I134" s="88" t="n">
        <v>15</v>
      </c>
      <c r="J134" s="88" t="n">
        <v>5250</v>
      </c>
      <c r="K134" s="29" t="n">
        <f aca="false">IF(I134="","—",IFERROR(I134-G134,""))</f>
        <v>-2</v>
      </c>
      <c r="L134" s="29" t="n">
        <f aca="false">IF(J134="","—",IFERROR(J134-H134,""))</f>
        <v>-700</v>
      </c>
      <c r="M134" s="93"/>
    </row>
    <row r="135" customFormat="false" ht="12.75" hidden="false" customHeight="true" outlineLevel="0" collapsed="false">
      <c r="B135" s="22" t="s">
        <v>166</v>
      </c>
      <c r="C135" s="22" t="s">
        <v>249</v>
      </c>
      <c r="D135" s="22" t="s">
        <v>250</v>
      </c>
      <c r="E135" s="22" t="s">
        <v>15</v>
      </c>
      <c r="F135" s="80"/>
      <c r="G135" s="24" t="n">
        <v>16</v>
      </c>
      <c r="H135" s="24" t="n">
        <v>4320</v>
      </c>
      <c r="I135" s="88" t="n">
        <v>5</v>
      </c>
      <c r="J135" s="88" t="n">
        <v>1350</v>
      </c>
      <c r="K135" s="24" t="n">
        <f aca="false">IF(I135="","—",IFERROR(I135-G135,""))</f>
        <v>-11</v>
      </c>
      <c r="L135" s="24" t="n">
        <f aca="false">IF(J135="","—",IFERROR(J135-H135,""))</f>
        <v>-2970</v>
      </c>
      <c r="M135" s="92"/>
    </row>
    <row r="136" customFormat="false" ht="12.75" hidden="false" customHeight="true" outlineLevel="0" collapsed="false">
      <c r="B136" s="27" t="s">
        <v>166</v>
      </c>
      <c r="C136" s="27" t="s">
        <v>251</v>
      </c>
      <c r="D136" s="27" t="s">
        <v>168</v>
      </c>
      <c r="E136" s="27" t="s">
        <v>15</v>
      </c>
      <c r="F136" s="77"/>
      <c r="G136" s="29" t="n">
        <v>44</v>
      </c>
      <c r="H136" s="29" t="n">
        <v>3960</v>
      </c>
      <c r="I136" s="88" t="n">
        <v>44</v>
      </c>
      <c r="J136" s="88" t="n">
        <v>3960</v>
      </c>
      <c r="K136" s="29" t="n">
        <f aca="false">IF(I136="","—",IFERROR(I136-G136,""))</f>
        <v>0</v>
      </c>
      <c r="L136" s="29" t="n">
        <f aca="false">IF(J136="","—",IFERROR(J136-H136,""))</f>
        <v>0</v>
      </c>
      <c r="M136" s="93"/>
    </row>
    <row r="137" customFormat="false" ht="12.75" hidden="false" customHeight="true" outlineLevel="0" collapsed="false">
      <c r="B137" s="22" t="s">
        <v>166</v>
      </c>
      <c r="C137" s="22" t="s">
        <v>252</v>
      </c>
      <c r="D137" s="22" t="s">
        <v>250</v>
      </c>
      <c r="E137" s="22" t="s">
        <v>15</v>
      </c>
      <c r="F137" s="80"/>
      <c r="G137" s="24" t="n">
        <v>14</v>
      </c>
      <c r="H137" s="24" t="n">
        <v>3780</v>
      </c>
      <c r="I137" s="88" t="n">
        <v>14</v>
      </c>
      <c r="J137" s="88" t="n">
        <v>3780</v>
      </c>
      <c r="K137" s="24" t="n">
        <f aca="false">IF(I137="","—",IFERROR(I137-G137,""))</f>
        <v>0</v>
      </c>
      <c r="L137" s="24" t="n">
        <f aca="false">IF(J137="","—",IFERROR(J137-H137,""))</f>
        <v>0</v>
      </c>
      <c r="M137" s="92"/>
    </row>
    <row r="138" customFormat="false" ht="12.75" hidden="false" customHeight="true" outlineLevel="0" collapsed="false">
      <c r="B138" s="27" t="s">
        <v>166</v>
      </c>
      <c r="C138" s="27" t="s">
        <v>253</v>
      </c>
      <c r="D138" s="27" t="s">
        <v>254</v>
      </c>
      <c r="E138" s="27" t="s">
        <v>15</v>
      </c>
      <c r="F138" s="77"/>
      <c r="G138" s="29" t="n">
        <v>6</v>
      </c>
      <c r="H138" s="29" t="n">
        <v>1374</v>
      </c>
      <c r="I138" s="88" t="n">
        <v>6</v>
      </c>
      <c r="J138" s="88" t="n">
        <v>1374</v>
      </c>
      <c r="K138" s="29" t="n">
        <f aca="false">IF(I138="","—",IFERROR(I138-G138,""))</f>
        <v>0</v>
      </c>
      <c r="L138" s="29" t="n">
        <f aca="false">IF(J138="","—",IFERROR(J138-H138,""))</f>
        <v>0</v>
      </c>
      <c r="M138" s="93"/>
    </row>
    <row r="139" customFormat="false" ht="12.75" hidden="false" customHeight="true" outlineLevel="0" collapsed="false">
      <c r="B139" s="22" t="s">
        <v>166</v>
      </c>
      <c r="C139" s="22" t="s">
        <v>255</v>
      </c>
      <c r="D139" s="22" t="s">
        <v>256</v>
      </c>
      <c r="E139" s="22" t="s">
        <v>15</v>
      </c>
      <c r="F139" s="80"/>
      <c r="G139" s="24" t="n">
        <v>2</v>
      </c>
      <c r="H139" s="24" t="n">
        <v>888</v>
      </c>
      <c r="I139" s="88" t="n">
        <v>2</v>
      </c>
      <c r="J139" s="88" t="n">
        <v>888</v>
      </c>
      <c r="K139" s="24" t="n">
        <f aca="false">IF(I139="","—",IFERROR(I139-G139,""))</f>
        <v>0</v>
      </c>
      <c r="L139" s="24" t="n">
        <f aca="false">IF(J139="","—",IFERROR(J139-H139,""))</f>
        <v>0</v>
      </c>
      <c r="M139" s="92"/>
    </row>
    <row r="140" customFormat="false" ht="12.75" hidden="false" customHeight="true" outlineLevel="0" collapsed="false">
      <c r="B140" s="27" t="s">
        <v>166</v>
      </c>
      <c r="C140" s="27" t="s">
        <v>257</v>
      </c>
      <c r="D140" s="27" t="s">
        <v>248</v>
      </c>
      <c r="E140" s="27" t="s">
        <v>15</v>
      </c>
      <c r="F140" s="77"/>
      <c r="G140" s="29" t="n">
        <v>2</v>
      </c>
      <c r="H140" s="29" t="n">
        <v>800</v>
      </c>
      <c r="I140" s="88" t="n">
        <v>2</v>
      </c>
      <c r="J140" s="88" t="n">
        <v>800</v>
      </c>
      <c r="K140" s="29" t="n">
        <f aca="false">IF(I140="","—",IFERROR(I140-G140,""))</f>
        <v>0</v>
      </c>
      <c r="L140" s="29" t="n">
        <f aca="false">IF(J140="","—",IFERROR(J140-H140,""))</f>
        <v>0</v>
      </c>
      <c r="M140" s="93"/>
    </row>
    <row r="141" customFormat="false" ht="12.75" hidden="false" customHeight="true" outlineLevel="0" collapsed="false">
      <c r="B141" s="22" t="s">
        <v>166</v>
      </c>
      <c r="C141" s="22" t="s">
        <v>258</v>
      </c>
      <c r="D141" s="22" t="s">
        <v>250</v>
      </c>
      <c r="E141" s="22" t="s">
        <v>15</v>
      </c>
      <c r="F141" s="80"/>
      <c r="G141" s="24" t="n">
        <v>2</v>
      </c>
      <c r="H141" s="24" t="n">
        <v>736</v>
      </c>
      <c r="I141" s="88" t="n">
        <v>0</v>
      </c>
      <c r="J141" s="88" t="n">
        <v>0</v>
      </c>
      <c r="K141" s="24" t="n">
        <f aca="false">IF(I141="","—",IFERROR(I141-G141,""))</f>
        <v>-2</v>
      </c>
      <c r="L141" s="24" t="n">
        <f aca="false">IF(J141="","—",IFERROR(J141-H141,""))</f>
        <v>-736</v>
      </c>
      <c r="M141" s="92"/>
    </row>
    <row r="142" customFormat="false" ht="12.75" hidden="false" customHeight="true" outlineLevel="0" collapsed="false">
      <c r="B142" s="27" t="s">
        <v>166</v>
      </c>
      <c r="C142" s="27" t="s">
        <v>259</v>
      </c>
      <c r="D142" s="27" t="s">
        <v>260</v>
      </c>
      <c r="E142" s="27" t="s">
        <v>15</v>
      </c>
      <c r="F142" s="77"/>
      <c r="G142" s="29" t="n">
        <v>5</v>
      </c>
      <c r="H142" s="29" t="n">
        <v>525</v>
      </c>
      <c r="I142" s="88" t="n">
        <v>5</v>
      </c>
      <c r="J142" s="88" t="n">
        <v>525</v>
      </c>
      <c r="K142" s="29" t="n">
        <f aca="false">IF(I142="","—",IFERROR(I142-G142,""))</f>
        <v>0</v>
      </c>
      <c r="L142" s="29" t="n">
        <f aca="false">IF(J142="","—",IFERROR(J142-H142,""))</f>
        <v>0</v>
      </c>
      <c r="M142" s="93"/>
    </row>
    <row r="143" customFormat="false" ht="12.75" hidden="false" customHeight="true" outlineLevel="0" collapsed="false">
      <c r="B143" s="22" t="s">
        <v>166</v>
      </c>
      <c r="C143" s="22" t="s">
        <v>261</v>
      </c>
      <c r="D143" s="22" t="s">
        <v>262</v>
      </c>
      <c r="E143" s="22" t="s">
        <v>15</v>
      </c>
      <c r="F143" s="80"/>
      <c r="G143" s="24" t="n">
        <v>2</v>
      </c>
      <c r="H143" s="24" t="n">
        <v>478</v>
      </c>
      <c r="I143" s="88" t="n">
        <v>2</v>
      </c>
      <c r="J143" s="88" t="n">
        <v>478</v>
      </c>
      <c r="K143" s="24" t="n">
        <f aca="false">IF(I143="","—",IFERROR(I143-G143,""))</f>
        <v>0</v>
      </c>
      <c r="L143" s="24" t="n">
        <f aca="false">IF(J143="","—",IFERROR(J143-H143,""))</f>
        <v>0</v>
      </c>
      <c r="M143" s="92"/>
    </row>
    <row r="144" customFormat="false" ht="12.75" hidden="false" customHeight="true" outlineLevel="0" collapsed="false">
      <c r="B144" s="27" t="s">
        <v>166</v>
      </c>
      <c r="C144" s="27" t="s">
        <v>263</v>
      </c>
      <c r="D144" s="27" t="s">
        <v>250</v>
      </c>
      <c r="E144" s="27" t="s">
        <v>15</v>
      </c>
      <c r="F144" s="77"/>
      <c r="G144" s="29" t="n">
        <v>0</v>
      </c>
      <c r="H144" s="29" t="n">
        <v>0</v>
      </c>
      <c r="I144" s="88" t="n">
        <v>0</v>
      </c>
      <c r="J144" s="88" t="n">
        <v>0</v>
      </c>
      <c r="K144" s="29" t="n">
        <f aca="false">IF(I144="","—",IFERROR(I144-G144,""))</f>
        <v>0</v>
      </c>
      <c r="L144" s="29" t="n">
        <f aca="false">IF(J144="","—",IFERROR(J144-H144,""))</f>
        <v>0</v>
      </c>
      <c r="M144" s="93"/>
    </row>
    <row r="145" customFormat="false" ht="12.75" hidden="false" customHeight="true" outlineLevel="0" collapsed="false">
      <c r="B145" s="22" t="s">
        <v>264</v>
      </c>
      <c r="C145" s="79" t="s">
        <v>265</v>
      </c>
      <c r="D145" s="79" t="s">
        <v>266</v>
      </c>
      <c r="E145" s="22" t="s">
        <v>15</v>
      </c>
      <c r="F145" s="80"/>
      <c r="G145" s="24" t="n">
        <v>0</v>
      </c>
      <c r="H145" s="24" t="n">
        <v>0</v>
      </c>
      <c r="I145" s="88" t="n">
        <v>0</v>
      </c>
      <c r="J145" s="88" t="n">
        <v>0</v>
      </c>
      <c r="K145" s="24" t="n">
        <f aca="false">IF(I145="","—",IFERROR(I145-G145,""))</f>
        <v>0</v>
      </c>
      <c r="L145" s="24" t="n">
        <f aca="false">IF(J145="","—",IFERROR(J145-H145,""))</f>
        <v>0</v>
      </c>
      <c r="M145" s="92"/>
    </row>
    <row r="146" customFormat="false" ht="12.75" hidden="false" customHeight="true" outlineLevel="0" collapsed="false">
      <c r="B146" s="27" t="s">
        <v>264</v>
      </c>
      <c r="C146" s="76" t="s">
        <v>267</v>
      </c>
      <c r="D146" s="76" t="s">
        <v>266</v>
      </c>
      <c r="E146" s="27" t="s">
        <v>15</v>
      </c>
      <c r="F146" s="77"/>
      <c r="G146" s="29" t="n">
        <v>0</v>
      </c>
      <c r="H146" s="29" t="n">
        <v>0</v>
      </c>
      <c r="I146" s="88" t="n">
        <v>0</v>
      </c>
      <c r="J146" s="88" t="n">
        <v>0</v>
      </c>
      <c r="K146" s="29" t="n">
        <f aca="false">IF(I146="","—",IFERROR(I146-G146,""))</f>
        <v>0</v>
      </c>
      <c r="L146" s="29" t="n">
        <f aca="false">IF(J146="","—",IFERROR(J146-H146,""))</f>
        <v>0</v>
      </c>
      <c r="M146" s="93"/>
    </row>
    <row r="147" customFormat="false" ht="12.75" hidden="false" customHeight="true" outlineLevel="0" collapsed="false">
      <c r="B147" s="22" t="s">
        <v>264</v>
      </c>
      <c r="C147" s="79" t="s">
        <v>268</v>
      </c>
      <c r="D147" s="79" t="s">
        <v>266</v>
      </c>
      <c r="E147" s="22" t="s">
        <v>15</v>
      </c>
      <c r="F147" s="80"/>
      <c r="G147" s="24" t="n">
        <v>0</v>
      </c>
      <c r="H147" s="24" t="n">
        <v>0</v>
      </c>
      <c r="I147" s="88" t="n">
        <v>0</v>
      </c>
      <c r="J147" s="88" t="n">
        <v>0</v>
      </c>
      <c r="K147" s="24" t="n">
        <f aca="false">IF(I147="","—",IFERROR(I147-G147,""))</f>
        <v>0</v>
      </c>
      <c r="L147" s="24" t="n">
        <f aca="false">IF(J147="","—",IFERROR(J147-H147,""))</f>
        <v>0</v>
      </c>
      <c r="M147" s="92"/>
    </row>
    <row r="148" customFormat="false" ht="12.75" hidden="false" customHeight="true" outlineLevel="0" collapsed="false">
      <c r="B148" s="27" t="s">
        <v>270</v>
      </c>
      <c r="C148" s="76" t="s">
        <v>271</v>
      </c>
      <c r="D148" s="76" t="s">
        <v>212</v>
      </c>
      <c r="E148" s="27" t="s">
        <v>15</v>
      </c>
      <c r="F148" s="77"/>
      <c r="G148" s="29" t="n">
        <v>24</v>
      </c>
      <c r="H148" s="29" t="n">
        <v>45168</v>
      </c>
      <c r="I148" s="88" t="n">
        <v>24</v>
      </c>
      <c r="J148" s="88" t="n">
        <v>45168</v>
      </c>
      <c r="K148" s="29" t="n">
        <f aca="false">IF(I148="","—",IFERROR(I148-G148,""))</f>
        <v>0</v>
      </c>
      <c r="L148" s="29" t="n">
        <f aca="false">IF(J148="","—",IFERROR(J148-H148,""))</f>
        <v>0</v>
      </c>
      <c r="M148" s="93"/>
    </row>
    <row r="149" customFormat="false" ht="12.75" hidden="false" customHeight="true" outlineLevel="0" collapsed="false">
      <c r="B149" s="22" t="s">
        <v>270</v>
      </c>
      <c r="C149" s="79" t="s">
        <v>272</v>
      </c>
      <c r="D149" s="79" t="s">
        <v>212</v>
      </c>
      <c r="E149" s="22" t="s">
        <v>15</v>
      </c>
      <c r="F149" s="80"/>
      <c r="G149" s="24" t="n">
        <v>24</v>
      </c>
      <c r="H149" s="24" t="n">
        <v>21168</v>
      </c>
      <c r="I149" s="88" t="n">
        <v>24</v>
      </c>
      <c r="J149" s="88" t="n">
        <v>21168</v>
      </c>
      <c r="K149" s="24" t="n">
        <f aca="false">IF(I149="","—",IFERROR(I149-G149,""))</f>
        <v>0</v>
      </c>
      <c r="L149" s="24" t="n">
        <f aca="false">IF(J149="","—",IFERROR(J149-H149,""))</f>
        <v>0</v>
      </c>
      <c r="M149" s="92"/>
    </row>
    <row r="150" customFormat="false" ht="12.75" hidden="false" customHeight="true" outlineLevel="0" collapsed="false">
      <c r="B150" s="27" t="s">
        <v>270</v>
      </c>
      <c r="C150" s="76" t="s">
        <v>273</v>
      </c>
      <c r="D150" s="76" t="s">
        <v>274</v>
      </c>
      <c r="E150" s="27" t="s">
        <v>15</v>
      </c>
      <c r="F150" s="77"/>
      <c r="G150" s="29" t="n">
        <v>15</v>
      </c>
      <c r="H150" s="29" t="n">
        <v>17250</v>
      </c>
      <c r="I150" s="88" t="n">
        <v>15</v>
      </c>
      <c r="J150" s="88" t="n">
        <v>17250</v>
      </c>
      <c r="K150" s="29" t="n">
        <f aca="false">IF(I150="","—",IFERROR(I150-G150,""))</f>
        <v>0</v>
      </c>
      <c r="L150" s="29" t="n">
        <f aca="false">IF(J150="","—",IFERROR(J150-H150,""))</f>
        <v>0</v>
      </c>
      <c r="M150" s="93"/>
    </row>
    <row r="151" customFormat="false" ht="12.75" hidden="false" customHeight="true" outlineLevel="0" collapsed="false">
      <c r="B151" s="22" t="s">
        <v>270</v>
      </c>
      <c r="C151" s="79" t="s">
        <v>275</v>
      </c>
      <c r="D151" s="79" t="s">
        <v>212</v>
      </c>
      <c r="E151" s="22" t="s">
        <v>15</v>
      </c>
      <c r="F151" s="80"/>
      <c r="G151" s="24" t="n">
        <v>24</v>
      </c>
      <c r="H151" s="24" t="n">
        <v>6408</v>
      </c>
      <c r="I151" s="88" t="n">
        <v>24</v>
      </c>
      <c r="J151" s="88" t="n">
        <v>6408</v>
      </c>
      <c r="K151" s="24" t="n">
        <f aca="false">IF(I151="","—",IFERROR(I151-G151,""))</f>
        <v>0</v>
      </c>
      <c r="L151" s="24" t="n">
        <f aca="false">IF(J151="","—",IFERROR(J151-H151,""))</f>
        <v>0</v>
      </c>
      <c r="M151" s="92"/>
    </row>
    <row r="152" customFormat="false" ht="12.75" hidden="false" customHeight="true" outlineLevel="0" collapsed="false">
      <c r="B152" s="27" t="s">
        <v>270</v>
      </c>
      <c r="C152" s="76" t="s">
        <v>276</v>
      </c>
      <c r="D152" s="76" t="s">
        <v>212</v>
      </c>
      <c r="E152" s="27" t="s">
        <v>15</v>
      </c>
      <c r="F152" s="77"/>
      <c r="G152" s="29" t="n">
        <v>24</v>
      </c>
      <c r="H152" s="29" t="n">
        <v>2880</v>
      </c>
      <c r="I152" s="88" t="n">
        <v>24</v>
      </c>
      <c r="J152" s="88" t="n">
        <v>2880</v>
      </c>
      <c r="K152" s="29" t="n">
        <f aca="false">IF(I152="","—",IFERROR(I152-G152,""))</f>
        <v>0</v>
      </c>
      <c r="L152" s="29" t="n">
        <f aca="false">IF(J152="","—",IFERROR(J152-H152,""))</f>
        <v>0</v>
      </c>
      <c r="M152" s="93"/>
    </row>
    <row r="153" customFormat="false" ht="12.75" hidden="false" customHeight="true" outlineLevel="0" collapsed="false">
      <c r="B153" s="22" t="s">
        <v>270</v>
      </c>
      <c r="C153" s="79" t="s">
        <v>277</v>
      </c>
      <c r="D153" s="79" t="s">
        <v>212</v>
      </c>
      <c r="E153" s="22" t="s">
        <v>15</v>
      </c>
      <c r="F153" s="80"/>
      <c r="G153" s="24" t="n">
        <v>24</v>
      </c>
      <c r="H153" s="24" t="n">
        <v>1920</v>
      </c>
      <c r="I153" s="88" t="n">
        <v>24</v>
      </c>
      <c r="J153" s="88" t="n">
        <v>1920</v>
      </c>
      <c r="K153" s="24" t="n">
        <f aca="false">IF(I153="","—",IFERROR(I153-G153,""))</f>
        <v>0</v>
      </c>
      <c r="L153" s="24" t="n">
        <f aca="false">IF(J153="","—",IFERROR(J153-H153,""))</f>
        <v>0</v>
      </c>
      <c r="M153" s="92"/>
    </row>
    <row r="154" customFormat="false" ht="12.75" hidden="false" customHeight="true" outlineLevel="0" collapsed="false">
      <c r="B154" s="27" t="s">
        <v>279</v>
      </c>
      <c r="C154" s="76" t="s">
        <v>280</v>
      </c>
      <c r="D154" s="76" t="s">
        <v>212</v>
      </c>
      <c r="E154" s="27" t="s">
        <v>15</v>
      </c>
      <c r="F154" s="77"/>
      <c r="G154" s="29" t="n">
        <v>16</v>
      </c>
      <c r="H154" s="29" t="n">
        <v>81742.08</v>
      </c>
      <c r="I154" s="88" t="n">
        <v>16</v>
      </c>
      <c r="J154" s="88" t="n">
        <v>81742</v>
      </c>
      <c r="K154" s="29" t="n">
        <f aca="false">IF(I154="","—",IFERROR(I154-G154,""))</f>
        <v>0</v>
      </c>
      <c r="L154" s="29" t="n">
        <f aca="false">IF(J154="","—",IFERROR(J154-H154,""))</f>
        <v>-0.0800000000017462</v>
      </c>
      <c r="M154" s="93"/>
    </row>
    <row r="155" customFormat="false" ht="12.75" hidden="false" customHeight="true" outlineLevel="0" collapsed="false">
      <c r="B155" s="22" t="s">
        <v>279</v>
      </c>
      <c r="C155" s="79" t="s">
        <v>281</v>
      </c>
      <c r="D155" s="79" t="s">
        <v>282</v>
      </c>
      <c r="E155" s="22" t="s">
        <v>15</v>
      </c>
      <c r="F155" s="80"/>
      <c r="G155" s="24" t="n">
        <v>24</v>
      </c>
      <c r="H155" s="24" t="n">
        <v>0</v>
      </c>
      <c r="I155" s="88" t="n">
        <v>24</v>
      </c>
      <c r="J155" s="88" t="n">
        <v>0</v>
      </c>
      <c r="K155" s="24" t="n">
        <f aca="false">IF(I155="","—",IFERROR(I155-G155,""))</f>
        <v>0</v>
      </c>
      <c r="L155" s="24" t="n">
        <f aca="false">IF(J155="","—",IFERROR(J155-H155,""))</f>
        <v>0</v>
      </c>
      <c r="M155" s="92"/>
    </row>
    <row r="156" customFormat="false" ht="12.75" hidden="false" customHeight="true" outlineLevel="0" collapsed="false">
      <c r="B156" s="27" t="s">
        <v>279</v>
      </c>
      <c r="C156" s="76" t="s">
        <v>283</v>
      </c>
      <c r="D156" s="76" t="s">
        <v>282</v>
      </c>
      <c r="E156" s="27" t="s">
        <v>15</v>
      </c>
      <c r="F156" s="77"/>
      <c r="G156" s="29" t="n">
        <v>25</v>
      </c>
      <c r="H156" s="29" t="n">
        <v>0</v>
      </c>
      <c r="I156" s="88" t="n">
        <v>25</v>
      </c>
      <c r="J156" s="88" t="n">
        <v>0</v>
      </c>
      <c r="K156" s="29" t="n">
        <f aca="false">IF(I156="","—",IFERROR(I156-G156,""))</f>
        <v>0</v>
      </c>
      <c r="L156" s="29" t="n">
        <f aca="false">IF(J156="","—",IFERROR(J156-H156,""))</f>
        <v>0</v>
      </c>
      <c r="M156" s="93"/>
    </row>
    <row r="157" customFormat="false" ht="12.75" hidden="false" customHeight="true" outlineLevel="0" collapsed="false">
      <c r="B157" s="22" t="s">
        <v>73</v>
      </c>
      <c r="C157" s="79" t="s">
        <v>285</v>
      </c>
      <c r="D157" s="79" t="s">
        <v>286</v>
      </c>
      <c r="E157" s="22" t="s">
        <v>15</v>
      </c>
      <c r="F157" s="80"/>
      <c r="G157" s="24" t="n">
        <v>223</v>
      </c>
      <c r="H157" s="24" t="n">
        <v>267600</v>
      </c>
      <c r="I157" s="88" t="n">
        <v>222</v>
      </c>
      <c r="J157" s="88" t="n">
        <v>266400</v>
      </c>
      <c r="K157" s="24" t="n">
        <f aca="false">IF(I157="","—",IFERROR(I157-G157,""))</f>
        <v>-1</v>
      </c>
      <c r="L157" s="24" t="n">
        <f aca="false">IF(J157="","—",IFERROR(J157-H157,""))</f>
        <v>-1200</v>
      </c>
      <c r="M157" s="92"/>
    </row>
    <row r="158" customFormat="false" ht="12.75" hidden="false" customHeight="true" outlineLevel="0" collapsed="false">
      <c r="B158" s="27" t="s">
        <v>73</v>
      </c>
      <c r="C158" s="76" t="s">
        <v>287</v>
      </c>
      <c r="D158" s="76" t="s">
        <v>288</v>
      </c>
      <c r="E158" s="27" t="s">
        <v>15</v>
      </c>
      <c r="F158" s="77"/>
      <c r="G158" s="29" t="n">
        <v>54</v>
      </c>
      <c r="H158" s="29" t="n">
        <v>37800</v>
      </c>
      <c r="I158" s="88" t="n">
        <v>54</v>
      </c>
      <c r="J158" s="88" t="n">
        <v>37800</v>
      </c>
      <c r="K158" s="29" t="n">
        <f aca="false">IF(I158="","—",IFERROR(I158-G158,""))</f>
        <v>0</v>
      </c>
      <c r="L158" s="29" t="n">
        <f aca="false">IF(J158="","—",IFERROR(J158-H158,""))</f>
        <v>0</v>
      </c>
      <c r="M158" s="93"/>
    </row>
    <row r="159" customFormat="false" ht="12.75" hidden="false" customHeight="true" outlineLevel="0" collapsed="false">
      <c r="B159" s="22" t="s">
        <v>73</v>
      </c>
      <c r="C159" s="79" t="s">
        <v>289</v>
      </c>
      <c r="D159" s="79" t="s">
        <v>290</v>
      </c>
      <c r="E159" s="22" t="s">
        <v>15</v>
      </c>
      <c r="F159" s="80"/>
      <c r="G159" s="24" t="n">
        <v>110</v>
      </c>
      <c r="H159" s="24" t="n">
        <v>33330</v>
      </c>
      <c r="I159" s="88" t="n">
        <v>106</v>
      </c>
      <c r="J159" s="88" t="n">
        <v>32118</v>
      </c>
      <c r="K159" s="24" t="n">
        <f aca="false">IF(I159="","—",IFERROR(I159-G159,""))</f>
        <v>-4</v>
      </c>
      <c r="L159" s="24" t="n">
        <f aca="false">IF(J159="","—",IFERROR(J159-H159,""))</f>
        <v>-1212</v>
      </c>
      <c r="M159" s="92"/>
    </row>
    <row r="160" customFormat="false" ht="12.75" hidden="false" customHeight="true" outlineLevel="0" collapsed="false">
      <c r="B160" s="27" t="s">
        <v>73</v>
      </c>
      <c r="C160" s="76" t="s">
        <v>291</v>
      </c>
      <c r="D160" s="76" t="s">
        <v>288</v>
      </c>
      <c r="E160" s="27" t="s">
        <v>15</v>
      </c>
      <c r="F160" s="77"/>
      <c r="G160" s="29" t="n">
        <v>32</v>
      </c>
      <c r="H160" s="29" t="n">
        <v>13760</v>
      </c>
      <c r="I160" s="88" t="n">
        <v>32</v>
      </c>
      <c r="J160" s="88" t="n">
        <v>13760</v>
      </c>
      <c r="K160" s="29" t="n">
        <f aca="false">IF(I160="","—",IFERROR(I160-G160,""))</f>
        <v>0</v>
      </c>
      <c r="L160" s="29" t="n">
        <f aca="false">IF(J160="","—",IFERROR(J160-H160,""))</f>
        <v>0</v>
      </c>
      <c r="M160" s="93"/>
    </row>
    <row r="161" customFormat="false" ht="12.75" hidden="false" customHeight="true" outlineLevel="0" collapsed="false">
      <c r="B161" s="22" t="s">
        <v>73</v>
      </c>
      <c r="C161" s="79" t="s">
        <v>292</v>
      </c>
      <c r="D161" s="79" t="s">
        <v>286</v>
      </c>
      <c r="E161" s="22" t="s">
        <v>15</v>
      </c>
      <c r="F161" s="80"/>
      <c r="G161" s="24" t="n">
        <v>4</v>
      </c>
      <c r="H161" s="24" t="n">
        <v>9200</v>
      </c>
      <c r="I161" s="88" t="n">
        <v>4</v>
      </c>
      <c r="J161" s="88" t="n">
        <v>9200</v>
      </c>
      <c r="K161" s="24" t="n">
        <f aca="false">IF(I161="","—",IFERROR(I161-G161,""))</f>
        <v>0</v>
      </c>
      <c r="L161" s="24" t="n">
        <f aca="false">IF(J161="","—",IFERROR(J161-H161,""))</f>
        <v>0</v>
      </c>
      <c r="M161" s="92"/>
    </row>
    <row r="162" customFormat="false" ht="12.75" hidden="false" customHeight="true" outlineLevel="0" collapsed="false">
      <c r="B162" s="27" t="s">
        <v>73</v>
      </c>
      <c r="C162" s="76" t="s">
        <v>293</v>
      </c>
      <c r="D162" s="76" t="s">
        <v>288</v>
      </c>
      <c r="E162" s="27" t="s">
        <v>15</v>
      </c>
      <c r="F162" s="77"/>
      <c r="G162" s="29" t="n">
        <v>1</v>
      </c>
      <c r="H162" s="29" t="n">
        <v>2430</v>
      </c>
      <c r="I162" s="88" t="n">
        <v>1</v>
      </c>
      <c r="J162" s="88" t="n">
        <v>2430</v>
      </c>
      <c r="K162" s="29" t="n">
        <f aca="false">IF(I162="","—",IFERROR(I162-G162,""))</f>
        <v>0</v>
      </c>
      <c r="L162" s="29" t="n">
        <f aca="false">IF(J162="","—",IFERROR(J162-H162,""))</f>
        <v>0</v>
      </c>
      <c r="M162" s="93"/>
    </row>
    <row r="163" customFormat="false" ht="12.75" hidden="false" customHeight="true" outlineLevel="0" collapsed="false">
      <c r="B163" s="22" t="s">
        <v>73</v>
      </c>
      <c r="C163" s="22" t="s">
        <v>294</v>
      </c>
      <c r="D163" s="22" t="s">
        <v>295</v>
      </c>
      <c r="E163" s="22" t="s">
        <v>15</v>
      </c>
      <c r="F163" s="80"/>
      <c r="G163" s="24" t="n">
        <v>1</v>
      </c>
      <c r="H163" s="24" t="n">
        <v>2400</v>
      </c>
      <c r="I163" s="88" t="n">
        <v>0</v>
      </c>
      <c r="J163" s="88" t="n">
        <v>0</v>
      </c>
      <c r="K163" s="24" t="n">
        <f aca="false">IF(I163="","—",IFERROR(I163-G163,""))</f>
        <v>-1</v>
      </c>
      <c r="L163" s="24" t="n">
        <f aca="false">IF(J163="","—",IFERROR(J163-H163,""))</f>
        <v>-2400</v>
      </c>
      <c r="M163" s="92"/>
    </row>
    <row r="164" customFormat="false" ht="12.75" hidden="false" customHeight="true" outlineLevel="0" collapsed="false">
      <c r="B164" s="27" t="s">
        <v>73</v>
      </c>
      <c r="C164" s="27" t="s">
        <v>296</v>
      </c>
      <c r="D164" s="27" t="s">
        <v>295</v>
      </c>
      <c r="E164" s="27" t="s">
        <v>15</v>
      </c>
      <c r="F164" s="77"/>
      <c r="G164" s="29" t="n">
        <v>1</v>
      </c>
      <c r="H164" s="29" t="n">
        <v>1000</v>
      </c>
      <c r="I164" s="88" t="n">
        <v>1</v>
      </c>
      <c r="J164" s="88" t="n">
        <v>1000</v>
      </c>
      <c r="K164" s="29" t="n">
        <f aca="false">IF(I164="","—",IFERROR(I164-G164,""))</f>
        <v>0</v>
      </c>
      <c r="L164" s="29" t="n">
        <f aca="false">IF(J164="","—",IFERROR(J164-H164,""))</f>
        <v>0</v>
      </c>
      <c r="M164" s="93"/>
    </row>
    <row r="165" customFormat="false" ht="12.75" hidden="false" customHeight="true" outlineLevel="0" collapsed="false">
      <c r="B165" s="22" t="s">
        <v>73</v>
      </c>
      <c r="C165" s="79" t="s">
        <v>297</v>
      </c>
      <c r="D165" s="79" t="s">
        <v>288</v>
      </c>
      <c r="E165" s="22" t="s">
        <v>15</v>
      </c>
      <c r="F165" s="80"/>
      <c r="G165" s="24" t="n">
        <v>1</v>
      </c>
      <c r="H165" s="24" t="n">
        <v>120</v>
      </c>
      <c r="I165" s="88" t="n">
        <v>1</v>
      </c>
      <c r="J165" s="88" t="n">
        <v>120</v>
      </c>
      <c r="K165" s="24" t="n">
        <f aca="false">IF(I165="","—",IFERROR(I165-G165,""))</f>
        <v>0</v>
      </c>
      <c r="L165" s="24" t="n">
        <f aca="false">IF(J165="","—",IFERROR(J165-H165,""))</f>
        <v>0</v>
      </c>
      <c r="M165" s="92"/>
    </row>
    <row r="166" customFormat="false" ht="12.75" hidden="false" customHeight="true" outlineLevel="0" collapsed="false">
      <c r="B166" s="27" t="s">
        <v>73</v>
      </c>
      <c r="C166" s="76" t="s">
        <v>298</v>
      </c>
      <c r="D166" s="76" t="s">
        <v>286</v>
      </c>
      <c r="E166" s="27" t="s">
        <v>15</v>
      </c>
      <c r="F166" s="77"/>
      <c r="G166" s="29" t="n">
        <v>2</v>
      </c>
      <c r="H166" s="29" t="n">
        <v>0</v>
      </c>
      <c r="I166" s="88" t="n">
        <v>2</v>
      </c>
      <c r="J166" s="88" t="n">
        <v>0</v>
      </c>
      <c r="K166" s="29" t="n">
        <f aca="false">IF(I166="","—",IFERROR(I166-G166,""))</f>
        <v>0</v>
      </c>
      <c r="L166" s="29" t="n">
        <f aca="false">IF(J166="","—",IFERROR(J166-H166,""))</f>
        <v>0</v>
      </c>
      <c r="M166" s="93"/>
    </row>
    <row r="167" customFormat="false" ht="12.75" hidden="false" customHeight="true" outlineLevel="0" collapsed="false">
      <c r="B167" s="22" t="s">
        <v>73</v>
      </c>
      <c r="C167" s="79" t="s">
        <v>299</v>
      </c>
      <c r="D167" s="79" t="s">
        <v>286</v>
      </c>
      <c r="E167" s="22" t="s">
        <v>15</v>
      </c>
      <c r="F167" s="80"/>
      <c r="G167" s="24" t="n">
        <v>1</v>
      </c>
      <c r="H167" s="24" t="n">
        <v>0</v>
      </c>
      <c r="I167" s="88" t="n">
        <v>0</v>
      </c>
      <c r="J167" s="88" t="n">
        <v>0</v>
      </c>
      <c r="K167" s="24" t="n">
        <f aca="false">IF(I167="","—",IFERROR(I167-G167,""))</f>
        <v>-1</v>
      </c>
      <c r="L167" s="24" t="n">
        <f aca="false">IF(J167="","—",IFERROR(J167-H167,""))</f>
        <v>0</v>
      </c>
      <c r="M167" s="92"/>
    </row>
    <row r="168" customFormat="false" ht="12.75" hidden="false" customHeight="true" outlineLevel="0" collapsed="false">
      <c r="B168" s="27" t="s">
        <v>84</v>
      </c>
      <c r="C168" s="76" t="s">
        <v>300</v>
      </c>
      <c r="D168" s="76" t="s">
        <v>301</v>
      </c>
      <c r="E168" s="27" t="s">
        <v>15</v>
      </c>
      <c r="F168" s="77"/>
      <c r="G168" s="29" t="n">
        <v>1</v>
      </c>
      <c r="H168" s="29" t="n">
        <v>0</v>
      </c>
      <c r="I168" s="88" t="n">
        <v>1</v>
      </c>
      <c r="J168" s="88" t="n">
        <v>0</v>
      </c>
      <c r="K168" s="29" t="n">
        <f aca="false">IF(I168="","—",IFERROR(I168-G168,""))</f>
        <v>0</v>
      </c>
      <c r="L168" s="29" t="n">
        <f aca="false">IF(J168="","—",IFERROR(J168-H168,""))</f>
        <v>0</v>
      </c>
      <c r="M168" s="93"/>
    </row>
    <row r="169" customFormat="false" ht="12.75" hidden="false" customHeight="true" outlineLevel="0" collapsed="false">
      <c r="B169" s="22" t="s">
        <v>84</v>
      </c>
      <c r="C169" s="79" t="s">
        <v>302</v>
      </c>
      <c r="D169" s="79" t="s">
        <v>303</v>
      </c>
      <c r="E169" s="22" t="s">
        <v>15</v>
      </c>
      <c r="F169" s="80"/>
      <c r="G169" s="24" t="n">
        <v>1</v>
      </c>
      <c r="H169" s="24" t="n">
        <v>0</v>
      </c>
      <c r="I169" s="88" t="n">
        <v>1</v>
      </c>
      <c r="J169" s="88" t="n">
        <v>0</v>
      </c>
      <c r="K169" s="24" t="n">
        <f aca="false">IF(I169="","—",IFERROR(I169-G169,""))</f>
        <v>0</v>
      </c>
      <c r="L169" s="24" t="n">
        <f aca="false">IF(J169="","—",IFERROR(J169-H169,""))</f>
        <v>0</v>
      </c>
      <c r="M169" s="92"/>
    </row>
    <row r="170" customFormat="false" ht="12.75" hidden="false" customHeight="true" outlineLevel="0" collapsed="false">
      <c r="B170" s="27" t="s">
        <v>105</v>
      </c>
      <c r="C170" s="76" t="s">
        <v>304</v>
      </c>
      <c r="D170" s="76" t="s">
        <v>177</v>
      </c>
      <c r="E170" s="27" t="s">
        <v>15</v>
      </c>
      <c r="F170" s="77"/>
      <c r="G170" s="29" t="n">
        <v>2</v>
      </c>
      <c r="H170" s="29" t="n">
        <v>5300</v>
      </c>
      <c r="I170" s="88" t="n">
        <v>2</v>
      </c>
      <c r="J170" s="88" t="n">
        <v>5300</v>
      </c>
      <c r="K170" s="29" t="n">
        <f aca="false">IF(I170="","—",IFERROR(I170-G170,""))</f>
        <v>0</v>
      </c>
      <c r="L170" s="29" t="n">
        <f aca="false">IF(J170="","—",IFERROR(J170-H170,""))</f>
        <v>0</v>
      </c>
      <c r="M170" s="93"/>
    </row>
    <row r="171" customFormat="false" ht="12.75" hidden="false" customHeight="true" outlineLevel="0" collapsed="false">
      <c r="B171" s="22" t="s">
        <v>105</v>
      </c>
      <c r="C171" s="79" t="s">
        <v>305</v>
      </c>
      <c r="D171" s="79" t="s">
        <v>177</v>
      </c>
      <c r="E171" s="22" t="s">
        <v>15</v>
      </c>
      <c r="F171" s="80"/>
      <c r="G171" s="24" t="n">
        <v>2</v>
      </c>
      <c r="H171" s="24" t="n">
        <v>3160</v>
      </c>
      <c r="I171" s="88" t="n">
        <v>2</v>
      </c>
      <c r="J171" s="88" t="n">
        <v>3160</v>
      </c>
      <c r="K171" s="24" t="n">
        <f aca="false">IF(I171="","—",IFERROR(I171-G171,""))</f>
        <v>0</v>
      </c>
      <c r="L171" s="24" t="n">
        <f aca="false">IF(J171="","—",IFERROR(J171-H171,""))</f>
        <v>0</v>
      </c>
      <c r="M171" s="92"/>
    </row>
    <row r="172" customFormat="false" ht="12.75" hidden="false" customHeight="true" outlineLevel="0" collapsed="false">
      <c r="B172" s="27" t="s">
        <v>105</v>
      </c>
      <c r="C172" s="76" t="s">
        <v>306</v>
      </c>
      <c r="D172" s="76" t="s">
        <v>177</v>
      </c>
      <c r="E172" s="27" t="s">
        <v>15</v>
      </c>
      <c r="F172" s="77"/>
      <c r="G172" s="29" t="n">
        <v>0</v>
      </c>
      <c r="H172" s="29" t="n">
        <v>0</v>
      </c>
      <c r="I172" s="88" t="n">
        <v>0</v>
      </c>
      <c r="J172" s="88" t="n">
        <v>0</v>
      </c>
      <c r="K172" s="29" t="n">
        <f aca="false">IF(I172="","—",IFERROR(I172-G172,""))</f>
        <v>0</v>
      </c>
      <c r="L172" s="29" t="n">
        <f aca="false">IF(J172="","—",IFERROR(J172-H172,""))</f>
        <v>0</v>
      </c>
      <c r="M172" s="93"/>
    </row>
    <row r="173" customFormat="false" ht="12.75" hidden="false" customHeight="true" outlineLevel="0" collapsed="false">
      <c r="B173" s="22" t="s">
        <v>105</v>
      </c>
      <c r="C173" s="79" t="s">
        <v>307</v>
      </c>
      <c r="D173" s="79" t="s">
        <v>177</v>
      </c>
      <c r="E173" s="22" t="s">
        <v>15</v>
      </c>
      <c r="F173" s="80"/>
      <c r="G173" s="24" t="n">
        <v>0</v>
      </c>
      <c r="H173" s="24" t="n">
        <v>0</v>
      </c>
      <c r="I173" s="88" t="n">
        <v>0</v>
      </c>
      <c r="J173" s="88" t="n">
        <v>0</v>
      </c>
      <c r="K173" s="24" t="n">
        <f aca="false">IF(I173="","—",IFERROR(I173-G173,""))</f>
        <v>0</v>
      </c>
      <c r="L173" s="24" t="n">
        <f aca="false">IF(J173="","—",IFERROR(J173-H173,""))</f>
        <v>0</v>
      </c>
      <c r="M173" s="92"/>
    </row>
    <row r="174" customFormat="false" ht="12.75" hidden="false" customHeight="true" outlineLevel="0" collapsed="false">
      <c r="B174" s="27" t="s">
        <v>308</v>
      </c>
      <c r="C174" s="76" t="s">
        <v>309</v>
      </c>
      <c r="D174" s="76" t="s">
        <v>212</v>
      </c>
      <c r="E174" s="27" t="s">
        <v>15</v>
      </c>
      <c r="F174" s="77"/>
      <c r="G174" s="29" t="n">
        <v>0</v>
      </c>
      <c r="H174" s="29" t="n">
        <v>0</v>
      </c>
      <c r="I174" s="88" t="n">
        <v>0</v>
      </c>
      <c r="J174" s="88" t="n">
        <v>0</v>
      </c>
      <c r="K174" s="29" t="n">
        <f aca="false">IF(I174="","—",IFERROR(I174-G174,""))</f>
        <v>0</v>
      </c>
      <c r="L174" s="29" t="n">
        <f aca="false">IF(J174="","—",IFERROR(J174-H174,""))</f>
        <v>0</v>
      </c>
      <c r="M174" s="93"/>
    </row>
    <row r="175" customFormat="false" ht="12.75" hidden="false" customHeight="true" outlineLevel="0" collapsed="false">
      <c r="B175" s="22" t="s">
        <v>182</v>
      </c>
      <c r="C175" s="79" t="s">
        <v>311</v>
      </c>
      <c r="D175" s="79" t="s">
        <v>184</v>
      </c>
      <c r="E175" s="22" t="s">
        <v>15</v>
      </c>
      <c r="F175" s="80"/>
      <c r="G175" s="24" t="n">
        <v>5</v>
      </c>
      <c r="H175" s="24" t="n">
        <v>14500</v>
      </c>
      <c r="I175" s="88" t="n">
        <v>5</v>
      </c>
      <c r="J175" s="88" t="n">
        <v>14500</v>
      </c>
      <c r="K175" s="24" t="n">
        <f aca="false">IF(I175="","—",IFERROR(I175-G175,""))</f>
        <v>0</v>
      </c>
      <c r="L175" s="24" t="n">
        <f aca="false">IF(J175="","—",IFERROR(J175-H175,""))</f>
        <v>0</v>
      </c>
      <c r="M175" s="92"/>
    </row>
    <row r="176" customFormat="false" ht="12.75" hidden="false" customHeight="true" outlineLevel="0" collapsed="false">
      <c r="B176" s="27" t="s">
        <v>182</v>
      </c>
      <c r="C176" s="76" t="s">
        <v>312</v>
      </c>
      <c r="D176" s="76" t="s">
        <v>313</v>
      </c>
      <c r="E176" s="27" t="s">
        <v>15</v>
      </c>
      <c r="F176" s="77"/>
      <c r="G176" s="29" t="n">
        <v>2</v>
      </c>
      <c r="H176" s="29" t="n">
        <v>4800</v>
      </c>
      <c r="I176" s="88" t="n">
        <v>2</v>
      </c>
      <c r="J176" s="88" t="n">
        <v>4800</v>
      </c>
      <c r="K176" s="29" t="n">
        <f aca="false">IF(I176="","—",IFERROR(I176-G176,""))</f>
        <v>0</v>
      </c>
      <c r="L176" s="29" t="n">
        <f aca="false">IF(J176="","—",IFERROR(J176-H176,""))</f>
        <v>0</v>
      </c>
      <c r="M176" s="93"/>
    </row>
    <row r="177" customFormat="false" ht="12.75" hidden="false" customHeight="true" outlineLevel="0" collapsed="false">
      <c r="B177" s="22" t="s">
        <v>182</v>
      </c>
      <c r="C177" s="79" t="s">
        <v>314</v>
      </c>
      <c r="D177" s="79" t="s">
        <v>313</v>
      </c>
      <c r="E177" s="22" t="s">
        <v>15</v>
      </c>
      <c r="F177" s="80"/>
      <c r="G177" s="24" t="n">
        <v>1</v>
      </c>
      <c r="H177" s="24" t="n">
        <v>2400</v>
      </c>
      <c r="I177" s="88" t="n">
        <v>1</v>
      </c>
      <c r="J177" s="88" t="n">
        <v>2400</v>
      </c>
      <c r="K177" s="24" t="n">
        <f aca="false">IF(I177="","—",IFERROR(I177-G177,""))</f>
        <v>0</v>
      </c>
      <c r="L177" s="24" t="n">
        <f aca="false">IF(J177="","—",IFERROR(J177-H177,""))</f>
        <v>0</v>
      </c>
      <c r="M177" s="92"/>
    </row>
    <row r="178" customFormat="false" ht="12.75" hidden="false" customHeight="true" outlineLevel="0" collapsed="false">
      <c r="B178" s="27" t="s">
        <v>182</v>
      </c>
      <c r="C178" s="76" t="s">
        <v>315</v>
      </c>
      <c r="D178" s="76" t="s">
        <v>313</v>
      </c>
      <c r="E178" s="27" t="s">
        <v>15</v>
      </c>
      <c r="F178" s="77"/>
      <c r="G178" s="29" t="n">
        <v>0</v>
      </c>
      <c r="H178" s="29" t="n">
        <v>0</v>
      </c>
      <c r="I178" s="88" t="n">
        <v>0</v>
      </c>
      <c r="J178" s="88" t="n">
        <v>0</v>
      </c>
      <c r="K178" s="29" t="n">
        <f aca="false">IF(I178="","—",IFERROR(I178-G178,""))</f>
        <v>0</v>
      </c>
      <c r="L178" s="29" t="n">
        <f aca="false">IF(J178="","—",IFERROR(J178-H178,""))</f>
        <v>0</v>
      </c>
      <c r="M178" s="93"/>
    </row>
    <row r="179" customFormat="false" ht="12.75" hidden="false" customHeight="true" outlineLevel="0" collapsed="false">
      <c r="B179" s="22" t="s">
        <v>316</v>
      </c>
      <c r="C179" s="79" t="s">
        <v>317</v>
      </c>
      <c r="D179" s="79" t="s">
        <v>318</v>
      </c>
      <c r="E179" s="22" t="s">
        <v>15</v>
      </c>
      <c r="F179" s="80"/>
      <c r="G179" s="24" t="n">
        <v>1</v>
      </c>
      <c r="H179" s="24" t="n">
        <v>350</v>
      </c>
      <c r="I179" s="88" t="n">
        <v>1</v>
      </c>
      <c r="J179" s="88" t="n">
        <v>350</v>
      </c>
      <c r="K179" s="24" t="n">
        <f aca="false">IF(I179="","—",IFERROR(I179-G179,""))</f>
        <v>0</v>
      </c>
      <c r="L179" s="24" t="n">
        <f aca="false">IF(J179="","—",IFERROR(J179-H179,""))</f>
        <v>0</v>
      </c>
      <c r="M179" s="92"/>
    </row>
    <row r="180" customFormat="false" ht="12.75" hidden="false" customHeight="true" outlineLevel="0" collapsed="false">
      <c r="B180" s="27" t="s">
        <v>316</v>
      </c>
      <c r="C180" s="76" t="s">
        <v>319</v>
      </c>
      <c r="D180" s="76" t="s">
        <v>318</v>
      </c>
      <c r="E180" s="27" t="s">
        <v>15</v>
      </c>
      <c r="F180" s="77"/>
      <c r="G180" s="29" t="n">
        <v>1</v>
      </c>
      <c r="H180" s="29" t="n">
        <v>350</v>
      </c>
      <c r="I180" s="88" t="n">
        <v>1</v>
      </c>
      <c r="J180" s="88" t="n">
        <v>350</v>
      </c>
      <c r="K180" s="29" t="n">
        <f aca="false">IF(I180="","—",IFERROR(I180-G180,""))</f>
        <v>0</v>
      </c>
      <c r="L180" s="29" t="n">
        <f aca="false">IF(J180="","—",IFERROR(J180-H180,""))</f>
        <v>0</v>
      </c>
      <c r="M180" s="93"/>
    </row>
    <row r="181" customFormat="false" ht="12.75" hidden="false" customHeight="true" outlineLevel="0" collapsed="false">
      <c r="B181" s="58" t="s">
        <v>316</v>
      </c>
      <c r="C181" s="18" t="s">
        <v>320</v>
      </c>
      <c r="D181" s="18" t="s">
        <v>321</v>
      </c>
      <c r="E181" s="58" t="s">
        <v>15</v>
      </c>
      <c r="F181" s="64"/>
      <c r="G181" s="20" t="n">
        <v>-2</v>
      </c>
      <c r="H181" s="20" t="n">
        <v>-68</v>
      </c>
      <c r="I181" s="88" t="n">
        <v>-2</v>
      </c>
      <c r="J181" s="88" t="n">
        <v>-68</v>
      </c>
      <c r="K181" s="20" t="n">
        <f aca="false">IF(I181="","—",IFERROR(I181-G181,""))</f>
        <v>0</v>
      </c>
      <c r="L181" s="20" t="n">
        <f aca="false">IF(J181="","—",IFERROR(J181-H181,""))</f>
        <v>0</v>
      </c>
      <c r="M181" s="89"/>
    </row>
    <row r="182" customFormat="false" ht="12.75" hidden="false" customHeight="true" outlineLevel="0" collapsed="false">
      <c r="B182" s="27" t="s">
        <v>109</v>
      </c>
      <c r="C182" s="76" t="s">
        <v>323</v>
      </c>
      <c r="D182" s="76" t="s">
        <v>324</v>
      </c>
      <c r="E182" s="27" t="s">
        <v>15</v>
      </c>
      <c r="F182" s="77"/>
      <c r="G182" s="29" t="n">
        <v>4</v>
      </c>
      <c r="H182" s="29" t="n">
        <v>20000</v>
      </c>
      <c r="I182" s="88" t="n">
        <v>4</v>
      </c>
      <c r="J182" s="88" t="n">
        <v>20000</v>
      </c>
      <c r="K182" s="29" t="n">
        <f aca="false">IF(I182="","—",IFERROR(I182-G182,""))</f>
        <v>0</v>
      </c>
      <c r="L182" s="29" t="n">
        <f aca="false">IF(J182="","—",IFERROR(J182-H182,""))</f>
        <v>0</v>
      </c>
      <c r="M182" s="93"/>
    </row>
    <row r="183" customFormat="false" ht="12.75" hidden="false" customHeight="true" outlineLevel="0" collapsed="false">
      <c r="B183" s="22" t="s">
        <v>109</v>
      </c>
      <c r="C183" s="79" t="s">
        <v>325</v>
      </c>
      <c r="D183" s="79" t="s">
        <v>324</v>
      </c>
      <c r="E183" s="22" t="s">
        <v>15</v>
      </c>
      <c r="F183" s="80"/>
      <c r="G183" s="24" t="n">
        <v>3</v>
      </c>
      <c r="H183" s="24" t="n">
        <v>15000</v>
      </c>
      <c r="I183" s="88" t="n">
        <v>3</v>
      </c>
      <c r="J183" s="88" t="n">
        <v>15000</v>
      </c>
      <c r="K183" s="24" t="n">
        <f aca="false">IF(I183="","—",IFERROR(I183-G183,""))</f>
        <v>0</v>
      </c>
      <c r="L183" s="24" t="n">
        <f aca="false">IF(J183="","—",IFERROR(J183-H183,""))</f>
        <v>0</v>
      </c>
      <c r="M183" s="92"/>
    </row>
    <row r="184" customFormat="false" ht="12.75" hidden="false" customHeight="true" outlineLevel="0" collapsed="false">
      <c r="B184" s="27" t="s">
        <v>109</v>
      </c>
      <c r="C184" s="76" t="s">
        <v>326</v>
      </c>
      <c r="D184" s="76" t="s">
        <v>324</v>
      </c>
      <c r="E184" s="27" t="s">
        <v>15</v>
      </c>
      <c r="F184" s="77"/>
      <c r="G184" s="29" t="n">
        <v>1</v>
      </c>
      <c r="H184" s="29" t="n">
        <v>5000</v>
      </c>
      <c r="I184" s="88" t="n">
        <v>1</v>
      </c>
      <c r="J184" s="88" t="n">
        <v>5000</v>
      </c>
      <c r="K184" s="29" t="n">
        <f aca="false">IF(I184="","—",IFERROR(I184-G184,""))</f>
        <v>0</v>
      </c>
      <c r="L184" s="29" t="n">
        <f aca="false">IF(J184="","—",IFERROR(J184-H184,""))</f>
        <v>0</v>
      </c>
      <c r="M184" s="93"/>
    </row>
    <row r="185" customFormat="false" ht="12.75" hidden="false" customHeight="true" outlineLevel="0" collapsed="false">
      <c r="B185" s="22" t="s">
        <v>109</v>
      </c>
      <c r="C185" s="79" t="s">
        <v>327</v>
      </c>
      <c r="D185" s="79" t="s">
        <v>86</v>
      </c>
      <c r="E185" s="22" t="s">
        <v>15</v>
      </c>
      <c r="F185" s="80"/>
      <c r="G185" s="24" t="n">
        <v>1</v>
      </c>
      <c r="H185" s="24" t="n">
        <v>4000</v>
      </c>
      <c r="I185" s="88" t="n">
        <v>1</v>
      </c>
      <c r="J185" s="88" t="n">
        <v>4000</v>
      </c>
      <c r="K185" s="24" t="n">
        <f aca="false">IF(I185="","—",IFERROR(I185-G185,""))</f>
        <v>0</v>
      </c>
      <c r="L185" s="24" t="n">
        <f aca="false">IF(J185="","—",IFERROR(J185-H185,""))</f>
        <v>0</v>
      </c>
      <c r="M185" s="92"/>
    </row>
    <row r="186" customFormat="false" ht="12.75" hidden="false" customHeight="true" outlineLevel="0" collapsed="false">
      <c r="B186" s="27" t="s">
        <v>109</v>
      </c>
      <c r="C186" s="27" t="s">
        <v>328</v>
      </c>
      <c r="D186" s="27" t="s">
        <v>329</v>
      </c>
      <c r="E186" s="27" t="s">
        <v>15</v>
      </c>
      <c r="F186" s="77"/>
      <c r="G186" s="29" t="n">
        <v>1</v>
      </c>
      <c r="H186" s="29" t="n">
        <v>1315</v>
      </c>
      <c r="I186" s="88" t="n">
        <v>1</v>
      </c>
      <c r="J186" s="88" t="n">
        <v>1315</v>
      </c>
      <c r="K186" s="29" t="n">
        <f aca="false">IF(I186="","—",IFERROR(I186-G186,""))</f>
        <v>0</v>
      </c>
      <c r="L186" s="29" t="n">
        <f aca="false">IF(J186="","—",IFERROR(J186-H186,""))</f>
        <v>0</v>
      </c>
      <c r="M186" s="93"/>
    </row>
    <row r="187" customFormat="false" ht="12.75" hidden="false" customHeight="true" outlineLevel="0" collapsed="false">
      <c r="B187" s="22" t="s">
        <v>109</v>
      </c>
      <c r="C187" s="79" t="s">
        <v>330</v>
      </c>
      <c r="D187" s="79" t="s">
        <v>324</v>
      </c>
      <c r="E187" s="22" t="s">
        <v>15</v>
      </c>
      <c r="F187" s="80"/>
      <c r="G187" s="24" t="n">
        <v>0</v>
      </c>
      <c r="H187" s="24" t="n">
        <v>0</v>
      </c>
      <c r="I187" s="88" t="n">
        <v>0</v>
      </c>
      <c r="J187" s="88" t="n">
        <v>0</v>
      </c>
      <c r="K187" s="24" t="n">
        <f aca="false">IF(I187="","—",IFERROR(I187-G187,""))</f>
        <v>0</v>
      </c>
      <c r="L187" s="24" t="n">
        <f aca="false">IF(J187="","—",IFERROR(J187-H187,""))</f>
        <v>0</v>
      </c>
      <c r="M187" s="92"/>
    </row>
    <row r="188" customFormat="false" ht="12.75" hidden="false" customHeight="true" outlineLevel="0" collapsed="false">
      <c r="B188" s="27" t="s">
        <v>109</v>
      </c>
      <c r="C188" s="27" t="s">
        <v>331</v>
      </c>
      <c r="D188" s="27" t="s">
        <v>295</v>
      </c>
      <c r="E188" s="27" t="s">
        <v>15</v>
      </c>
      <c r="F188" s="77"/>
      <c r="G188" s="29" t="n">
        <v>1</v>
      </c>
      <c r="H188" s="29" t="n">
        <v>0</v>
      </c>
      <c r="I188" s="88" t="n">
        <v>1</v>
      </c>
      <c r="J188" s="88" t="n">
        <v>0</v>
      </c>
      <c r="K188" s="29" t="n">
        <f aca="false">IF(I188="","—",IFERROR(I188-G188,""))</f>
        <v>0</v>
      </c>
      <c r="L188" s="29" t="n">
        <f aca="false">IF(J188="","—",IFERROR(J188-H188,""))</f>
        <v>0</v>
      </c>
      <c r="M188" s="93"/>
    </row>
    <row r="189" customFormat="false" ht="12.75" hidden="false" customHeight="true" outlineLevel="0" collapsed="false">
      <c r="B189" s="22" t="s">
        <v>109</v>
      </c>
      <c r="C189" s="79" t="s">
        <v>332</v>
      </c>
      <c r="D189" s="79" t="s">
        <v>324</v>
      </c>
      <c r="E189" s="22" t="s">
        <v>15</v>
      </c>
      <c r="F189" s="80"/>
      <c r="G189" s="24" t="n">
        <v>0</v>
      </c>
      <c r="H189" s="24" t="n">
        <v>0</v>
      </c>
      <c r="I189" s="88" t="n">
        <v>0</v>
      </c>
      <c r="J189" s="88" t="n">
        <v>0</v>
      </c>
      <c r="K189" s="24" t="n">
        <f aca="false">IF(I189="","—",IFERROR(I189-G189,""))</f>
        <v>0</v>
      </c>
      <c r="L189" s="24" t="n">
        <f aca="false">IF(J189="","—",IFERROR(J189-H189,""))</f>
        <v>0</v>
      </c>
      <c r="M189" s="92"/>
    </row>
    <row r="190" customFormat="false" ht="12.75" hidden="false" customHeight="true" outlineLevel="0" collapsed="false">
      <c r="B190" s="27" t="s">
        <v>126</v>
      </c>
      <c r="C190" s="76" t="s">
        <v>333</v>
      </c>
      <c r="D190" s="76" t="s">
        <v>334</v>
      </c>
      <c r="E190" s="27" t="s">
        <v>15</v>
      </c>
      <c r="F190" s="77"/>
      <c r="G190" s="29" t="n">
        <v>0</v>
      </c>
      <c r="H190" s="29" t="n">
        <v>0</v>
      </c>
      <c r="I190" s="88" t="n">
        <v>0</v>
      </c>
      <c r="J190" s="88" t="n">
        <v>0</v>
      </c>
      <c r="K190" s="29" t="n">
        <f aca="false">IF(I190="","—",IFERROR(I190-G190,""))</f>
        <v>0</v>
      </c>
      <c r="L190" s="29" t="n">
        <f aca="false">IF(J190="","—",IFERROR(J190-H190,""))</f>
        <v>0</v>
      </c>
      <c r="M190" s="93"/>
    </row>
    <row r="191" customFormat="false" ht="12.75" hidden="false" customHeight="true" outlineLevel="0" collapsed="false">
      <c r="B191" s="22" t="s">
        <v>153</v>
      </c>
      <c r="C191" s="79" t="s">
        <v>335</v>
      </c>
      <c r="D191" s="79" t="s">
        <v>155</v>
      </c>
      <c r="E191" s="22" t="s">
        <v>15</v>
      </c>
      <c r="F191" s="80"/>
      <c r="G191" s="24" t="n">
        <v>4</v>
      </c>
      <c r="H191" s="24" t="n">
        <v>64800</v>
      </c>
      <c r="I191" s="88" t="n">
        <v>4</v>
      </c>
      <c r="J191" s="88" t="n">
        <v>64800</v>
      </c>
      <c r="K191" s="24" t="n">
        <f aca="false">IF(I191="","—",IFERROR(I191-G191,""))</f>
        <v>0</v>
      </c>
      <c r="L191" s="24" t="n">
        <f aca="false">IF(J191="","—",IFERROR(J191-H191,""))</f>
        <v>0</v>
      </c>
      <c r="M191" s="92"/>
    </row>
    <row r="192" customFormat="false" ht="12.75" hidden="false" customHeight="true" outlineLevel="0" collapsed="false">
      <c r="B192" s="27" t="s">
        <v>153</v>
      </c>
      <c r="C192" s="76" t="s">
        <v>336</v>
      </c>
      <c r="D192" s="76" t="s">
        <v>274</v>
      </c>
      <c r="E192" s="27" t="s">
        <v>15</v>
      </c>
      <c r="F192" s="77"/>
      <c r="G192" s="29" t="n">
        <v>9</v>
      </c>
      <c r="H192" s="29" t="n">
        <v>46737</v>
      </c>
      <c r="I192" s="88" t="n">
        <v>9</v>
      </c>
      <c r="J192" s="88" t="n">
        <v>46737</v>
      </c>
      <c r="K192" s="29" t="n">
        <f aca="false">IF(I192="","—",IFERROR(I192-G192,""))</f>
        <v>0</v>
      </c>
      <c r="L192" s="29" t="n">
        <f aca="false">IF(J192="","—",IFERROR(J192-H192,""))</f>
        <v>0</v>
      </c>
      <c r="M192" s="93"/>
    </row>
    <row r="193" customFormat="false" ht="12.75" hidden="false" customHeight="true" outlineLevel="0" collapsed="false">
      <c r="B193" s="22" t="s">
        <v>153</v>
      </c>
      <c r="C193" s="79" t="s">
        <v>337</v>
      </c>
      <c r="D193" s="79" t="s">
        <v>338</v>
      </c>
      <c r="E193" s="22" t="s">
        <v>15</v>
      </c>
      <c r="F193" s="80"/>
      <c r="G193" s="24" t="n">
        <v>1</v>
      </c>
      <c r="H193" s="24" t="n">
        <v>28000</v>
      </c>
      <c r="I193" s="88" t="n">
        <v>1</v>
      </c>
      <c r="J193" s="88" t="n">
        <v>28000</v>
      </c>
      <c r="K193" s="24" t="n">
        <f aca="false">IF(I193="","—",IFERROR(I193-G193,""))</f>
        <v>0</v>
      </c>
      <c r="L193" s="24" t="n">
        <f aca="false">IF(J193="","—",IFERROR(J193-H193,""))</f>
        <v>0</v>
      </c>
      <c r="M193" s="92"/>
    </row>
    <row r="194" customFormat="false" ht="12.75" hidden="false" customHeight="true" outlineLevel="0" collapsed="false">
      <c r="B194" s="27" t="s">
        <v>153</v>
      </c>
      <c r="C194" s="76" t="s">
        <v>339</v>
      </c>
      <c r="D194" s="76" t="s">
        <v>340</v>
      </c>
      <c r="E194" s="27" t="s">
        <v>15</v>
      </c>
      <c r="F194" s="77"/>
      <c r="G194" s="29" t="n">
        <v>1</v>
      </c>
      <c r="H194" s="29" t="n">
        <v>27500</v>
      </c>
      <c r="I194" s="88" t="n">
        <v>1</v>
      </c>
      <c r="J194" s="88" t="n">
        <v>27500</v>
      </c>
      <c r="K194" s="29" t="n">
        <f aca="false">IF(I194="","—",IFERROR(I194-G194,""))</f>
        <v>0</v>
      </c>
      <c r="L194" s="29" t="n">
        <f aca="false">IF(J194="","—",IFERROR(J194-H194,""))</f>
        <v>0</v>
      </c>
      <c r="M194" s="93"/>
    </row>
    <row r="195" customFormat="false" ht="12.75" hidden="false" customHeight="true" outlineLevel="0" collapsed="false">
      <c r="B195" s="22" t="s">
        <v>153</v>
      </c>
      <c r="C195" s="79" t="s">
        <v>341</v>
      </c>
      <c r="D195" s="79" t="s">
        <v>340</v>
      </c>
      <c r="E195" s="22" t="s">
        <v>15</v>
      </c>
      <c r="F195" s="80"/>
      <c r="G195" s="24" t="n">
        <v>1</v>
      </c>
      <c r="H195" s="24" t="n">
        <v>27500</v>
      </c>
      <c r="I195" s="88" t="n">
        <v>1</v>
      </c>
      <c r="J195" s="88" t="n">
        <v>27500</v>
      </c>
      <c r="K195" s="24" t="n">
        <f aca="false">IF(I195="","—",IFERROR(I195-G195,""))</f>
        <v>0</v>
      </c>
      <c r="L195" s="24" t="n">
        <f aca="false">IF(J195="","—",IFERROR(J195-H195,""))</f>
        <v>0</v>
      </c>
      <c r="M195" s="92"/>
    </row>
    <row r="196" customFormat="false" ht="12.75" hidden="false" customHeight="true" outlineLevel="0" collapsed="false">
      <c r="B196" s="27" t="s">
        <v>153</v>
      </c>
      <c r="C196" s="76" t="s">
        <v>342</v>
      </c>
      <c r="D196" s="76" t="s">
        <v>343</v>
      </c>
      <c r="E196" s="27" t="s">
        <v>15</v>
      </c>
      <c r="F196" s="77"/>
      <c r="G196" s="29" t="n">
        <v>9</v>
      </c>
      <c r="H196" s="29" t="n">
        <v>26820</v>
      </c>
      <c r="I196" s="88" t="n">
        <v>9</v>
      </c>
      <c r="J196" s="88" t="n">
        <v>26820</v>
      </c>
      <c r="K196" s="29" t="n">
        <f aca="false">IF(I196="","—",IFERROR(I196-G196,""))</f>
        <v>0</v>
      </c>
      <c r="L196" s="29" t="n">
        <f aca="false">IF(J196="","—",IFERROR(J196-H196,""))</f>
        <v>0</v>
      </c>
      <c r="M196" s="93"/>
    </row>
    <row r="197" customFormat="false" ht="12.75" hidden="false" customHeight="true" outlineLevel="0" collapsed="false">
      <c r="B197" s="22" t="s">
        <v>153</v>
      </c>
      <c r="C197" s="79" t="s">
        <v>344</v>
      </c>
      <c r="D197" s="79" t="s">
        <v>345</v>
      </c>
      <c r="E197" s="22" t="s">
        <v>15</v>
      </c>
      <c r="F197" s="80"/>
      <c r="G197" s="24" t="n">
        <v>6</v>
      </c>
      <c r="H197" s="24" t="n">
        <v>21000</v>
      </c>
      <c r="I197" s="88" t="n">
        <v>6</v>
      </c>
      <c r="J197" s="88" t="n">
        <v>21000</v>
      </c>
      <c r="K197" s="24" t="n">
        <f aca="false">IF(I197="","—",IFERROR(I197-G197,""))</f>
        <v>0</v>
      </c>
      <c r="L197" s="24" t="n">
        <f aca="false">IF(J197="","—",IFERROR(J197-H197,""))</f>
        <v>0</v>
      </c>
      <c r="M197" s="92"/>
    </row>
    <row r="198" customFormat="false" ht="12.75" hidden="false" customHeight="true" outlineLevel="0" collapsed="false">
      <c r="B198" s="27" t="s">
        <v>153</v>
      </c>
      <c r="C198" s="76" t="s">
        <v>346</v>
      </c>
      <c r="D198" s="76" t="s">
        <v>343</v>
      </c>
      <c r="E198" s="27" t="s">
        <v>15</v>
      </c>
      <c r="F198" s="77"/>
      <c r="G198" s="29" t="n">
        <v>5</v>
      </c>
      <c r="H198" s="29" t="n">
        <v>18000</v>
      </c>
      <c r="I198" s="88" t="n">
        <v>5</v>
      </c>
      <c r="J198" s="88" t="n">
        <v>18000</v>
      </c>
      <c r="K198" s="29" t="n">
        <f aca="false">IF(I198="","—",IFERROR(I198-G198,""))</f>
        <v>0</v>
      </c>
      <c r="L198" s="29" t="n">
        <f aca="false">IF(J198="","—",IFERROR(J198-H198,""))</f>
        <v>0</v>
      </c>
      <c r="M198" s="93"/>
    </row>
    <row r="199" customFormat="false" ht="12.75" hidden="false" customHeight="true" outlineLevel="0" collapsed="false">
      <c r="B199" s="22" t="s">
        <v>153</v>
      </c>
      <c r="C199" s="79" t="s">
        <v>347</v>
      </c>
      <c r="D199" s="79" t="s">
        <v>345</v>
      </c>
      <c r="E199" s="22" t="s">
        <v>15</v>
      </c>
      <c r="F199" s="80"/>
      <c r="G199" s="24" t="n">
        <v>2</v>
      </c>
      <c r="H199" s="24" t="n">
        <v>7000</v>
      </c>
      <c r="I199" s="88" t="n">
        <v>2</v>
      </c>
      <c r="J199" s="88" t="n">
        <v>7000</v>
      </c>
      <c r="K199" s="24" t="n">
        <f aca="false">IF(I199="","—",IFERROR(I199-G199,""))</f>
        <v>0</v>
      </c>
      <c r="L199" s="24" t="n">
        <f aca="false">IF(J199="","—",IFERROR(J199-H199,""))</f>
        <v>0</v>
      </c>
      <c r="M199" s="92"/>
    </row>
    <row r="200" customFormat="false" ht="12.75" hidden="false" customHeight="true" outlineLevel="0" collapsed="false">
      <c r="B200" s="27" t="s">
        <v>153</v>
      </c>
      <c r="C200" s="27" t="s">
        <v>348</v>
      </c>
      <c r="D200" s="27" t="s">
        <v>349</v>
      </c>
      <c r="E200" s="27" t="s">
        <v>15</v>
      </c>
      <c r="F200" s="77"/>
      <c r="G200" s="29" t="n">
        <v>1</v>
      </c>
      <c r="H200" s="29" t="n">
        <v>4018</v>
      </c>
      <c r="I200" s="88" t="n">
        <v>1</v>
      </c>
      <c r="J200" s="88" t="n">
        <v>4018</v>
      </c>
      <c r="K200" s="29" t="n">
        <f aca="false">IF(I200="","—",IFERROR(I200-G200,""))</f>
        <v>0</v>
      </c>
      <c r="L200" s="29" t="n">
        <f aca="false">IF(J200="","—",IFERROR(J200-H200,""))</f>
        <v>0</v>
      </c>
      <c r="M200" s="93"/>
    </row>
    <row r="201" customFormat="false" ht="12.75" hidden="false" customHeight="true" outlineLevel="0" collapsed="false">
      <c r="B201" s="22" t="s">
        <v>153</v>
      </c>
      <c r="C201" s="79" t="s">
        <v>350</v>
      </c>
      <c r="D201" s="79" t="s">
        <v>217</v>
      </c>
      <c r="E201" s="22" t="s">
        <v>15</v>
      </c>
      <c r="F201" s="80"/>
      <c r="G201" s="24" t="n">
        <v>0</v>
      </c>
      <c r="H201" s="24" t="n">
        <v>0</v>
      </c>
      <c r="I201" s="88" t="n">
        <v>0</v>
      </c>
      <c r="J201" s="88" t="n">
        <v>0</v>
      </c>
      <c r="K201" s="24" t="n">
        <f aca="false">IF(I201="","—",IFERROR(I201-G201,""))</f>
        <v>0</v>
      </c>
      <c r="L201" s="24" t="n">
        <f aca="false">IF(J201="","—",IFERROR(J201-H201,""))</f>
        <v>0</v>
      </c>
      <c r="M201" s="92"/>
    </row>
    <row r="202" customFormat="false" ht="12.75" hidden="false" customHeight="true" outlineLevel="0" collapsed="false">
      <c r="B202" s="27" t="s">
        <v>153</v>
      </c>
      <c r="C202" s="76" t="s">
        <v>351</v>
      </c>
      <c r="D202" s="76" t="s">
        <v>157</v>
      </c>
      <c r="E202" s="27" t="s">
        <v>15</v>
      </c>
      <c r="F202" s="77"/>
      <c r="G202" s="29" t="n">
        <v>1</v>
      </c>
      <c r="H202" s="29" t="n">
        <v>0</v>
      </c>
      <c r="I202" s="88" t="n">
        <v>1</v>
      </c>
      <c r="J202" s="88" t="n">
        <v>0</v>
      </c>
      <c r="K202" s="29" t="n">
        <f aca="false">IF(I202="","—",IFERROR(I202-G202,""))</f>
        <v>0</v>
      </c>
      <c r="L202" s="29" t="n">
        <f aca="false">IF(J202="","—",IFERROR(J202-H202,""))</f>
        <v>0</v>
      </c>
      <c r="M202" s="93"/>
    </row>
    <row r="203" customFormat="false" ht="12.75" hidden="false" customHeight="true" outlineLevel="0" collapsed="false">
      <c r="B203" s="22" t="s">
        <v>153</v>
      </c>
      <c r="C203" s="79" t="s">
        <v>352</v>
      </c>
      <c r="D203" s="79" t="s">
        <v>353</v>
      </c>
      <c r="E203" s="22" t="s">
        <v>15</v>
      </c>
      <c r="F203" s="80"/>
      <c r="G203" s="24" t="n">
        <v>0</v>
      </c>
      <c r="H203" s="24" t="n">
        <v>0</v>
      </c>
      <c r="I203" s="88" t="n">
        <v>0</v>
      </c>
      <c r="J203" s="88" t="n">
        <v>0</v>
      </c>
      <c r="K203" s="24" t="n">
        <f aca="false">IF(I203="","—",IFERROR(I203-G203,""))</f>
        <v>0</v>
      </c>
      <c r="L203" s="24" t="n">
        <f aca="false">IF(J203="","—",IFERROR(J203-H203,""))</f>
        <v>0</v>
      </c>
      <c r="M203" s="92"/>
    </row>
    <row r="204" customFormat="false" ht="12.75" hidden="false" customHeight="true" outlineLevel="0" collapsed="false">
      <c r="B204" s="27" t="s">
        <v>153</v>
      </c>
      <c r="C204" s="76" t="s">
        <v>354</v>
      </c>
      <c r="D204" s="76" t="s">
        <v>217</v>
      </c>
      <c r="E204" s="27" t="s">
        <v>15</v>
      </c>
      <c r="F204" s="77"/>
      <c r="G204" s="29" t="n">
        <v>0</v>
      </c>
      <c r="H204" s="29" t="n">
        <v>0</v>
      </c>
      <c r="I204" s="88" t="n">
        <v>0</v>
      </c>
      <c r="J204" s="88" t="n">
        <v>0</v>
      </c>
      <c r="K204" s="29" t="n">
        <f aca="false">IF(I204="","—",IFERROR(I204-G204,""))</f>
        <v>0</v>
      </c>
      <c r="L204" s="29" t="n">
        <f aca="false">IF(J204="","—",IFERROR(J204-H204,""))</f>
        <v>0</v>
      </c>
      <c r="M204" s="93"/>
    </row>
    <row r="205" customFormat="false" ht="12.75" hidden="false" customHeight="true" outlineLevel="0" collapsed="false">
      <c r="B205" s="22" t="s">
        <v>355</v>
      </c>
      <c r="C205" s="79" t="s">
        <v>356</v>
      </c>
      <c r="D205" s="79" t="s">
        <v>282</v>
      </c>
      <c r="E205" s="22" t="s">
        <v>15</v>
      </c>
      <c r="F205" s="80"/>
      <c r="G205" s="24" t="n">
        <v>30</v>
      </c>
      <c r="H205" s="24" t="n">
        <v>0</v>
      </c>
      <c r="I205" s="88" t="n">
        <v>30</v>
      </c>
      <c r="J205" s="88" t="n">
        <v>0</v>
      </c>
      <c r="K205" s="24" t="n">
        <f aca="false">IF(I205="","—",IFERROR(I205-G205,""))</f>
        <v>0</v>
      </c>
      <c r="L205" s="24" t="n">
        <f aca="false">IF(J205="","—",IFERROR(J205-H205,""))</f>
        <v>0</v>
      </c>
      <c r="M205" s="92"/>
    </row>
    <row r="206" customFormat="false" ht="12.75" hidden="false" customHeight="true" outlineLevel="0" collapsed="false">
      <c r="B206" s="27" t="s">
        <v>358</v>
      </c>
      <c r="C206" s="76" t="s">
        <v>359</v>
      </c>
      <c r="D206" s="76" t="s">
        <v>212</v>
      </c>
      <c r="E206" s="27" t="s">
        <v>15</v>
      </c>
      <c r="F206" s="77"/>
      <c r="G206" s="29" t="n">
        <v>105</v>
      </c>
      <c r="H206" s="29" t="n">
        <v>108150</v>
      </c>
      <c r="I206" s="88" t="n">
        <v>103</v>
      </c>
      <c r="J206" s="88" t="n">
        <v>106090</v>
      </c>
      <c r="K206" s="29" t="n">
        <f aca="false">IF(I206="","—",IFERROR(I206-G206,""))</f>
        <v>-2</v>
      </c>
      <c r="L206" s="29" t="n">
        <f aca="false">IF(J206="","—",IFERROR(J206-H206,""))</f>
        <v>-2060</v>
      </c>
      <c r="M206" s="93"/>
    </row>
    <row r="207" customFormat="false" ht="12.75" hidden="false" customHeight="true" outlineLevel="0" collapsed="false">
      <c r="B207" s="22" t="s">
        <v>361</v>
      </c>
      <c r="C207" s="79" t="s">
        <v>362</v>
      </c>
      <c r="D207" s="79" t="s">
        <v>363</v>
      </c>
      <c r="E207" s="22" t="s">
        <v>15</v>
      </c>
      <c r="F207" s="80"/>
      <c r="G207" s="24" t="n">
        <v>2</v>
      </c>
      <c r="H207" s="24" t="n">
        <v>0</v>
      </c>
      <c r="I207" s="88" t="n">
        <v>2</v>
      </c>
      <c r="J207" s="88" t="n">
        <v>0</v>
      </c>
      <c r="K207" s="24" t="n">
        <f aca="false">IF(I207="","—",IFERROR(I207-G207,""))</f>
        <v>0</v>
      </c>
      <c r="L207" s="24" t="n">
        <f aca="false">IF(J207="","—",IFERROR(J207-H207,""))</f>
        <v>0</v>
      </c>
      <c r="M207" s="92"/>
    </row>
    <row r="208" customFormat="false" ht="12.75" hidden="false" customHeight="true" outlineLevel="0" collapsed="false">
      <c r="B208" s="27" t="s">
        <v>361</v>
      </c>
      <c r="C208" s="76" t="s">
        <v>364</v>
      </c>
      <c r="D208" s="76" t="s">
        <v>363</v>
      </c>
      <c r="E208" s="27" t="s">
        <v>15</v>
      </c>
      <c r="F208" s="77"/>
      <c r="G208" s="29" t="n">
        <v>0</v>
      </c>
      <c r="H208" s="29" t="n">
        <v>0</v>
      </c>
      <c r="I208" s="88" t="n">
        <v>0</v>
      </c>
      <c r="J208" s="88" t="n">
        <v>0</v>
      </c>
      <c r="K208" s="29" t="n">
        <f aca="false">IF(I208="","—",IFERROR(I208-G208,""))</f>
        <v>0</v>
      </c>
      <c r="L208" s="29" t="n">
        <f aca="false">IF(J208="","—",IFERROR(J208-H208,""))</f>
        <v>0</v>
      </c>
      <c r="M208" s="93"/>
    </row>
    <row r="209" customFormat="false" ht="12.75" hidden="false" customHeight="true" outlineLevel="0" collapsed="false">
      <c r="B209" s="66" t="s">
        <v>366</v>
      </c>
      <c r="C209" s="66"/>
      <c r="D209" s="66"/>
      <c r="E209" s="66"/>
      <c r="F209" s="66"/>
      <c r="G209" s="67" t="n">
        <v>2146</v>
      </c>
      <c r="H209" s="67" t="n">
        <v>1149683.08</v>
      </c>
      <c r="I209" s="90" t="n">
        <v>2074</v>
      </c>
      <c r="J209" s="90" t="n">
        <v>1132249</v>
      </c>
      <c r="K209" s="90" t="n">
        <v>-72</v>
      </c>
      <c r="L209" s="90" t="n">
        <v>-17434.08</v>
      </c>
      <c r="M209" s="68"/>
    </row>
    <row r="210" customFormat="false" ht="7.5" hidden="false" customHeight="true" outlineLevel="0" collapsed="false"/>
    <row r="211" customFormat="false" ht="15" hidden="false" customHeight="false" outlineLevel="0" collapsed="false">
      <c r="B211" s="75" t="s">
        <v>367</v>
      </c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</row>
    <row r="212" customFormat="false" ht="12.75" hidden="false" customHeight="true" outlineLevel="0" collapsed="false">
      <c r="B212" s="22" t="s">
        <v>279</v>
      </c>
      <c r="C212" s="79" t="s">
        <v>368</v>
      </c>
      <c r="D212" s="79" t="s">
        <v>274</v>
      </c>
      <c r="E212" s="22" t="s">
        <v>16</v>
      </c>
      <c r="F212" s="80"/>
      <c r="G212" s="24" t="n">
        <v>41</v>
      </c>
      <c r="H212" s="24" t="n">
        <v>239153</v>
      </c>
      <c r="I212" s="88" t="n">
        <v>39</v>
      </c>
      <c r="J212" s="88" t="n">
        <v>227487</v>
      </c>
      <c r="K212" s="24" t="n">
        <f aca="false">IF(I212="","—",IFERROR(I212-G212,""))</f>
        <v>-2</v>
      </c>
      <c r="L212" s="24" t="n">
        <f aca="false">IF(J212="","—",IFERROR(J212-H212,""))</f>
        <v>-11666</v>
      </c>
      <c r="M212" s="92"/>
    </row>
    <row r="213" customFormat="false" ht="12.75" hidden="false" customHeight="true" outlineLevel="0" collapsed="false">
      <c r="B213" s="27" t="s">
        <v>279</v>
      </c>
      <c r="C213" s="76" t="s">
        <v>369</v>
      </c>
      <c r="D213" s="76" t="s">
        <v>212</v>
      </c>
      <c r="E213" s="27" t="s">
        <v>16</v>
      </c>
      <c r="F213" s="77"/>
      <c r="G213" s="29" t="n">
        <v>19</v>
      </c>
      <c r="H213" s="29" t="n">
        <v>196764</v>
      </c>
      <c r="I213" s="88" t="n">
        <v>18</v>
      </c>
      <c r="J213" s="88" t="n">
        <v>186408</v>
      </c>
      <c r="K213" s="29" t="n">
        <f aca="false">IF(I213="","—",IFERROR(I213-G213,""))</f>
        <v>-1</v>
      </c>
      <c r="L213" s="29" t="n">
        <f aca="false">IF(J213="","—",IFERROR(J213-H213,""))</f>
        <v>-10356</v>
      </c>
      <c r="M213" s="93"/>
    </row>
    <row r="214" customFormat="false" ht="12.75" hidden="false" customHeight="true" outlineLevel="0" collapsed="false">
      <c r="B214" s="22" t="s">
        <v>279</v>
      </c>
      <c r="C214" s="79" t="s">
        <v>370</v>
      </c>
      <c r="D214" s="79" t="s">
        <v>371</v>
      </c>
      <c r="E214" s="22" t="s">
        <v>16</v>
      </c>
      <c r="F214" s="80"/>
      <c r="G214" s="24" t="n">
        <v>6</v>
      </c>
      <c r="H214" s="24" t="n">
        <v>23640</v>
      </c>
      <c r="I214" s="88" t="n">
        <v>5</v>
      </c>
      <c r="J214" s="88" t="n">
        <v>19700</v>
      </c>
      <c r="K214" s="24" t="n">
        <f aca="false">IF(I214="","—",IFERROR(I214-G214,""))</f>
        <v>-1</v>
      </c>
      <c r="L214" s="24" t="n">
        <f aca="false">IF(J214="","—",IFERROR(J214-H214,""))</f>
        <v>-3940</v>
      </c>
      <c r="M214" s="92"/>
    </row>
    <row r="215" customFormat="false" ht="12.75" hidden="false" customHeight="true" outlineLevel="0" collapsed="false">
      <c r="B215" s="27" t="s">
        <v>279</v>
      </c>
      <c r="C215" s="76" t="s">
        <v>372</v>
      </c>
      <c r="D215" s="76" t="s">
        <v>373</v>
      </c>
      <c r="E215" s="27" t="s">
        <v>16</v>
      </c>
      <c r="F215" s="77"/>
      <c r="G215" s="29" t="n">
        <v>2</v>
      </c>
      <c r="H215" s="29" t="n">
        <v>7275</v>
      </c>
      <c r="I215" s="88" t="n">
        <v>2</v>
      </c>
      <c r="J215" s="88" t="n">
        <v>7275</v>
      </c>
      <c r="K215" s="29" t="n">
        <f aca="false">IF(I215="","—",IFERROR(I215-G215,""))</f>
        <v>0</v>
      </c>
      <c r="L215" s="29" t="n">
        <f aca="false">IF(J215="","—",IFERROR(J215-H215,""))</f>
        <v>0</v>
      </c>
      <c r="M215" s="93"/>
    </row>
    <row r="216" customFormat="false" ht="12.75" hidden="false" customHeight="true" outlineLevel="0" collapsed="false">
      <c r="B216" s="58" t="s">
        <v>279</v>
      </c>
      <c r="C216" s="18" t="s">
        <v>374</v>
      </c>
      <c r="D216" s="18" t="s">
        <v>274</v>
      </c>
      <c r="E216" s="58" t="s">
        <v>16</v>
      </c>
      <c r="F216" s="64"/>
      <c r="G216" s="20" t="n">
        <v>-4</v>
      </c>
      <c r="H216" s="20" t="n">
        <v>-22756</v>
      </c>
      <c r="I216" s="88" t="n">
        <v>-4</v>
      </c>
      <c r="J216" s="88" t="n">
        <v>-22756</v>
      </c>
      <c r="K216" s="20" t="n">
        <f aca="false">IF(I216="","—",IFERROR(I216-G216,""))</f>
        <v>0</v>
      </c>
      <c r="L216" s="20" t="n">
        <f aca="false">IF(J216="","—",IFERROR(J216-H216,""))</f>
        <v>0</v>
      </c>
      <c r="M216" s="89"/>
    </row>
    <row r="217" customFormat="false" ht="12.75" hidden="false" customHeight="true" outlineLevel="0" collapsed="false">
      <c r="B217" s="58" t="s">
        <v>279</v>
      </c>
      <c r="C217" s="18" t="s">
        <v>375</v>
      </c>
      <c r="D217" s="18" t="s">
        <v>212</v>
      </c>
      <c r="E217" s="58" t="s">
        <v>16</v>
      </c>
      <c r="F217" s="64"/>
      <c r="G217" s="20" t="n">
        <v>-13</v>
      </c>
      <c r="H217" s="20" t="n">
        <v>-120003</v>
      </c>
      <c r="I217" s="88" t="n">
        <v>-13</v>
      </c>
      <c r="J217" s="88" t="n">
        <v>-120003</v>
      </c>
      <c r="K217" s="20" t="n">
        <f aca="false">IF(I217="","—",IFERROR(I217-G217,""))</f>
        <v>0</v>
      </c>
      <c r="L217" s="20" t="n">
        <f aca="false">IF(J217="","—",IFERROR(J217-H217,""))</f>
        <v>0</v>
      </c>
      <c r="M217" s="89"/>
    </row>
    <row r="218" customFormat="false" ht="12.75" hidden="false" customHeight="true" outlineLevel="0" collapsed="false">
      <c r="B218" s="22" t="s">
        <v>376</v>
      </c>
      <c r="C218" s="79" t="s">
        <v>377</v>
      </c>
      <c r="D218" s="79" t="s">
        <v>274</v>
      </c>
      <c r="E218" s="22" t="s">
        <v>16</v>
      </c>
      <c r="F218" s="80"/>
      <c r="G218" s="24" t="n">
        <v>111</v>
      </c>
      <c r="H218" s="24" t="n">
        <v>14430</v>
      </c>
      <c r="I218" s="88" t="n">
        <v>109</v>
      </c>
      <c r="J218" s="88" t="n">
        <v>14170</v>
      </c>
      <c r="K218" s="24" t="n">
        <f aca="false">IF(I218="","—",IFERROR(I218-G218,""))</f>
        <v>-2</v>
      </c>
      <c r="L218" s="24" t="n">
        <f aca="false">IF(J218="","—",IFERROR(J218-H218,""))</f>
        <v>-260</v>
      </c>
      <c r="M218" s="92"/>
    </row>
    <row r="219" customFormat="false" ht="12.75" hidden="false" customHeight="true" outlineLevel="0" collapsed="false">
      <c r="B219" s="27" t="s">
        <v>376</v>
      </c>
      <c r="C219" s="76" t="s">
        <v>378</v>
      </c>
      <c r="D219" s="76" t="s">
        <v>371</v>
      </c>
      <c r="E219" s="27" t="s">
        <v>16</v>
      </c>
      <c r="F219" s="77"/>
      <c r="G219" s="29" t="n">
        <v>12</v>
      </c>
      <c r="H219" s="29" t="n">
        <v>852</v>
      </c>
      <c r="I219" s="88" t="n">
        <v>11</v>
      </c>
      <c r="J219" s="88" t="n">
        <v>781</v>
      </c>
      <c r="K219" s="29" t="n">
        <f aca="false">IF(I219="","—",IFERROR(I219-G219,""))</f>
        <v>-1</v>
      </c>
      <c r="L219" s="29" t="n">
        <f aca="false">IF(J219="","—",IFERROR(J219-H219,""))</f>
        <v>-71</v>
      </c>
      <c r="M219" s="93"/>
    </row>
    <row r="220" customFormat="false" ht="12.75" hidden="false" customHeight="true" outlineLevel="0" collapsed="false">
      <c r="B220" s="22" t="s">
        <v>376</v>
      </c>
      <c r="C220" s="79" t="s">
        <v>379</v>
      </c>
      <c r="D220" s="79" t="s">
        <v>212</v>
      </c>
      <c r="E220" s="22" t="s">
        <v>16</v>
      </c>
      <c r="F220" s="80"/>
      <c r="G220" s="24" t="n">
        <v>3</v>
      </c>
      <c r="H220" s="24" t="n">
        <v>600</v>
      </c>
      <c r="I220" s="88" t="n">
        <v>2</v>
      </c>
      <c r="J220" s="88" t="n">
        <v>400</v>
      </c>
      <c r="K220" s="24" t="n">
        <f aca="false">IF(I220="","—",IFERROR(I220-G220,""))</f>
        <v>-1</v>
      </c>
      <c r="L220" s="24" t="n">
        <f aca="false">IF(J220="","—",IFERROR(J220-H220,""))</f>
        <v>-200</v>
      </c>
      <c r="M220" s="92"/>
    </row>
    <row r="221" customFormat="false" ht="12.75" hidden="false" customHeight="true" outlineLevel="0" collapsed="false">
      <c r="B221" s="27" t="s">
        <v>376</v>
      </c>
      <c r="C221" s="76" t="s">
        <v>380</v>
      </c>
      <c r="D221" s="76" t="s">
        <v>381</v>
      </c>
      <c r="E221" s="27" t="s">
        <v>16</v>
      </c>
      <c r="F221" s="77"/>
      <c r="G221" s="29" t="n">
        <v>1</v>
      </c>
      <c r="H221" s="29" t="n">
        <v>300</v>
      </c>
      <c r="I221" s="88" t="n">
        <v>1</v>
      </c>
      <c r="J221" s="88" t="n">
        <v>300</v>
      </c>
      <c r="K221" s="29" t="n">
        <f aca="false">IF(I221="","—",IFERROR(I221-G221,""))</f>
        <v>0</v>
      </c>
      <c r="L221" s="29" t="n">
        <f aca="false">IF(J221="","—",IFERROR(J221-H221,""))</f>
        <v>0</v>
      </c>
      <c r="M221" s="93"/>
    </row>
    <row r="222" customFormat="false" ht="12.75" hidden="false" customHeight="true" outlineLevel="0" collapsed="false">
      <c r="B222" s="22" t="s">
        <v>383</v>
      </c>
      <c r="C222" s="79" t="s">
        <v>384</v>
      </c>
      <c r="D222" s="79" t="s">
        <v>381</v>
      </c>
      <c r="E222" s="22" t="s">
        <v>16</v>
      </c>
      <c r="F222" s="80"/>
      <c r="G222" s="24" t="n">
        <v>1</v>
      </c>
      <c r="H222" s="24" t="n">
        <v>3000</v>
      </c>
      <c r="I222" s="88" t="n">
        <v>1</v>
      </c>
      <c r="J222" s="88" t="n">
        <v>3000</v>
      </c>
      <c r="K222" s="24" t="n">
        <f aca="false">IF(I222="","—",IFERROR(I222-G222,""))</f>
        <v>0</v>
      </c>
      <c r="L222" s="24" t="n">
        <f aca="false">IF(J222="","—",IFERROR(J222-H222,""))</f>
        <v>0</v>
      </c>
      <c r="M222" s="92"/>
    </row>
    <row r="223" customFormat="false" ht="12.75" hidden="false" customHeight="true" outlineLevel="0" collapsed="false">
      <c r="B223" s="27" t="s">
        <v>308</v>
      </c>
      <c r="C223" s="76" t="s">
        <v>386</v>
      </c>
      <c r="D223" s="76" t="s">
        <v>212</v>
      </c>
      <c r="E223" s="27" t="s">
        <v>16</v>
      </c>
      <c r="F223" s="77"/>
      <c r="G223" s="29" t="n">
        <v>2</v>
      </c>
      <c r="H223" s="29" t="n">
        <v>3888</v>
      </c>
      <c r="I223" s="88" t="n">
        <v>2</v>
      </c>
      <c r="J223" s="88" t="n">
        <v>3888</v>
      </c>
      <c r="K223" s="29" t="n">
        <f aca="false">IF(I223="","—",IFERROR(I223-G223,""))</f>
        <v>0</v>
      </c>
      <c r="L223" s="29" t="n">
        <f aca="false">IF(J223="","—",IFERROR(J223-H223,""))</f>
        <v>0</v>
      </c>
      <c r="M223" s="93"/>
    </row>
    <row r="224" customFormat="false" ht="12.75" hidden="false" customHeight="true" outlineLevel="0" collapsed="false">
      <c r="B224" s="22" t="s">
        <v>308</v>
      </c>
      <c r="C224" s="79" t="s">
        <v>387</v>
      </c>
      <c r="D224" s="79" t="s">
        <v>274</v>
      </c>
      <c r="E224" s="22" t="s">
        <v>16</v>
      </c>
      <c r="F224" s="80"/>
      <c r="G224" s="24" t="n">
        <v>2</v>
      </c>
      <c r="H224" s="24" t="n">
        <v>1810</v>
      </c>
      <c r="I224" s="88" t="n">
        <v>2</v>
      </c>
      <c r="J224" s="88" t="n">
        <v>1810</v>
      </c>
      <c r="K224" s="24" t="n">
        <f aca="false">IF(I224="","—",IFERROR(I224-G224,""))</f>
        <v>0</v>
      </c>
      <c r="L224" s="24" t="n">
        <f aca="false">IF(J224="","—",IFERROR(J224-H224,""))</f>
        <v>0</v>
      </c>
      <c r="M224" s="92"/>
    </row>
    <row r="225" customFormat="false" ht="12.75" hidden="false" customHeight="true" outlineLevel="0" collapsed="false">
      <c r="B225" s="27" t="s">
        <v>308</v>
      </c>
      <c r="C225" s="76" t="s">
        <v>388</v>
      </c>
      <c r="D225" s="76" t="s">
        <v>371</v>
      </c>
      <c r="E225" s="27" t="s">
        <v>16</v>
      </c>
      <c r="F225" s="77"/>
      <c r="G225" s="29" t="n">
        <v>2</v>
      </c>
      <c r="H225" s="29" t="n">
        <v>1000</v>
      </c>
      <c r="I225" s="88" t="n">
        <v>1</v>
      </c>
      <c r="J225" s="88" t="n">
        <v>500</v>
      </c>
      <c r="K225" s="29" t="n">
        <f aca="false">IF(I225="","—",IFERROR(I225-G225,""))</f>
        <v>-1</v>
      </c>
      <c r="L225" s="29" t="n">
        <f aca="false">IF(J225="","—",IFERROR(J225-H225,""))</f>
        <v>-500</v>
      </c>
      <c r="M225" s="93"/>
    </row>
    <row r="226" customFormat="false" ht="12.75" hidden="false" customHeight="true" outlineLevel="0" collapsed="false">
      <c r="B226" s="22" t="s">
        <v>308</v>
      </c>
      <c r="C226" s="79" t="s">
        <v>389</v>
      </c>
      <c r="D226" s="79" t="s">
        <v>371</v>
      </c>
      <c r="E226" s="22" t="s">
        <v>16</v>
      </c>
      <c r="F226" s="80"/>
      <c r="G226" s="24" t="n">
        <v>1</v>
      </c>
      <c r="H226" s="24" t="n">
        <v>500</v>
      </c>
      <c r="I226" s="88" t="n">
        <v>0</v>
      </c>
      <c r="J226" s="88" t="n">
        <v>0</v>
      </c>
      <c r="K226" s="24" t="n">
        <f aca="false">IF(I226="","—",IFERROR(I226-G226,""))</f>
        <v>-1</v>
      </c>
      <c r="L226" s="24" t="n">
        <f aca="false">IF(J226="","—",IFERROR(J226-H226,""))</f>
        <v>-500</v>
      </c>
      <c r="M226" s="92"/>
    </row>
    <row r="227" customFormat="false" ht="12.75" hidden="false" customHeight="true" outlineLevel="0" collapsed="false">
      <c r="B227" s="27" t="s">
        <v>308</v>
      </c>
      <c r="C227" s="76" t="s">
        <v>390</v>
      </c>
      <c r="D227" s="76" t="s">
        <v>212</v>
      </c>
      <c r="E227" s="27" t="s">
        <v>16</v>
      </c>
      <c r="F227" s="77"/>
      <c r="G227" s="29" t="n">
        <v>0</v>
      </c>
      <c r="H227" s="29" t="n">
        <v>0</v>
      </c>
      <c r="I227" s="88" t="n">
        <v>0</v>
      </c>
      <c r="J227" s="88" t="n">
        <v>0</v>
      </c>
      <c r="K227" s="29" t="n">
        <f aca="false">IF(I227="","—",IFERROR(I227-G227,""))</f>
        <v>0</v>
      </c>
      <c r="L227" s="29" t="n">
        <f aca="false">IF(J227="","—",IFERROR(J227-H227,""))</f>
        <v>0</v>
      </c>
      <c r="M227" s="93"/>
    </row>
    <row r="228" customFormat="false" ht="12.75" hidden="false" customHeight="true" outlineLevel="0" collapsed="false">
      <c r="B228" s="22" t="s">
        <v>308</v>
      </c>
      <c r="C228" s="79" t="s">
        <v>391</v>
      </c>
      <c r="D228" s="79" t="s">
        <v>274</v>
      </c>
      <c r="E228" s="22" t="s">
        <v>16</v>
      </c>
      <c r="F228" s="80"/>
      <c r="G228" s="24" t="n">
        <v>0</v>
      </c>
      <c r="H228" s="24" t="n">
        <v>0</v>
      </c>
      <c r="I228" s="88" t="n">
        <v>0</v>
      </c>
      <c r="J228" s="88" t="n">
        <v>0</v>
      </c>
      <c r="K228" s="24" t="n">
        <f aca="false">IF(I228="","—",IFERROR(I228-G228,""))</f>
        <v>0</v>
      </c>
      <c r="L228" s="24" t="n">
        <f aca="false">IF(J228="","—",IFERROR(J228-H228,""))</f>
        <v>0</v>
      </c>
      <c r="M228" s="92"/>
    </row>
    <row r="229" customFormat="false" ht="12.75" hidden="false" customHeight="true" outlineLevel="0" collapsed="false">
      <c r="B229" s="27" t="s">
        <v>308</v>
      </c>
      <c r="C229" s="76" t="s">
        <v>392</v>
      </c>
      <c r="D229" s="76" t="s">
        <v>274</v>
      </c>
      <c r="E229" s="27" t="s">
        <v>16</v>
      </c>
      <c r="F229" s="77"/>
      <c r="G229" s="29" t="n">
        <v>0</v>
      </c>
      <c r="H229" s="29" t="n">
        <v>0</v>
      </c>
      <c r="I229" s="88" t="n">
        <v>0</v>
      </c>
      <c r="J229" s="88" t="n">
        <v>0</v>
      </c>
      <c r="K229" s="29" t="n">
        <f aca="false">IF(I229="","—",IFERROR(I229-G229,""))</f>
        <v>0</v>
      </c>
      <c r="L229" s="29" t="n">
        <f aca="false">IF(J229="","—",IFERROR(J229-H229,""))</f>
        <v>0</v>
      </c>
      <c r="M229" s="93"/>
    </row>
    <row r="230" customFormat="false" ht="12.75" hidden="false" customHeight="true" outlineLevel="0" collapsed="false">
      <c r="B230" s="22" t="s">
        <v>393</v>
      </c>
      <c r="C230" s="79" t="s">
        <v>394</v>
      </c>
      <c r="D230" s="79" t="s">
        <v>274</v>
      </c>
      <c r="E230" s="22" t="s">
        <v>16</v>
      </c>
      <c r="F230" s="80"/>
      <c r="G230" s="24" t="n">
        <v>15</v>
      </c>
      <c r="H230" s="24" t="n">
        <v>4500</v>
      </c>
      <c r="I230" s="88" t="n">
        <v>13</v>
      </c>
      <c r="J230" s="88" t="n">
        <v>3900</v>
      </c>
      <c r="K230" s="24" t="n">
        <f aca="false">IF(I230="","—",IFERROR(I230-G230,""))</f>
        <v>-2</v>
      </c>
      <c r="L230" s="24" t="n">
        <f aca="false">IF(J230="","—",IFERROR(J230-H230,""))</f>
        <v>-600</v>
      </c>
      <c r="M230" s="92"/>
    </row>
    <row r="231" customFormat="false" ht="12.75" hidden="false" customHeight="true" outlineLevel="0" collapsed="false">
      <c r="B231" s="27" t="s">
        <v>393</v>
      </c>
      <c r="C231" s="76" t="s">
        <v>395</v>
      </c>
      <c r="D231" s="76" t="s">
        <v>371</v>
      </c>
      <c r="E231" s="27" t="s">
        <v>16</v>
      </c>
      <c r="F231" s="77"/>
      <c r="G231" s="29" t="n">
        <v>19</v>
      </c>
      <c r="H231" s="29" t="n">
        <v>2945</v>
      </c>
      <c r="I231" s="88" t="n">
        <v>19</v>
      </c>
      <c r="J231" s="88" t="n">
        <v>2945</v>
      </c>
      <c r="K231" s="29" t="n">
        <f aca="false">IF(I231="","—",IFERROR(I231-G231,""))</f>
        <v>0</v>
      </c>
      <c r="L231" s="29" t="n">
        <f aca="false">IF(J231="","—",IFERROR(J231-H231,""))</f>
        <v>0</v>
      </c>
      <c r="M231" s="93"/>
    </row>
    <row r="232" customFormat="false" ht="12.75" hidden="false" customHeight="true" outlineLevel="0" collapsed="false">
      <c r="B232" s="22" t="s">
        <v>393</v>
      </c>
      <c r="C232" s="79" t="s">
        <v>396</v>
      </c>
      <c r="D232" s="79" t="s">
        <v>274</v>
      </c>
      <c r="E232" s="22" t="s">
        <v>16</v>
      </c>
      <c r="F232" s="80"/>
      <c r="G232" s="24" t="n">
        <v>8</v>
      </c>
      <c r="H232" s="24" t="n">
        <v>2400</v>
      </c>
      <c r="I232" s="88" t="n">
        <v>8</v>
      </c>
      <c r="J232" s="88" t="n">
        <v>2400</v>
      </c>
      <c r="K232" s="24" t="n">
        <f aca="false">IF(I232="","—",IFERROR(I232-G232,""))</f>
        <v>0</v>
      </c>
      <c r="L232" s="24" t="n">
        <f aca="false">IF(J232="","—",IFERROR(J232-H232,""))</f>
        <v>0</v>
      </c>
      <c r="M232" s="92"/>
    </row>
    <row r="233" customFormat="false" ht="12.75" hidden="false" customHeight="true" outlineLevel="0" collapsed="false">
      <c r="B233" s="27" t="s">
        <v>393</v>
      </c>
      <c r="C233" s="76" t="s">
        <v>397</v>
      </c>
      <c r="D233" s="76" t="s">
        <v>371</v>
      </c>
      <c r="E233" s="27" t="s">
        <v>16</v>
      </c>
      <c r="F233" s="77"/>
      <c r="G233" s="29" t="n">
        <v>4</v>
      </c>
      <c r="H233" s="29" t="n">
        <v>620</v>
      </c>
      <c r="I233" s="88" t="n">
        <v>3</v>
      </c>
      <c r="J233" s="88" t="n">
        <v>465</v>
      </c>
      <c r="K233" s="29" t="n">
        <f aca="false">IF(I233="","—",IFERROR(I233-G233,""))</f>
        <v>-1</v>
      </c>
      <c r="L233" s="29" t="n">
        <f aca="false">IF(J233="","—",IFERROR(J233-H233,""))</f>
        <v>-155</v>
      </c>
      <c r="M233" s="93"/>
    </row>
    <row r="234" customFormat="false" ht="12.75" hidden="false" customHeight="true" outlineLevel="0" collapsed="false">
      <c r="B234" s="22" t="s">
        <v>393</v>
      </c>
      <c r="C234" s="79" t="s">
        <v>398</v>
      </c>
      <c r="D234" s="79" t="s">
        <v>212</v>
      </c>
      <c r="E234" s="22" t="s">
        <v>16</v>
      </c>
      <c r="F234" s="80"/>
      <c r="G234" s="24" t="n">
        <v>0</v>
      </c>
      <c r="H234" s="24" t="n">
        <v>0</v>
      </c>
      <c r="I234" s="88" t="n">
        <v>0</v>
      </c>
      <c r="J234" s="88" t="n">
        <v>0</v>
      </c>
      <c r="K234" s="24" t="n">
        <f aca="false">IF(I234="","—",IFERROR(I234-G234,""))</f>
        <v>0</v>
      </c>
      <c r="L234" s="24" t="n">
        <f aca="false">IF(J234="","—",IFERROR(J234-H234,""))</f>
        <v>0</v>
      </c>
      <c r="M234" s="92"/>
    </row>
    <row r="235" customFormat="false" ht="12.75" hidden="false" customHeight="true" outlineLevel="0" collapsed="false">
      <c r="B235" s="27" t="s">
        <v>393</v>
      </c>
      <c r="C235" s="76" t="s">
        <v>399</v>
      </c>
      <c r="D235" s="76" t="s">
        <v>212</v>
      </c>
      <c r="E235" s="27" t="s">
        <v>16</v>
      </c>
      <c r="F235" s="77"/>
      <c r="G235" s="29" t="n">
        <v>0</v>
      </c>
      <c r="H235" s="29" t="n">
        <v>0</v>
      </c>
      <c r="I235" s="88" t="n">
        <v>0</v>
      </c>
      <c r="J235" s="88" t="n">
        <v>0</v>
      </c>
      <c r="K235" s="29" t="n">
        <f aca="false">IF(I235="","—",IFERROR(I235-G235,""))</f>
        <v>0</v>
      </c>
      <c r="L235" s="29" t="n">
        <f aca="false">IF(J235="","—",IFERROR(J235-H235,""))</f>
        <v>0</v>
      </c>
      <c r="M235" s="93"/>
    </row>
    <row r="236" customFormat="false" ht="12.75" hidden="false" customHeight="true" outlineLevel="0" collapsed="false">
      <c r="B236" s="22" t="s">
        <v>393</v>
      </c>
      <c r="C236" s="79" t="s">
        <v>400</v>
      </c>
      <c r="D236" s="79" t="s">
        <v>212</v>
      </c>
      <c r="E236" s="22" t="s">
        <v>16</v>
      </c>
      <c r="F236" s="80"/>
      <c r="G236" s="24" t="n">
        <v>0</v>
      </c>
      <c r="H236" s="24" t="n">
        <v>0</v>
      </c>
      <c r="I236" s="88" t="n">
        <v>0</v>
      </c>
      <c r="J236" s="88" t="n">
        <v>0</v>
      </c>
      <c r="K236" s="24" t="n">
        <f aca="false">IF(I236="","—",IFERROR(I236-G236,""))</f>
        <v>0</v>
      </c>
      <c r="L236" s="24" t="n">
        <f aca="false">IF(J236="","—",IFERROR(J236-H236,""))</f>
        <v>0</v>
      </c>
      <c r="M236" s="92"/>
    </row>
    <row r="237" customFormat="false" ht="12.75" hidden="false" customHeight="true" outlineLevel="0" collapsed="false">
      <c r="B237" s="66" t="s">
        <v>402</v>
      </c>
      <c r="C237" s="66"/>
      <c r="D237" s="66"/>
      <c r="E237" s="66"/>
      <c r="F237" s="66"/>
      <c r="G237" s="67" t="n">
        <v>232</v>
      </c>
      <c r="H237" s="67" t="n">
        <v>360918</v>
      </c>
      <c r="I237" s="90" t="n">
        <v>219</v>
      </c>
      <c r="J237" s="90" t="n">
        <v>332670</v>
      </c>
      <c r="K237" s="90" t="n">
        <v>-13</v>
      </c>
      <c r="L237" s="90" t="n">
        <v>-28248</v>
      </c>
      <c r="M237" s="68"/>
    </row>
    <row r="238" customFormat="false" ht="7.5" hidden="false" customHeight="true" outlineLevel="0" collapsed="false"/>
    <row r="239" customFormat="false" ht="15" hidden="false" customHeight="false" outlineLevel="0" collapsed="false">
      <c r="B239" s="75" t="s">
        <v>403</v>
      </c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</row>
    <row r="240" customFormat="false" ht="12.75" hidden="false" customHeight="true" outlineLevel="0" collapsed="false">
      <c r="B240" s="27" t="s">
        <v>153</v>
      </c>
      <c r="C240" s="76" t="s">
        <v>404</v>
      </c>
      <c r="D240" s="76" t="s">
        <v>405</v>
      </c>
      <c r="E240" s="27" t="s">
        <v>17</v>
      </c>
      <c r="F240" s="77"/>
      <c r="G240" s="29" t="n">
        <v>63</v>
      </c>
      <c r="H240" s="29" t="n">
        <v>144900</v>
      </c>
      <c r="I240" s="88" t="n">
        <v>63</v>
      </c>
      <c r="J240" s="88" t="n">
        <v>144900</v>
      </c>
      <c r="K240" s="29" t="n">
        <f aca="false">IF(I240="","—",IFERROR(I240-G240,""))</f>
        <v>0</v>
      </c>
      <c r="L240" s="29" t="n">
        <f aca="false">IF(J240="","—",IFERROR(J240-H240,""))</f>
        <v>0</v>
      </c>
      <c r="M240" s="93"/>
    </row>
    <row r="241" customFormat="false" ht="12.75" hidden="false" customHeight="true" outlineLevel="0" collapsed="false">
      <c r="B241" s="22" t="s">
        <v>153</v>
      </c>
      <c r="C241" s="79" t="s">
        <v>406</v>
      </c>
      <c r="D241" s="79" t="s">
        <v>405</v>
      </c>
      <c r="E241" s="22" t="s">
        <v>17</v>
      </c>
      <c r="F241" s="80"/>
      <c r="G241" s="24" t="n">
        <v>59</v>
      </c>
      <c r="H241" s="24" t="n">
        <v>133422.6</v>
      </c>
      <c r="I241" s="88" t="n">
        <v>59</v>
      </c>
      <c r="J241" s="88" t="n">
        <v>133423</v>
      </c>
      <c r="K241" s="24" t="n">
        <f aca="false">IF(I241="","—",IFERROR(I241-G241,""))</f>
        <v>0</v>
      </c>
      <c r="L241" s="24" t="n">
        <f aca="false">IF(J241="","—",IFERROR(J241-H241,""))</f>
        <v>0.399999999994179</v>
      </c>
      <c r="M241" s="92"/>
    </row>
    <row r="242" customFormat="false" ht="12.75" hidden="false" customHeight="true" outlineLevel="0" collapsed="false">
      <c r="B242" s="27" t="s">
        <v>153</v>
      </c>
      <c r="C242" s="76" t="s">
        <v>407</v>
      </c>
      <c r="D242" s="76" t="s">
        <v>405</v>
      </c>
      <c r="E242" s="27" t="s">
        <v>17</v>
      </c>
      <c r="F242" s="77"/>
      <c r="G242" s="29" t="n">
        <v>7</v>
      </c>
      <c r="H242" s="29" t="n">
        <v>11914</v>
      </c>
      <c r="I242" s="88" t="n">
        <v>6</v>
      </c>
      <c r="J242" s="88" t="n">
        <v>10212</v>
      </c>
      <c r="K242" s="29" t="n">
        <f aca="false">IF(I242="","—",IFERROR(I242-G242,""))</f>
        <v>-1</v>
      </c>
      <c r="L242" s="29" t="n">
        <f aca="false">IF(J242="","—",IFERROR(J242-H242,""))</f>
        <v>-1702</v>
      </c>
      <c r="M242" s="93"/>
    </row>
    <row r="243" customFormat="false" ht="12.75" hidden="false" customHeight="true" outlineLevel="0" collapsed="false">
      <c r="B243" s="22" t="s">
        <v>153</v>
      </c>
      <c r="C243" s="79" t="s">
        <v>408</v>
      </c>
      <c r="D243" s="79" t="s">
        <v>405</v>
      </c>
      <c r="E243" s="22" t="s">
        <v>17</v>
      </c>
      <c r="F243" s="80"/>
      <c r="G243" s="24" t="n">
        <v>2</v>
      </c>
      <c r="H243" s="24" t="n">
        <v>4522</v>
      </c>
      <c r="I243" s="88" t="n">
        <v>2</v>
      </c>
      <c r="J243" s="88" t="n">
        <v>4522</v>
      </c>
      <c r="K243" s="24" t="n">
        <f aca="false">IF(I243="","—",IFERROR(I243-G243,""))</f>
        <v>0</v>
      </c>
      <c r="L243" s="24" t="n">
        <f aca="false">IF(J243="","—",IFERROR(J243-H243,""))</f>
        <v>0</v>
      </c>
      <c r="M243" s="92"/>
    </row>
    <row r="244" customFormat="false" ht="12.75" hidden="false" customHeight="true" outlineLevel="0" collapsed="false">
      <c r="B244" s="27" t="s">
        <v>153</v>
      </c>
      <c r="C244" s="76" t="s">
        <v>409</v>
      </c>
      <c r="D244" s="76" t="s">
        <v>405</v>
      </c>
      <c r="E244" s="27" t="s">
        <v>17</v>
      </c>
      <c r="F244" s="77"/>
      <c r="G244" s="29" t="n">
        <v>0</v>
      </c>
      <c r="H244" s="29" t="n">
        <v>0</v>
      </c>
      <c r="I244" s="88" t="n">
        <v>0</v>
      </c>
      <c r="J244" s="88" t="n">
        <v>0</v>
      </c>
      <c r="K244" s="29" t="n">
        <f aca="false">IF(I244="","—",IFERROR(I244-G244,""))</f>
        <v>0</v>
      </c>
      <c r="L244" s="29" t="n">
        <f aca="false">IF(J244="","—",IFERROR(J244-H244,""))</f>
        <v>0</v>
      </c>
      <c r="M244" s="93"/>
    </row>
    <row r="245" customFormat="false" ht="12.75" hidden="false" customHeight="true" outlineLevel="0" collapsed="false">
      <c r="B245" s="22" t="s">
        <v>153</v>
      </c>
      <c r="C245" s="79" t="s">
        <v>410</v>
      </c>
      <c r="D245" s="79" t="s">
        <v>405</v>
      </c>
      <c r="E245" s="22" t="s">
        <v>17</v>
      </c>
      <c r="F245" s="80"/>
      <c r="G245" s="24" t="n">
        <v>6</v>
      </c>
      <c r="H245" s="24" t="n">
        <v>0</v>
      </c>
      <c r="I245" s="88" t="n">
        <v>5</v>
      </c>
      <c r="J245" s="88" t="n">
        <v>0</v>
      </c>
      <c r="K245" s="24" t="n">
        <f aca="false">IF(I245="","—",IFERROR(I245-G245,""))</f>
        <v>-1</v>
      </c>
      <c r="L245" s="24" t="n">
        <f aca="false">IF(J245="","—",IFERROR(J245-H245,""))</f>
        <v>0</v>
      </c>
      <c r="M245" s="92"/>
    </row>
    <row r="246" customFormat="false" ht="12.75" hidden="false" customHeight="true" outlineLevel="0" collapsed="false">
      <c r="B246" s="66" t="s">
        <v>411</v>
      </c>
      <c r="C246" s="66"/>
      <c r="D246" s="66"/>
      <c r="E246" s="66"/>
      <c r="F246" s="66"/>
      <c r="G246" s="67" t="n">
        <v>137</v>
      </c>
      <c r="H246" s="67" t="n">
        <v>294758.6</v>
      </c>
      <c r="I246" s="90" t="n">
        <v>135</v>
      </c>
      <c r="J246" s="90" t="n">
        <v>293057</v>
      </c>
      <c r="K246" s="90" t="n">
        <v>-2</v>
      </c>
      <c r="L246" s="90" t="n">
        <v>-1701.6</v>
      </c>
      <c r="M246" s="68"/>
    </row>
    <row r="247" customFormat="false" ht="7.5" hidden="false" customHeight="true" outlineLevel="0" collapsed="false"/>
    <row r="248" customFormat="false" ht="15" hidden="false" customHeight="false" outlineLevel="0" collapsed="false">
      <c r="B248" s="75" t="s">
        <v>412</v>
      </c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</row>
    <row r="249" customFormat="false" ht="12.75" hidden="false" customHeight="true" outlineLevel="0" collapsed="false">
      <c r="B249" s="27" t="s">
        <v>227</v>
      </c>
      <c r="C249" s="76" t="s">
        <v>413</v>
      </c>
      <c r="D249" s="76" t="s">
        <v>414</v>
      </c>
      <c r="E249" s="27" t="s">
        <v>18</v>
      </c>
      <c r="F249" s="77"/>
      <c r="G249" s="29" t="n">
        <v>7</v>
      </c>
      <c r="H249" s="29" t="n">
        <v>910</v>
      </c>
      <c r="I249" s="88" t="n">
        <v>7</v>
      </c>
      <c r="J249" s="88" t="n">
        <v>910</v>
      </c>
      <c r="K249" s="29" t="n">
        <f aca="false">IF(I249="","—",IFERROR(I249-G249,""))</f>
        <v>0</v>
      </c>
      <c r="L249" s="29" t="n">
        <f aca="false">IF(J249="","—",IFERROR(J249-H249,""))</f>
        <v>0</v>
      </c>
      <c r="M249" s="93"/>
    </row>
    <row r="250" customFormat="false" ht="12.75" hidden="false" customHeight="true" outlineLevel="0" collapsed="false">
      <c r="B250" s="22" t="s">
        <v>227</v>
      </c>
      <c r="C250" s="79" t="s">
        <v>415</v>
      </c>
      <c r="D250" s="79" t="s">
        <v>416</v>
      </c>
      <c r="E250" s="22" t="s">
        <v>18</v>
      </c>
      <c r="F250" s="80"/>
      <c r="G250" s="24" t="n">
        <v>6</v>
      </c>
      <c r="H250" s="24" t="n">
        <v>780</v>
      </c>
      <c r="I250" s="88" t="n">
        <v>6</v>
      </c>
      <c r="J250" s="88" t="n">
        <v>780</v>
      </c>
      <c r="K250" s="24" t="n">
        <f aca="false">IF(I250="","—",IFERROR(I250-G250,""))</f>
        <v>0</v>
      </c>
      <c r="L250" s="24" t="n">
        <f aca="false">IF(J250="","—",IFERROR(J250-H250,""))</f>
        <v>0</v>
      </c>
      <c r="M250" s="92"/>
    </row>
    <row r="251" customFormat="false" ht="12.75" hidden="false" customHeight="true" outlineLevel="0" collapsed="false">
      <c r="B251" s="27" t="s">
        <v>227</v>
      </c>
      <c r="C251" s="76" t="s">
        <v>417</v>
      </c>
      <c r="D251" s="76" t="s">
        <v>416</v>
      </c>
      <c r="E251" s="27" t="s">
        <v>18</v>
      </c>
      <c r="F251" s="77"/>
      <c r="G251" s="29" t="n">
        <v>6</v>
      </c>
      <c r="H251" s="29" t="n">
        <v>780</v>
      </c>
      <c r="I251" s="88" t="n">
        <v>6</v>
      </c>
      <c r="J251" s="88" t="n">
        <v>780</v>
      </c>
      <c r="K251" s="29" t="n">
        <f aca="false">IF(I251="","—",IFERROR(I251-G251,""))</f>
        <v>0</v>
      </c>
      <c r="L251" s="29" t="n">
        <f aca="false">IF(J251="","—",IFERROR(J251-H251,""))</f>
        <v>0</v>
      </c>
      <c r="M251" s="93"/>
    </row>
    <row r="252" customFormat="false" ht="12.75" hidden="false" customHeight="true" outlineLevel="0" collapsed="false">
      <c r="B252" s="22" t="s">
        <v>227</v>
      </c>
      <c r="C252" s="79" t="s">
        <v>418</v>
      </c>
      <c r="D252" s="79" t="s">
        <v>419</v>
      </c>
      <c r="E252" s="22" t="s">
        <v>18</v>
      </c>
      <c r="F252" s="80"/>
      <c r="G252" s="24" t="n">
        <v>1</v>
      </c>
      <c r="H252" s="24" t="n">
        <v>600</v>
      </c>
      <c r="I252" s="88" t="n">
        <v>1</v>
      </c>
      <c r="J252" s="88" t="n">
        <v>600</v>
      </c>
      <c r="K252" s="24" t="n">
        <f aca="false">IF(I252="","—",IFERROR(I252-G252,""))</f>
        <v>0</v>
      </c>
      <c r="L252" s="24" t="n">
        <f aca="false">IF(J252="","—",IFERROR(J252-H252,""))</f>
        <v>0</v>
      </c>
      <c r="M252" s="92"/>
    </row>
    <row r="253" customFormat="false" ht="12.75" hidden="false" customHeight="true" outlineLevel="0" collapsed="false">
      <c r="B253" s="27" t="s">
        <v>227</v>
      </c>
      <c r="C253" s="76" t="s">
        <v>420</v>
      </c>
      <c r="D253" s="76" t="s">
        <v>416</v>
      </c>
      <c r="E253" s="27" t="s">
        <v>18</v>
      </c>
      <c r="F253" s="77"/>
      <c r="G253" s="29" t="n">
        <v>3</v>
      </c>
      <c r="H253" s="29" t="n">
        <v>354</v>
      </c>
      <c r="I253" s="88" t="n">
        <v>3</v>
      </c>
      <c r="J253" s="88" t="n">
        <v>354</v>
      </c>
      <c r="K253" s="29" t="n">
        <f aca="false">IF(I253="","—",IFERROR(I253-G253,""))</f>
        <v>0</v>
      </c>
      <c r="L253" s="29" t="n">
        <f aca="false">IF(J253="","—",IFERROR(J253-H253,""))</f>
        <v>0</v>
      </c>
      <c r="M253" s="93"/>
    </row>
    <row r="254" customFormat="false" ht="12.75" hidden="false" customHeight="true" outlineLevel="0" collapsed="false">
      <c r="B254" s="22" t="s">
        <v>227</v>
      </c>
      <c r="C254" s="79" t="s">
        <v>421</v>
      </c>
      <c r="D254" s="79" t="s">
        <v>422</v>
      </c>
      <c r="E254" s="22" t="s">
        <v>18</v>
      </c>
      <c r="F254" s="80"/>
      <c r="G254" s="24" t="n">
        <v>1</v>
      </c>
      <c r="H254" s="24" t="n">
        <v>210</v>
      </c>
      <c r="I254" s="88" t="n">
        <v>1</v>
      </c>
      <c r="J254" s="88" t="n">
        <v>210</v>
      </c>
      <c r="K254" s="24" t="n">
        <f aca="false">IF(I254="","—",IFERROR(I254-G254,""))</f>
        <v>0</v>
      </c>
      <c r="L254" s="24" t="n">
        <f aca="false">IF(J254="","—",IFERROR(J254-H254,""))</f>
        <v>0</v>
      </c>
      <c r="M254" s="92"/>
    </row>
    <row r="255" customFormat="false" ht="12.75" hidden="false" customHeight="true" outlineLevel="0" collapsed="false">
      <c r="B255" s="27" t="s">
        <v>227</v>
      </c>
      <c r="C255" s="76" t="s">
        <v>423</v>
      </c>
      <c r="D255" s="76" t="s">
        <v>416</v>
      </c>
      <c r="E255" s="27" t="s">
        <v>18</v>
      </c>
      <c r="F255" s="77"/>
      <c r="G255" s="29" t="n">
        <v>1</v>
      </c>
      <c r="H255" s="29" t="n">
        <v>118</v>
      </c>
      <c r="I255" s="88" t="n">
        <v>1</v>
      </c>
      <c r="J255" s="88" t="n">
        <v>118</v>
      </c>
      <c r="K255" s="29" t="n">
        <f aca="false">IF(I255="","—",IFERROR(I255-G255,""))</f>
        <v>0</v>
      </c>
      <c r="L255" s="29" t="n">
        <f aca="false">IF(J255="","—",IFERROR(J255-H255,""))</f>
        <v>0</v>
      </c>
      <c r="M255" s="93"/>
    </row>
    <row r="256" customFormat="false" ht="12.75" hidden="false" customHeight="true" outlineLevel="0" collapsed="false">
      <c r="B256" s="22" t="s">
        <v>424</v>
      </c>
      <c r="C256" s="79" t="s">
        <v>425</v>
      </c>
      <c r="D256" s="79" t="s">
        <v>426</v>
      </c>
      <c r="E256" s="22" t="s">
        <v>18</v>
      </c>
      <c r="F256" s="80"/>
      <c r="G256" s="24" t="n">
        <v>28</v>
      </c>
      <c r="H256" s="24" t="n">
        <v>11760</v>
      </c>
      <c r="I256" s="88" t="n">
        <v>28</v>
      </c>
      <c r="J256" s="88" t="n">
        <v>11760</v>
      </c>
      <c r="K256" s="24" t="n">
        <f aca="false">IF(I256="","—",IFERROR(I256-G256,""))</f>
        <v>0</v>
      </c>
      <c r="L256" s="24" t="n">
        <f aca="false">IF(J256="","—",IFERROR(J256-H256,""))</f>
        <v>0</v>
      </c>
      <c r="M256" s="92"/>
    </row>
    <row r="257" customFormat="false" ht="12.75" hidden="false" customHeight="true" outlineLevel="0" collapsed="false">
      <c r="B257" s="27" t="s">
        <v>424</v>
      </c>
      <c r="C257" s="76" t="s">
        <v>427</v>
      </c>
      <c r="D257" s="76" t="s">
        <v>428</v>
      </c>
      <c r="E257" s="27" t="s">
        <v>18</v>
      </c>
      <c r="F257" s="77"/>
      <c r="G257" s="29" t="n">
        <v>20</v>
      </c>
      <c r="H257" s="29" t="n">
        <v>6000</v>
      </c>
      <c r="I257" s="88" t="n">
        <v>20</v>
      </c>
      <c r="J257" s="88" t="n">
        <v>6000</v>
      </c>
      <c r="K257" s="29" t="n">
        <f aca="false">IF(I257="","—",IFERROR(I257-G257,""))</f>
        <v>0</v>
      </c>
      <c r="L257" s="29" t="n">
        <f aca="false">IF(J257="","—",IFERROR(J257-H257,""))</f>
        <v>0</v>
      </c>
      <c r="M257" s="93"/>
    </row>
    <row r="258" customFormat="false" ht="12.75" hidden="false" customHeight="true" outlineLevel="0" collapsed="false">
      <c r="B258" s="22" t="s">
        <v>424</v>
      </c>
      <c r="C258" s="79" t="s">
        <v>429</v>
      </c>
      <c r="D258" s="79" t="s">
        <v>430</v>
      </c>
      <c r="E258" s="22" t="s">
        <v>18</v>
      </c>
      <c r="F258" s="80"/>
      <c r="G258" s="24" t="n">
        <v>5</v>
      </c>
      <c r="H258" s="24" t="n">
        <v>2270</v>
      </c>
      <c r="I258" s="88" t="n">
        <v>5</v>
      </c>
      <c r="J258" s="88" t="n">
        <v>2270</v>
      </c>
      <c r="K258" s="24" t="n">
        <f aca="false">IF(I258="","—",IFERROR(I258-G258,""))</f>
        <v>0</v>
      </c>
      <c r="L258" s="24" t="n">
        <f aca="false">IF(J258="","—",IFERROR(J258-H258,""))</f>
        <v>0</v>
      </c>
      <c r="M258" s="92"/>
    </row>
    <row r="259" customFormat="false" ht="12.75" hidden="false" customHeight="true" outlineLevel="0" collapsed="false">
      <c r="B259" s="27" t="s">
        <v>424</v>
      </c>
      <c r="C259" s="27" t="s">
        <v>431</v>
      </c>
      <c r="D259" s="27" t="s">
        <v>432</v>
      </c>
      <c r="E259" s="27" t="s">
        <v>18</v>
      </c>
      <c r="F259" s="77"/>
      <c r="G259" s="29" t="n">
        <v>7</v>
      </c>
      <c r="H259" s="29" t="n">
        <v>1596</v>
      </c>
      <c r="I259" s="88" t="n">
        <v>7</v>
      </c>
      <c r="J259" s="88" t="n">
        <v>1596</v>
      </c>
      <c r="K259" s="29" t="n">
        <f aca="false">IF(I259="","—",IFERROR(I259-G259,""))</f>
        <v>0</v>
      </c>
      <c r="L259" s="29" t="n">
        <f aca="false">IF(J259="","—",IFERROR(J259-H259,""))</f>
        <v>0</v>
      </c>
      <c r="M259" s="93"/>
    </row>
    <row r="260" customFormat="false" ht="12.75" hidden="false" customHeight="true" outlineLevel="0" collapsed="false">
      <c r="B260" s="22" t="s">
        <v>424</v>
      </c>
      <c r="C260" s="79" t="s">
        <v>433</v>
      </c>
      <c r="D260" s="79" t="s">
        <v>430</v>
      </c>
      <c r="E260" s="22" t="s">
        <v>18</v>
      </c>
      <c r="F260" s="80"/>
      <c r="G260" s="24" t="n">
        <v>11</v>
      </c>
      <c r="H260" s="24" t="n">
        <v>1199</v>
      </c>
      <c r="I260" s="88" t="n">
        <v>11</v>
      </c>
      <c r="J260" s="88" t="n">
        <v>1199</v>
      </c>
      <c r="K260" s="24" t="n">
        <f aca="false">IF(I260="","—",IFERROR(I260-G260,""))</f>
        <v>0</v>
      </c>
      <c r="L260" s="24" t="n">
        <f aca="false">IF(J260="","—",IFERROR(J260-H260,""))</f>
        <v>0</v>
      </c>
      <c r="M260" s="92"/>
    </row>
    <row r="261" customFormat="false" ht="12.75" hidden="false" customHeight="true" outlineLevel="0" collapsed="false">
      <c r="B261" s="27" t="s">
        <v>424</v>
      </c>
      <c r="C261" s="76" t="s">
        <v>434</v>
      </c>
      <c r="D261" s="76" t="s">
        <v>435</v>
      </c>
      <c r="E261" s="27" t="s">
        <v>18</v>
      </c>
      <c r="F261" s="77"/>
      <c r="G261" s="29" t="n">
        <v>4</v>
      </c>
      <c r="H261" s="29" t="n">
        <v>854</v>
      </c>
      <c r="I261" s="88" t="n">
        <v>4</v>
      </c>
      <c r="J261" s="88" t="n">
        <v>854</v>
      </c>
      <c r="K261" s="29" t="n">
        <f aca="false">IF(I261="","—",IFERROR(I261-G261,""))</f>
        <v>0</v>
      </c>
      <c r="L261" s="29" t="n">
        <f aca="false">IF(J261="","—",IFERROR(J261-H261,""))</f>
        <v>0</v>
      </c>
      <c r="M261" s="93"/>
    </row>
    <row r="262" customFormat="false" ht="12.75" hidden="false" customHeight="true" outlineLevel="0" collapsed="false">
      <c r="B262" s="22" t="s">
        <v>424</v>
      </c>
      <c r="C262" s="79" t="s">
        <v>436</v>
      </c>
      <c r="D262" s="79" t="s">
        <v>430</v>
      </c>
      <c r="E262" s="22" t="s">
        <v>18</v>
      </c>
      <c r="F262" s="80"/>
      <c r="G262" s="24" t="n">
        <v>3</v>
      </c>
      <c r="H262" s="24" t="n">
        <v>834</v>
      </c>
      <c r="I262" s="88" t="n">
        <v>3</v>
      </c>
      <c r="J262" s="88" t="n">
        <v>834</v>
      </c>
      <c r="K262" s="24" t="n">
        <f aca="false">IF(I262="","—",IFERROR(I262-G262,""))</f>
        <v>0</v>
      </c>
      <c r="L262" s="24" t="n">
        <f aca="false">IF(J262="","—",IFERROR(J262-H262,""))</f>
        <v>0</v>
      </c>
      <c r="M262" s="92"/>
    </row>
    <row r="263" customFormat="false" ht="12.75" hidden="false" customHeight="true" outlineLevel="0" collapsed="false">
      <c r="B263" s="27" t="s">
        <v>424</v>
      </c>
      <c r="C263" s="76" t="s">
        <v>437</v>
      </c>
      <c r="D263" s="76" t="s">
        <v>430</v>
      </c>
      <c r="E263" s="27" t="s">
        <v>18</v>
      </c>
      <c r="F263" s="77"/>
      <c r="G263" s="29" t="n">
        <v>3</v>
      </c>
      <c r="H263" s="29" t="n">
        <v>534</v>
      </c>
      <c r="I263" s="88" t="n">
        <v>3</v>
      </c>
      <c r="J263" s="88" t="n">
        <v>534</v>
      </c>
      <c r="K263" s="29" t="n">
        <f aca="false">IF(I263="","—",IFERROR(I263-G263,""))</f>
        <v>0</v>
      </c>
      <c r="L263" s="29" t="n">
        <f aca="false">IF(J263="","—",IFERROR(J263-H263,""))</f>
        <v>0</v>
      </c>
      <c r="M263" s="93"/>
    </row>
    <row r="264" customFormat="false" ht="12.75" hidden="false" customHeight="true" outlineLevel="0" collapsed="false">
      <c r="B264" s="22" t="s">
        <v>424</v>
      </c>
      <c r="C264" s="79" t="s">
        <v>438</v>
      </c>
      <c r="D264" s="79" t="s">
        <v>439</v>
      </c>
      <c r="E264" s="22" t="s">
        <v>18</v>
      </c>
      <c r="F264" s="80"/>
      <c r="G264" s="24" t="n">
        <v>10</v>
      </c>
      <c r="H264" s="24" t="n">
        <v>500</v>
      </c>
      <c r="I264" s="88" t="n">
        <v>10</v>
      </c>
      <c r="J264" s="88" t="n">
        <v>500</v>
      </c>
      <c r="K264" s="24" t="n">
        <f aca="false">IF(I264="","—",IFERROR(I264-G264,""))</f>
        <v>0</v>
      </c>
      <c r="L264" s="24" t="n">
        <f aca="false">IF(J264="","—",IFERROR(J264-H264,""))</f>
        <v>0</v>
      </c>
      <c r="M264" s="92"/>
    </row>
    <row r="265" customFormat="false" ht="12.75" hidden="false" customHeight="true" outlineLevel="0" collapsed="false">
      <c r="B265" s="27" t="s">
        <v>424</v>
      </c>
      <c r="C265" s="76" t="s">
        <v>440</v>
      </c>
      <c r="D265" s="76" t="s">
        <v>363</v>
      </c>
      <c r="E265" s="27" t="s">
        <v>18</v>
      </c>
      <c r="F265" s="77"/>
      <c r="G265" s="29" t="n">
        <v>1</v>
      </c>
      <c r="H265" s="29" t="n">
        <v>286</v>
      </c>
      <c r="I265" s="88" t="n">
        <v>1</v>
      </c>
      <c r="J265" s="88" t="n">
        <v>286</v>
      </c>
      <c r="K265" s="29" t="n">
        <f aca="false">IF(I265="","—",IFERROR(I265-G265,""))</f>
        <v>0</v>
      </c>
      <c r="L265" s="29" t="n">
        <f aca="false">IF(J265="","—",IFERROR(J265-H265,""))</f>
        <v>0</v>
      </c>
      <c r="M265" s="93"/>
    </row>
    <row r="266" customFormat="false" ht="12.75" hidden="false" customHeight="true" outlineLevel="0" collapsed="false">
      <c r="B266" s="22" t="s">
        <v>424</v>
      </c>
      <c r="C266" s="79" t="s">
        <v>441</v>
      </c>
      <c r="D266" s="79" t="s">
        <v>430</v>
      </c>
      <c r="E266" s="22" t="s">
        <v>18</v>
      </c>
      <c r="F266" s="80"/>
      <c r="G266" s="24" t="n">
        <v>1</v>
      </c>
      <c r="H266" s="24" t="n">
        <v>252</v>
      </c>
      <c r="I266" s="88" t="n">
        <v>1</v>
      </c>
      <c r="J266" s="88" t="n">
        <v>252</v>
      </c>
      <c r="K266" s="24" t="n">
        <f aca="false">IF(I266="","—",IFERROR(I266-G266,""))</f>
        <v>0</v>
      </c>
      <c r="L266" s="24" t="n">
        <f aca="false">IF(J266="","—",IFERROR(J266-H266,""))</f>
        <v>0</v>
      </c>
      <c r="M266" s="92"/>
    </row>
    <row r="267" customFormat="false" ht="12.75" hidden="false" customHeight="true" outlineLevel="0" collapsed="false">
      <c r="B267" s="27" t="s">
        <v>424</v>
      </c>
      <c r="C267" s="76" t="s">
        <v>442</v>
      </c>
      <c r="D267" s="76" t="s">
        <v>435</v>
      </c>
      <c r="E267" s="27" t="s">
        <v>18</v>
      </c>
      <c r="F267" s="77"/>
      <c r="G267" s="29" t="n">
        <v>1</v>
      </c>
      <c r="H267" s="29" t="n">
        <v>213.5</v>
      </c>
      <c r="I267" s="88" t="n">
        <v>1</v>
      </c>
      <c r="J267" s="88" t="n">
        <v>214</v>
      </c>
      <c r="K267" s="29" t="n">
        <f aca="false">IF(I267="","—",IFERROR(I267-G267,""))</f>
        <v>0</v>
      </c>
      <c r="L267" s="29" t="n">
        <f aca="false">IF(J267="","—",IFERROR(J267-H267,""))</f>
        <v>0.5</v>
      </c>
      <c r="M267" s="93"/>
    </row>
    <row r="268" customFormat="false" ht="12.75" hidden="false" customHeight="true" outlineLevel="0" collapsed="false">
      <c r="B268" s="22" t="s">
        <v>424</v>
      </c>
      <c r="C268" s="79" t="s">
        <v>443</v>
      </c>
      <c r="D268" s="79" t="s">
        <v>91</v>
      </c>
      <c r="E268" s="22" t="s">
        <v>18</v>
      </c>
      <c r="F268" s="80"/>
      <c r="G268" s="24" t="n">
        <v>34</v>
      </c>
      <c r="H268" s="24" t="n">
        <v>170</v>
      </c>
      <c r="I268" s="88" t="n">
        <v>34</v>
      </c>
      <c r="J268" s="88" t="n">
        <v>170</v>
      </c>
      <c r="K268" s="24" t="n">
        <f aca="false">IF(I268="","—",IFERROR(I268-G268,""))</f>
        <v>0</v>
      </c>
      <c r="L268" s="24" t="n">
        <f aca="false">IF(J268="","—",IFERROR(J268-H268,""))</f>
        <v>0</v>
      </c>
      <c r="M268" s="92"/>
    </row>
    <row r="269" customFormat="false" ht="12.75" hidden="false" customHeight="true" outlineLevel="0" collapsed="false">
      <c r="B269" s="27" t="s">
        <v>424</v>
      </c>
      <c r="C269" s="27" t="s">
        <v>444</v>
      </c>
      <c r="D269" s="27" t="s">
        <v>432</v>
      </c>
      <c r="E269" s="27" t="s">
        <v>18</v>
      </c>
      <c r="F269" s="77"/>
      <c r="G269" s="29" t="n">
        <v>6</v>
      </c>
      <c r="H269" s="29" t="n">
        <v>120</v>
      </c>
      <c r="I269" s="88" t="n">
        <v>6</v>
      </c>
      <c r="J269" s="88" t="n">
        <v>120</v>
      </c>
      <c r="K269" s="29" t="n">
        <f aca="false">IF(I269="","—",IFERROR(I269-G269,""))</f>
        <v>0</v>
      </c>
      <c r="L269" s="29" t="n">
        <f aca="false">IF(J269="","—",IFERROR(J269-H269,""))</f>
        <v>0</v>
      </c>
      <c r="M269" s="93"/>
    </row>
    <row r="270" customFormat="false" ht="12.75" hidden="false" customHeight="true" outlineLevel="0" collapsed="false">
      <c r="B270" s="22" t="s">
        <v>424</v>
      </c>
      <c r="C270" s="22" t="s">
        <v>445</v>
      </c>
      <c r="D270" s="22" t="s">
        <v>446</v>
      </c>
      <c r="E270" s="22" t="s">
        <v>18</v>
      </c>
      <c r="F270" s="80"/>
      <c r="G270" s="24" t="n">
        <v>1</v>
      </c>
      <c r="H270" s="24" t="n">
        <v>80</v>
      </c>
      <c r="I270" s="88" t="n">
        <v>1</v>
      </c>
      <c r="J270" s="88" t="n">
        <v>80</v>
      </c>
      <c r="K270" s="24" t="n">
        <f aca="false">IF(I270="","—",IFERROR(I270-G270,""))</f>
        <v>0</v>
      </c>
      <c r="L270" s="24" t="n">
        <f aca="false">IF(J270="","—",IFERROR(J270-H270,""))</f>
        <v>0</v>
      </c>
      <c r="M270" s="92"/>
    </row>
    <row r="271" customFormat="false" ht="12.75" hidden="false" customHeight="true" outlineLevel="0" collapsed="false">
      <c r="B271" s="27" t="s">
        <v>424</v>
      </c>
      <c r="C271" s="76" t="s">
        <v>447</v>
      </c>
      <c r="D271" s="76" t="s">
        <v>448</v>
      </c>
      <c r="E271" s="27" t="s">
        <v>18</v>
      </c>
      <c r="F271" s="77"/>
      <c r="G271" s="29" t="n">
        <v>1</v>
      </c>
      <c r="H271" s="29" t="n">
        <v>62</v>
      </c>
      <c r="I271" s="88" t="n">
        <v>1</v>
      </c>
      <c r="J271" s="88" t="n">
        <v>62</v>
      </c>
      <c r="K271" s="29" t="n">
        <f aca="false">IF(I271="","—",IFERROR(I271-G271,""))</f>
        <v>0</v>
      </c>
      <c r="L271" s="29" t="n">
        <f aca="false">IF(J271="","—",IFERROR(J271-H271,""))</f>
        <v>0</v>
      </c>
      <c r="M271" s="93"/>
    </row>
    <row r="272" customFormat="false" ht="12.75" hidden="false" customHeight="true" outlineLevel="0" collapsed="false">
      <c r="B272" s="22" t="s">
        <v>424</v>
      </c>
      <c r="C272" s="79" t="s">
        <v>449</v>
      </c>
      <c r="D272" s="79" t="s">
        <v>450</v>
      </c>
      <c r="E272" s="22" t="s">
        <v>18</v>
      </c>
      <c r="F272" s="80"/>
      <c r="G272" s="24" t="n">
        <v>2</v>
      </c>
      <c r="H272" s="24" t="n">
        <v>62</v>
      </c>
      <c r="I272" s="88" t="n">
        <v>2</v>
      </c>
      <c r="J272" s="88" t="n">
        <v>62</v>
      </c>
      <c r="K272" s="24" t="n">
        <f aca="false">IF(I272="","—",IFERROR(I272-G272,""))</f>
        <v>0</v>
      </c>
      <c r="L272" s="24" t="n">
        <f aca="false">IF(J272="","—",IFERROR(J272-H272,""))</f>
        <v>0</v>
      </c>
      <c r="M272" s="92"/>
    </row>
    <row r="273" customFormat="false" ht="12.75" hidden="false" customHeight="true" outlineLevel="0" collapsed="false">
      <c r="B273" s="27" t="s">
        <v>424</v>
      </c>
      <c r="C273" s="76" t="s">
        <v>451</v>
      </c>
      <c r="D273" s="76" t="s">
        <v>452</v>
      </c>
      <c r="E273" s="27" t="s">
        <v>18</v>
      </c>
      <c r="F273" s="77"/>
      <c r="G273" s="29" t="n">
        <v>20</v>
      </c>
      <c r="H273" s="29" t="n">
        <v>0</v>
      </c>
      <c r="I273" s="88" t="n">
        <v>20</v>
      </c>
      <c r="J273" s="88" t="n">
        <v>0</v>
      </c>
      <c r="K273" s="29" t="n">
        <f aca="false">IF(I273="","—",IFERROR(I273-G273,""))</f>
        <v>0</v>
      </c>
      <c r="L273" s="29" t="n">
        <f aca="false">IF(J273="","—",IFERROR(J273-H273,""))</f>
        <v>0</v>
      </c>
      <c r="M273" s="93"/>
    </row>
    <row r="274" customFormat="false" ht="12.75" hidden="false" customHeight="true" outlineLevel="0" collapsed="false">
      <c r="B274" s="22" t="s">
        <v>424</v>
      </c>
      <c r="C274" s="79" t="s">
        <v>453</v>
      </c>
      <c r="D274" s="79" t="s">
        <v>452</v>
      </c>
      <c r="E274" s="22" t="s">
        <v>18</v>
      </c>
      <c r="F274" s="80"/>
      <c r="G274" s="24" t="n">
        <v>35</v>
      </c>
      <c r="H274" s="24" t="n">
        <v>0</v>
      </c>
      <c r="I274" s="88" t="n">
        <v>35</v>
      </c>
      <c r="J274" s="88" t="n">
        <v>0</v>
      </c>
      <c r="K274" s="24" t="n">
        <f aca="false">IF(I274="","—",IFERROR(I274-G274,""))</f>
        <v>0</v>
      </c>
      <c r="L274" s="24" t="n">
        <f aca="false">IF(J274="","—",IFERROR(J274-H274,""))</f>
        <v>0</v>
      </c>
      <c r="M274" s="92"/>
    </row>
    <row r="275" customFormat="false" ht="12.75" hidden="false" customHeight="true" outlineLevel="0" collapsed="false">
      <c r="B275" s="27" t="s">
        <v>455</v>
      </c>
      <c r="C275" s="27" t="s">
        <v>456</v>
      </c>
      <c r="D275" s="27" t="s">
        <v>457</v>
      </c>
      <c r="E275" s="27" t="s">
        <v>18</v>
      </c>
      <c r="F275" s="77"/>
      <c r="G275" s="29" t="n">
        <v>174</v>
      </c>
      <c r="H275" s="29" t="n">
        <v>1740</v>
      </c>
      <c r="I275" s="88" t="n">
        <v>174</v>
      </c>
      <c r="J275" s="88" t="n">
        <v>1740</v>
      </c>
      <c r="K275" s="29" t="n">
        <f aca="false">IF(I275="","—",IFERROR(I275-G275,""))</f>
        <v>0</v>
      </c>
      <c r="L275" s="29" t="n">
        <f aca="false">IF(J275="","—",IFERROR(J275-H275,""))</f>
        <v>0</v>
      </c>
      <c r="M275" s="93"/>
    </row>
    <row r="276" customFormat="false" ht="12.75" hidden="false" customHeight="true" outlineLevel="0" collapsed="false">
      <c r="B276" s="22" t="s">
        <v>455</v>
      </c>
      <c r="C276" s="22" t="s">
        <v>458</v>
      </c>
      <c r="D276" s="22" t="s">
        <v>457</v>
      </c>
      <c r="E276" s="22" t="s">
        <v>18</v>
      </c>
      <c r="F276" s="80"/>
      <c r="G276" s="24" t="n">
        <v>20</v>
      </c>
      <c r="H276" s="24" t="n">
        <v>200</v>
      </c>
      <c r="I276" s="88" t="n">
        <v>20</v>
      </c>
      <c r="J276" s="88" t="n">
        <v>200</v>
      </c>
      <c r="K276" s="24" t="n">
        <f aca="false">IF(I276="","—",IFERROR(I276-G276,""))</f>
        <v>0</v>
      </c>
      <c r="L276" s="24" t="n">
        <f aca="false">IF(J276="","—",IFERROR(J276-H276,""))</f>
        <v>0</v>
      </c>
      <c r="M276" s="92"/>
    </row>
    <row r="277" customFormat="false" ht="12.75" hidden="false" customHeight="true" outlineLevel="0" collapsed="false">
      <c r="B277" s="27" t="s">
        <v>455</v>
      </c>
      <c r="C277" s="27" t="s">
        <v>459</v>
      </c>
      <c r="D277" s="27" t="s">
        <v>457</v>
      </c>
      <c r="E277" s="27" t="s">
        <v>18</v>
      </c>
      <c r="F277" s="77"/>
      <c r="G277" s="29" t="n">
        <v>14</v>
      </c>
      <c r="H277" s="29" t="n">
        <v>140</v>
      </c>
      <c r="I277" s="88" t="n">
        <v>14</v>
      </c>
      <c r="J277" s="88" t="n">
        <v>140</v>
      </c>
      <c r="K277" s="29" t="n">
        <f aca="false">IF(I277="","—",IFERROR(I277-G277,""))</f>
        <v>0</v>
      </c>
      <c r="L277" s="29" t="n">
        <f aca="false">IF(J277="","—",IFERROR(J277-H277,""))</f>
        <v>0</v>
      </c>
      <c r="M277" s="93"/>
    </row>
    <row r="278" customFormat="false" ht="12.75" hidden="false" customHeight="true" outlineLevel="0" collapsed="false">
      <c r="B278" s="22" t="s">
        <v>455</v>
      </c>
      <c r="C278" s="22" t="s">
        <v>460</v>
      </c>
      <c r="D278" s="22" t="s">
        <v>457</v>
      </c>
      <c r="E278" s="22" t="s">
        <v>18</v>
      </c>
      <c r="F278" s="80"/>
      <c r="G278" s="24" t="n">
        <v>8</v>
      </c>
      <c r="H278" s="24" t="n">
        <v>80</v>
      </c>
      <c r="I278" s="88" t="n">
        <v>8</v>
      </c>
      <c r="J278" s="88" t="n">
        <v>80</v>
      </c>
      <c r="K278" s="24" t="n">
        <f aca="false">IF(I278="","—",IFERROR(I278-G278,""))</f>
        <v>0</v>
      </c>
      <c r="L278" s="24" t="n">
        <f aca="false">IF(J278="","—",IFERROR(J278-H278,""))</f>
        <v>0</v>
      </c>
      <c r="M278" s="92"/>
    </row>
    <row r="279" customFormat="false" ht="12.75" hidden="false" customHeight="true" outlineLevel="0" collapsed="false">
      <c r="B279" s="27" t="s">
        <v>455</v>
      </c>
      <c r="C279" s="27" t="s">
        <v>461</v>
      </c>
      <c r="D279" s="27" t="s">
        <v>457</v>
      </c>
      <c r="E279" s="27" t="s">
        <v>18</v>
      </c>
      <c r="F279" s="77"/>
      <c r="G279" s="29" t="n">
        <v>6</v>
      </c>
      <c r="H279" s="29" t="n">
        <v>60</v>
      </c>
      <c r="I279" s="88" t="n">
        <v>6</v>
      </c>
      <c r="J279" s="88" t="n">
        <v>60</v>
      </c>
      <c r="K279" s="29" t="n">
        <f aca="false">IF(I279="","—",IFERROR(I279-G279,""))</f>
        <v>0</v>
      </c>
      <c r="L279" s="29" t="n">
        <f aca="false">IF(J279="","—",IFERROR(J279-H279,""))</f>
        <v>0</v>
      </c>
      <c r="M279" s="93"/>
    </row>
    <row r="280" customFormat="false" ht="12.75" hidden="false" customHeight="true" outlineLevel="0" collapsed="false">
      <c r="B280" s="22" t="s">
        <v>264</v>
      </c>
      <c r="C280" s="79" t="s">
        <v>463</v>
      </c>
      <c r="D280" s="79" t="s">
        <v>266</v>
      </c>
      <c r="E280" s="22" t="s">
        <v>18</v>
      </c>
      <c r="F280" s="80"/>
      <c r="G280" s="24" t="n">
        <v>4</v>
      </c>
      <c r="H280" s="24" t="n">
        <v>8040</v>
      </c>
      <c r="I280" s="88" t="n">
        <v>4</v>
      </c>
      <c r="J280" s="88" t="n">
        <v>8040</v>
      </c>
      <c r="K280" s="24" t="n">
        <f aca="false">IF(I280="","—",IFERROR(I280-G280,""))</f>
        <v>0</v>
      </c>
      <c r="L280" s="24" t="n">
        <f aca="false">IF(J280="","—",IFERROR(J280-H280,""))</f>
        <v>0</v>
      </c>
      <c r="M280" s="92"/>
    </row>
    <row r="281" customFormat="false" ht="12.75" hidden="false" customHeight="true" outlineLevel="0" collapsed="false">
      <c r="B281" s="27" t="s">
        <v>264</v>
      </c>
      <c r="C281" s="76" t="s">
        <v>464</v>
      </c>
      <c r="D281" s="76" t="s">
        <v>266</v>
      </c>
      <c r="E281" s="27" t="s">
        <v>18</v>
      </c>
      <c r="F281" s="77"/>
      <c r="G281" s="29" t="n">
        <v>4</v>
      </c>
      <c r="H281" s="29" t="n">
        <v>7410</v>
      </c>
      <c r="I281" s="88" t="n">
        <v>4</v>
      </c>
      <c r="J281" s="88" t="n">
        <v>7410</v>
      </c>
      <c r="K281" s="29" t="n">
        <f aca="false">IF(I281="","—",IFERROR(I281-G281,""))</f>
        <v>0</v>
      </c>
      <c r="L281" s="29" t="n">
        <f aca="false">IF(J281="","—",IFERROR(J281-H281,""))</f>
        <v>0</v>
      </c>
      <c r="M281" s="93"/>
    </row>
    <row r="282" customFormat="false" ht="12.75" hidden="false" customHeight="true" outlineLevel="0" collapsed="false">
      <c r="B282" s="22" t="s">
        <v>264</v>
      </c>
      <c r="C282" s="79" t="s">
        <v>465</v>
      </c>
      <c r="D282" s="79" t="s">
        <v>266</v>
      </c>
      <c r="E282" s="22" t="s">
        <v>18</v>
      </c>
      <c r="F282" s="80"/>
      <c r="G282" s="24" t="n">
        <v>3</v>
      </c>
      <c r="H282" s="24" t="n">
        <v>7200</v>
      </c>
      <c r="I282" s="88" t="n">
        <v>3</v>
      </c>
      <c r="J282" s="88" t="n">
        <v>7200</v>
      </c>
      <c r="K282" s="24" t="n">
        <f aca="false">IF(I282="","—",IFERROR(I282-G282,""))</f>
        <v>0</v>
      </c>
      <c r="L282" s="24" t="n">
        <f aca="false">IF(J282="","—",IFERROR(J282-H282,""))</f>
        <v>0</v>
      </c>
      <c r="M282" s="92"/>
    </row>
    <row r="283" customFormat="false" ht="12.75" hidden="false" customHeight="true" outlineLevel="0" collapsed="false">
      <c r="B283" s="27" t="s">
        <v>264</v>
      </c>
      <c r="C283" s="76" t="s">
        <v>466</v>
      </c>
      <c r="D283" s="76" t="s">
        <v>266</v>
      </c>
      <c r="E283" s="27" t="s">
        <v>18</v>
      </c>
      <c r="F283" s="77"/>
      <c r="G283" s="29" t="n">
        <v>4</v>
      </c>
      <c r="H283" s="29" t="n">
        <v>5928</v>
      </c>
      <c r="I283" s="88" t="n">
        <v>4</v>
      </c>
      <c r="J283" s="88" t="n">
        <v>5928</v>
      </c>
      <c r="K283" s="29" t="n">
        <f aca="false">IF(I283="","—",IFERROR(I283-G283,""))</f>
        <v>0</v>
      </c>
      <c r="L283" s="29" t="n">
        <f aca="false">IF(J283="","—",IFERROR(J283-H283,""))</f>
        <v>0</v>
      </c>
      <c r="M283" s="93"/>
    </row>
    <row r="284" customFormat="false" ht="12.75" hidden="false" customHeight="true" outlineLevel="0" collapsed="false">
      <c r="B284" s="22" t="s">
        <v>264</v>
      </c>
      <c r="C284" s="79" t="s">
        <v>467</v>
      </c>
      <c r="D284" s="79" t="s">
        <v>266</v>
      </c>
      <c r="E284" s="22" t="s">
        <v>18</v>
      </c>
      <c r="F284" s="80"/>
      <c r="G284" s="24" t="n">
        <v>2</v>
      </c>
      <c r="H284" s="24" t="n">
        <v>4800</v>
      </c>
      <c r="I284" s="88" t="n">
        <v>2</v>
      </c>
      <c r="J284" s="88" t="n">
        <v>4800</v>
      </c>
      <c r="K284" s="24" t="n">
        <f aca="false">IF(I284="","—",IFERROR(I284-G284,""))</f>
        <v>0</v>
      </c>
      <c r="L284" s="24" t="n">
        <f aca="false">IF(J284="","—",IFERROR(J284-H284,""))</f>
        <v>0</v>
      </c>
      <c r="M284" s="92"/>
    </row>
    <row r="285" customFormat="false" ht="12.75" hidden="false" customHeight="true" outlineLevel="0" collapsed="false">
      <c r="B285" s="27" t="s">
        <v>264</v>
      </c>
      <c r="C285" s="76" t="s">
        <v>468</v>
      </c>
      <c r="D285" s="76" t="s">
        <v>266</v>
      </c>
      <c r="E285" s="27" t="s">
        <v>18</v>
      </c>
      <c r="F285" s="77"/>
      <c r="G285" s="29" t="n">
        <v>2</v>
      </c>
      <c r="H285" s="29" t="n">
        <v>3796</v>
      </c>
      <c r="I285" s="88" t="n">
        <v>2</v>
      </c>
      <c r="J285" s="88" t="n">
        <v>3796</v>
      </c>
      <c r="K285" s="29" t="n">
        <f aca="false">IF(I285="","—",IFERROR(I285-G285,""))</f>
        <v>0</v>
      </c>
      <c r="L285" s="29" t="n">
        <f aca="false">IF(J285="","—",IFERROR(J285-H285,""))</f>
        <v>0</v>
      </c>
      <c r="M285" s="93"/>
    </row>
    <row r="286" customFormat="false" ht="12.75" hidden="false" customHeight="true" outlineLevel="0" collapsed="false">
      <c r="B286" s="22" t="s">
        <v>264</v>
      </c>
      <c r="C286" s="79" t="s">
        <v>469</v>
      </c>
      <c r="D286" s="79" t="s">
        <v>266</v>
      </c>
      <c r="E286" s="22" t="s">
        <v>18</v>
      </c>
      <c r="F286" s="80"/>
      <c r="G286" s="24" t="n">
        <v>2</v>
      </c>
      <c r="H286" s="24" t="n">
        <v>3796</v>
      </c>
      <c r="I286" s="88" t="n">
        <v>2</v>
      </c>
      <c r="J286" s="88" t="n">
        <v>3796</v>
      </c>
      <c r="K286" s="24" t="n">
        <f aca="false">IF(I286="","—",IFERROR(I286-G286,""))</f>
        <v>0</v>
      </c>
      <c r="L286" s="24" t="n">
        <f aca="false">IF(J286="","—",IFERROR(J286-H286,""))</f>
        <v>0</v>
      </c>
      <c r="M286" s="92"/>
    </row>
    <row r="287" customFormat="false" ht="12.75" hidden="false" customHeight="true" outlineLevel="0" collapsed="false">
      <c r="B287" s="27" t="s">
        <v>264</v>
      </c>
      <c r="C287" s="76" t="s">
        <v>470</v>
      </c>
      <c r="D287" s="76" t="s">
        <v>266</v>
      </c>
      <c r="E287" s="27" t="s">
        <v>18</v>
      </c>
      <c r="F287" s="77"/>
      <c r="G287" s="29" t="n">
        <v>2</v>
      </c>
      <c r="H287" s="29" t="n">
        <v>3666</v>
      </c>
      <c r="I287" s="88" t="n">
        <v>2</v>
      </c>
      <c r="J287" s="88" t="n">
        <v>3666</v>
      </c>
      <c r="K287" s="29" t="n">
        <f aca="false">IF(I287="","—",IFERROR(I287-G287,""))</f>
        <v>0</v>
      </c>
      <c r="L287" s="29" t="n">
        <f aca="false">IF(J287="","—",IFERROR(J287-H287,""))</f>
        <v>0</v>
      </c>
      <c r="M287" s="93"/>
    </row>
    <row r="288" customFormat="false" ht="12.75" hidden="false" customHeight="true" outlineLevel="0" collapsed="false">
      <c r="B288" s="22" t="s">
        <v>264</v>
      </c>
      <c r="C288" s="79" t="s">
        <v>471</v>
      </c>
      <c r="D288" s="79" t="s">
        <v>266</v>
      </c>
      <c r="E288" s="22" t="s">
        <v>18</v>
      </c>
      <c r="F288" s="80"/>
      <c r="G288" s="24" t="n">
        <v>2</v>
      </c>
      <c r="H288" s="24" t="n">
        <v>2964</v>
      </c>
      <c r="I288" s="88" t="n">
        <v>2</v>
      </c>
      <c r="J288" s="88" t="n">
        <v>2964</v>
      </c>
      <c r="K288" s="24" t="n">
        <f aca="false">IF(I288="","—",IFERROR(I288-G288,""))</f>
        <v>0</v>
      </c>
      <c r="L288" s="24" t="n">
        <f aca="false">IF(J288="","—",IFERROR(J288-H288,""))</f>
        <v>0</v>
      </c>
      <c r="M288" s="92"/>
    </row>
    <row r="289" customFormat="false" ht="12.75" hidden="false" customHeight="true" outlineLevel="0" collapsed="false">
      <c r="B289" s="27" t="s">
        <v>264</v>
      </c>
      <c r="C289" s="76" t="s">
        <v>472</v>
      </c>
      <c r="D289" s="76" t="s">
        <v>266</v>
      </c>
      <c r="E289" s="27" t="s">
        <v>18</v>
      </c>
      <c r="F289" s="77"/>
      <c r="G289" s="29" t="n">
        <v>1</v>
      </c>
      <c r="H289" s="29" t="n">
        <v>2400</v>
      </c>
      <c r="I289" s="88" t="n">
        <v>1</v>
      </c>
      <c r="J289" s="88" t="n">
        <v>2400</v>
      </c>
      <c r="K289" s="29" t="n">
        <f aca="false">IF(I289="","—",IFERROR(I289-G289,""))</f>
        <v>0</v>
      </c>
      <c r="L289" s="29" t="n">
        <f aca="false">IF(J289="","—",IFERROR(J289-H289,""))</f>
        <v>0</v>
      </c>
      <c r="M289" s="93"/>
    </row>
    <row r="290" customFormat="false" ht="12.75" hidden="false" customHeight="true" outlineLevel="0" collapsed="false">
      <c r="B290" s="22" t="s">
        <v>264</v>
      </c>
      <c r="C290" s="79" t="s">
        <v>473</v>
      </c>
      <c r="D290" s="79" t="s">
        <v>266</v>
      </c>
      <c r="E290" s="22" t="s">
        <v>18</v>
      </c>
      <c r="F290" s="80"/>
      <c r="G290" s="24" t="n">
        <v>1</v>
      </c>
      <c r="H290" s="24" t="n">
        <v>2400</v>
      </c>
      <c r="I290" s="88" t="n">
        <v>1</v>
      </c>
      <c r="J290" s="88" t="n">
        <v>2400</v>
      </c>
      <c r="K290" s="24" t="n">
        <f aca="false">IF(I290="","—",IFERROR(I290-G290,""))</f>
        <v>0</v>
      </c>
      <c r="L290" s="24" t="n">
        <f aca="false">IF(J290="","—",IFERROR(J290-H290,""))</f>
        <v>0</v>
      </c>
      <c r="M290" s="92"/>
    </row>
    <row r="291" customFormat="false" ht="12.75" hidden="false" customHeight="true" outlineLevel="0" collapsed="false">
      <c r="B291" s="27" t="s">
        <v>264</v>
      </c>
      <c r="C291" s="76" t="s">
        <v>474</v>
      </c>
      <c r="D291" s="76" t="s">
        <v>266</v>
      </c>
      <c r="E291" s="27" t="s">
        <v>18</v>
      </c>
      <c r="F291" s="77"/>
      <c r="G291" s="29" t="n">
        <v>1</v>
      </c>
      <c r="H291" s="29" t="n">
        <v>1957</v>
      </c>
      <c r="I291" s="88" t="n">
        <v>1</v>
      </c>
      <c r="J291" s="88" t="n">
        <v>1957</v>
      </c>
      <c r="K291" s="29" t="n">
        <f aca="false">IF(I291="","—",IFERROR(I291-G291,""))</f>
        <v>0</v>
      </c>
      <c r="L291" s="29" t="n">
        <f aca="false">IF(J291="","—",IFERROR(J291-H291,""))</f>
        <v>0</v>
      </c>
      <c r="M291" s="93"/>
    </row>
    <row r="292" customFormat="false" ht="12.75" hidden="false" customHeight="true" outlineLevel="0" collapsed="false">
      <c r="B292" s="22" t="s">
        <v>264</v>
      </c>
      <c r="C292" s="79" t="s">
        <v>475</v>
      </c>
      <c r="D292" s="79" t="s">
        <v>266</v>
      </c>
      <c r="E292" s="22" t="s">
        <v>18</v>
      </c>
      <c r="F292" s="80"/>
      <c r="G292" s="24" t="n">
        <v>2</v>
      </c>
      <c r="H292" s="24" t="n">
        <v>1645</v>
      </c>
      <c r="I292" s="88" t="n">
        <v>2</v>
      </c>
      <c r="J292" s="88" t="n">
        <v>1645</v>
      </c>
      <c r="K292" s="24" t="n">
        <f aca="false">IF(I292="","—",IFERROR(I292-G292,""))</f>
        <v>0</v>
      </c>
      <c r="L292" s="24" t="n">
        <f aca="false">IF(J292="","—",IFERROR(J292-H292,""))</f>
        <v>0</v>
      </c>
      <c r="M292" s="92"/>
    </row>
    <row r="293" customFormat="false" ht="12.75" hidden="false" customHeight="true" outlineLevel="0" collapsed="false">
      <c r="B293" s="27" t="s">
        <v>264</v>
      </c>
      <c r="C293" s="76" t="s">
        <v>476</v>
      </c>
      <c r="D293" s="76" t="s">
        <v>266</v>
      </c>
      <c r="E293" s="27" t="s">
        <v>18</v>
      </c>
      <c r="F293" s="77"/>
      <c r="G293" s="29" t="n">
        <v>1</v>
      </c>
      <c r="H293" s="29" t="n">
        <v>1619.38</v>
      </c>
      <c r="I293" s="88" t="n">
        <v>1</v>
      </c>
      <c r="J293" s="88" t="n">
        <v>1619</v>
      </c>
      <c r="K293" s="29" t="n">
        <f aca="false">IF(I293="","—",IFERROR(I293-G293,""))</f>
        <v>0</v>
      </c>
      <c r="L293" s="29" t="n">
        <f aca="false">IF(J293="","—",IFERROR(J293-H293,""))</f>
        <v>-0.380000000000109</v>
      </c>
      <c r="M293" s="93"/>
    </row>
    <row r="294" customFormat="false" ht="12.75" hidden="false" customHeight="true" outlineLevel="0" collapsed="false">
      <c r="B294" s="22" t="s">
        <v>264</v>
      </c>
      <c r="C294" s="79" t="s">
        <v>477</v>
      </c>
      <c r="D294" s="79" t="s">
        <v>266</v>
      </c>
      <c r="E294" s="22" t="s">
        <v>18</v>
      </c>
      <c r="F294" s="80"/>
      <c r="G294" s="24" t="n">
        <v>1</v>
      </c>
      <c r="H294" s="24" t="n">
        <v>1528</v>
      </c>
      <c r="I294" s="88" t="n">
        <v>1</v>
      </c>
      <c r="J294" s="88" t="n">
        <v>1528</v>
      </c>
      <c r="K294" s="24" t="n">
        <f aca="false">IF(I294="","—",IFERROR(I294-G294,""))</f>
        <v>0</v>
      </c>
      <c r="L294" s="24" t="n">
        <f aca="false">IF(J294="","—",IFERROR(J294-H294,""))</f>
        <v>0</v>
      </c>
      <c r="M294" s="92"/>
    </row>
    <row r="295" customFormat="false" ht="12.75" hidden="false" customHeight="true" outlineLevel="0" collapsed="false">
      <c r="B295" s="27" t="s">
        <v>264</v>
      </c>
      <c r="C295" s="76" t="s">
        <v>478</v>
      </c>
      <c r="D295" s="76" t="s">
        <v>266</v>
      </c>
      <c r="E295" s="27" t="s">
        <v>18</v>
      </c>
      <c r="F295" s="77"/>
      <c r="G295" s="29" t="n">
        <v>1</v>
      </c>
      <c r="H295" s="29" t="n">
        <v>1482</v>
      </c>
      <c r="I295" s="88" t="n">
        <v>1</v>
      </c>
      <c r="J295" s="88" t="n">
        <v>1482</v>
      </c>
      <c r="K295" s="29" t="n">
        <f aca="false">IF(I295="","—",IFERROR(I295-G295,""))</f>
        <v>0</v>
      </c>
      <c r="L295" s="29" t="n">
        <f aca="false">IF(J295="","—",IFERROR(J295-H295,""))</f>
        <v>0</v>
      </c>
      <c r="M295" s="93"/>
    </row>
    <row r="296" customFormat="false" ht="12.75" hidden="false" customHeight="true" outlineLevel="0" collapsed="false">
      <c r="B296" s="22" t="s">
        <v>264</v>
      </c>
      <c r="C296" s="79" t="s">
        <v>479</v>
      </c>
      <c r="D296" s="79" t="s">
        <v>266</v>
      </c>
      <c r="E296" s="22" t="s">
        <v>18</v>
      </c>
      <c r="F296" s="80"/>
      <c r="G296" s="24" t="n">
        <v>1</v>
      </c>
      <c r="H296" s="24" t="n">
        <v>1090</v>
      </c>
      <c r="I296" s="88" t="n">
        <v>1</v>
      </c>
      <c r="J296" s="88" t="n">
        <v>1090</v>
      </c>
      <c r="K296" s="24" t="n">
        <f aca="false">IF(I296="","—",IFERROR(I296-G296,""))</f>
        <v>0</v>
      </c>
      <c r="L296" s="24" t="n">
        <f aca="false">IF(J296="","—",IFERROR(J296-H296,""))</f>
        <v>0</v>
      </c>
      <c r="M296" s="92"/>
    </row>
    <row r="297" customFormat="false" ht="12.75" hidden="false" customHeight="true" outlineLevel="0" collapsed="false">
      <c r="B297" s="27" t="s">
        <v>264</v>
      </c>
      <c r="C297" s="76" t="s">
        <v>480</v>
      </c>
      <c r="D297" s="76" t="s">
        <v>266</v>
      </c>
      <c r="E297" s="27" t="s">
        <v>18</v>
      </c>
      <c r="F297" s="77"/>
      <c r="G297" s="29" t="n">
        <v>1</v>
      </c>
      <c r="H297" s="29" t="n">
        <v>1090</v>
      </c>
      <c r="I297" s="88" t="n">
        <v>1</v>
      </c>
      <c r="J297" s="88" t="n">
        <v>1090</v>
      </c>
      <c r="K297" s="29" t="n">
        <f aca="false">IF(I297="","—",IFERROR(I297-G297,""))</f>
        <v>0</v>
      </c>
      <c r="L297" s="29" t="n">
        <f aca="false">IF(J297="","—",IFERROR(J297-H297,""))</f>
        <v>0</v>
      </c>
      <c r="M297" s="93"/>
    </row>
    <row r="298" customFormat="false" ht="12.75" hidden="false" customHeight="true" outlineLevel="0" collapsed="false">
      <c r="B298" s="22" t="s">
        <v>264</v>
      </c>
      <c r="C298" s="79" t="s">
        <v>481</v>
      </c>
      <c r="D298" s="79" t="s">
        <v>266</v>
      </c>
      <c r="E298" s="22" t="s">
        <v>18</v>
      </c>
      <c r="F298" s="80"/>
      <c r="G298" s="24" t="n">
        <v>1</v>
      </c>
      <c r="H298" s="24" t="n">
        <v>822.5</v>
      </c>
      <c r="I298" s="88" t="n">
        <v>1</v>
      </c>
      <c r="J298" s="88" t="n">
        <v>822</v>
      </c>
      <c r="K298" s="24" t="n">
        <f aca="false">IF(I298="","—",IFERROR(I298-G298,""))</f>
        <v>0</v>
      </c>
      <c r="L298" s="24" t="n">
        <f aca="false">IF(J298="","—",IFERROR(J298-H298,""))</f>
        <v>-0.5</v>
      </c>
      <c r="M298" s="92"/>
    </row>
    <row r="299" customFormat="false" ht="12.75" hidden="false" customHeight="true" outlineLevel="0" collapsed="false">
      <c r="B299" s="27" t="s">
        <v>264</v>
      </c>
      <c r="C299" s="76" t="s">
        <v>482</v>
      </c>
      <c r="D299" s="76" t="s">
        <v>266</v>
      </c>
      <c r="E299" s="27" t="s">
        <v>18</v>
      </c>
      <c r="F299" s="77"/>
      <c r="G299" s="29" t="n">
        <v>1</v>
      </c>
      <c r="H299" s="29" t="n">
        <v>822.5</v>
      </c>
      <c r="I299" s="88" t="n">
        <v>1</v>
      </c>
      <c r="J299" s="88" t="n">
        <v>822</v>
      </c>
      <c r="K299" s="29" t="n">
        <f aca="false">IF(I299="","—",IFERROR(I299-G299,""))</f>
        <v>0</v>
      </c>
      <c r="L299" s="29" t="n">
        <f aca="false">IF(J299="","—",IFERROR(J299-H299,""))</f>
        <v>-0.5</v>
      </c>
      <c r="M299" s="93"/>
    </row>
    <row r="300" customFormat="false" ht="12.75" hidden="false" customHeight="true" outlineLevel="0" collapsed="false">
      <c r="B300" s="22" t="s">
        <v>264</v>
      </c>
      <c r="C300" s="79" t="s">
        <v>483</v>
      </c>
      <c r="D300" s="79" t="s">
        <v>266</v>
      </c>
      <c r="E300" s="22" t="s">
        <v>18</v>
      </c>
      <c r="F300" s="80"/>
      <c r="G300" s="24" t="n">
        <v>1</v>
      </c>
      <c r="H300" s="24" t="n">
        <v>822.5</v>
      </c>
      <c r="I300" s="88" t="n">
        <v>1</v>
      </c>
      <c r="J300" s="88" t="n">
        <v>822</v>
      </c>
      <c r="K300" s="24" t="n">
        <f aca="false">IF(I300="","—",IFERROR(I300-G300,""))</f>
        <v>0</v>
      </c>
      <c r="L300" s="24" t="n">
        <f aca="false">IF(J300="","—",IFERROR(J300-H300,""))</f>
        <v>-0.5</v>
      </c>
      <c r="M300" s="92"/>
    </row>
    <row r="301" customFormat="false" ht="12.75" hidden="false" customHeight="true" outlineLevel="0" collapsed="false">
      <c r="B301" s="27" t="s">
        <v>264</v>
      </c>
      <c r="C301" s="76" t="s">
        <v>484</v>
      </c>
      <c r="D301" s="76" t="s">
        <v>266</v>
      </c>
      <c r="E301" s="27" t="s">
        <v>18</v>
      </c>
      <c r="F301" s="77"/>
      <c r="G301" s="29" t="n">
        <v>1</v>
      </c>
      <c r="H301" s="29" t="n">
        <v>822.5</v>
      </c>
      <c r="I301" s="88" t="n">
        <v>1</v>
      </c>
      <c r="J301" s="88" t="n">
        <v>822</v>
      </c>
      <c r="K301" s="29" t="n">
        <f aca="false">IF(I301="","—",IFERROR(I301-G301,""))</f>
        <v>0</v>
      </c>
      <c r="L301" s="29" t="n">
        <f aca="false">IF(J301="","—",IFERROR(J301-H301,""))</f>
        <v>-0.5</v>
      </c>
      <c r="M301" s="93"/>
    </row>
    <row r="302" customFormat="false" ht="12.75" hidden="false" customHeight="true" outlineLevel="0" collapsed="false">
      <c r="B302" s="22" t="s">
        <v>264</v>
      </c>
      <c r="C302" s="79" t="s">
        <v>485</v>
      </c>
      <c r="D302" s="79" t="s">
        <v>486</v>
      </c>
      <c r="E302" s="22" t="s">
        <v>18</v>
      </c>
      <c r="F302" s="80"/>
      <c r="G302" s="24" t="n">
        <v>1</v>
      </c>
      <c r="H302" s="24" t="n">
        <v>800</v>
      </c>
      <c r="I302" s="88" t="n">
        <v>1</v>
      </c>
      <c r="J302" s="88" t="n">
        <v>800</v>
      </c>
      <c r="K302" s="24" t="n">
        <f aca="false">IF(I302="","—",IFERROR(I302-G302,""))</f>
        <v>0</v>
      </c>
      <c r="L302" s="24" t="n">
        <f aca="false">IF(J302="","—",IFERROR(J302-H302,""))</f>
        <v>0</v>
      </c>
      <c r="M302" s="92"/>
    </row>
    <row r="303" customFormat="false" ht="12.75" hidden="false" customHeight="true" outlineLevel="0" collapsed="false">
      <c r="B303" s="27" t="s">
        <v>264</v>
      </c>
      <c r="C303" s="76" t="s">
        <v>487</v>
      </c>
      <c r="D303" s="76" t="s">
        <v>266</v>
      </c>
      <c r="E303" s="27" t="s">
        <v>18</v>
      </c>
      <c r="F303" s="77"/>
      <c r="G303" s="29" t="n">
        <v>0</v>
      </c>
      <c r="H303" s="29" t="n">
        <v>0</v>
      </c>
      <c r="I303" s="88" t="n">
        <v>0</v>
      </c>
      <c r="J303" s="88" t="n">
        <v>0</v>
      </c>
      <c r="K303" s="29" t="n">
        <f aca="false">IF(I303="","—",IFERROR(I303-G303,""))</f>
        <v>0</v>
      </c>
      <c r="L303" s="29" t="n">
        <f aca="false">IF(J303="","—",IFERROR(J303-H303,""))</f>
        <v>0</v>
      </c>
      <c r="M303" s="93"/>
    </row>
    <row r="304" customFormat="false" ht="12.75" hidden="false" customHeight="true" outlineLevel="0" collapsed="false">
      <c r="B304" s="22" t="s">
        <v>264</v>
      </c>
      <c r="C304" s="79" t="s">
        <v>488</v>
      </c>
      <c r="D304" s="79" t="s">
        <v>266</v>
      </c>
      <c r="E304" s="22" t="s">
        <v>18</v>
      </c>
      <c r="F304" s="80"/>
      <c r="G304" s="24" t="n">
        <v>0</v>
      </c>
      <c r="H304" s="24" t="n">
        <v>0</v>
      </c>
      <c r="I304" s="88" t="n">
        <v>0</v>
      </c>
      <c r="J304" s="88" t="n">
        <v>0</v>
      </c>
      <c r="K304" s="24" t="n">
        <f aca="false">IF(I304="","—",IFERROR(I304-G304,""))</f>
        <v>0</v>
      </c>
      <c r="L304" s="24" t="n">
        <f aca="false">IF(J304="","—",IFERROR(J304-H304,""))</f>
        <v>0</v>
      </c>
      <c r="M304" s="92"/>
    </row>
    <row r="305" customFormat="false" ht="12.75" hidden="false" customHeight="true" outlineLevel="0" collapsed="false">
      <c r="B305" s="27" t="s">
        <v>264</v>
      </c>
      <c r="C305" s="76" t="s">
        <v>489</v>
      </c>
      <c r="D305" s="76" t="s">
        <v>266</v>
      </c>
      <c r="E305" s="27" t="s">
        <v>18</v>
      </c>
      <c r="F305" s="77"/>
      <c r="G305" s="29" t="n">
        <v>0</v>
      </c>
      <c r="H305" s="29" t="n">
        <v>0</v>
      </c>
      <c r="I305" s="88" t="n">
        <v>0</v>
      </c>
      <c r="J305" s="88" t="n">
        <v>0</v>
      </c>
      <c r="K305" s="29" t="n">
        <f aca="false">IF(I305="","—",IFERROR(I305-G305,""))</f>
        <v>0</v>
      </c>
      <c r="L305" s="29" t="n">
        <f aca="false">IF(J305="","—",IFERROR(J305-H305,""))</f>
        <v>0</v>
      </c>
      <c r="M305" s="93"/>
    </row>
    <row r="306" customFormat="false" ht="12.75" hidden="false" customHeight="true" outlineLevel="0" collapsed="false">
      <c r="B306" s="22" t="s">
        <v>264</v>
      </c>
      <c r="C306" s="79" t="s">
        <v>490</v>
      </c>
      <c r="D306" s="79" t="s">
        <v>266</v>
      </c>
      <c r="E306" s="22" t="s">
        <v>18</v>
      </c>
      <c r="F306" s="80"/>
      <c r="G306" s="24" t="n">
        <v>0</v>
      </c>
      <c r="H306" s="24" t="n">
        <v>0</v>
      </c>
      <c r="I306" s="88" t="n">
        <v>0</v>
      </c>
      <c r="J306" s="88" t="n">
        <v>0</v>
      </c>
      <c r="K306" s="24" t="n">
        <f aca="false">IF(I306="","—",IFERROR(I306-G306,""))</f>
        <v>0</v>
      </c>
      <c r="L306" s="24" t="n">
        <f aca="false">IF(J306="","—",IFERROR(J306-H306,""))</f>
        <v>0</v>
      </c>
      <c r="M306" s="92"/>
    </row>
    <row r="307" customFormat="false" ht="12.75" hidden="false" customHeight="true" outlineLevel="0" collapsed="false">
      <c r="B307" s="27" t="s">
        <v>491</v>
      </c>
      <c r="C307" s="76" t="s">
        <v>492</v>
      </c>
      <c r="D307" s="76" t="s">
        <v>493</v>
      </c>
      <c r="E307" s="27" t="s">
        <v>18</v>
      </c>
      <c r="F307" s="77"/>
      <c r="G307" s="29" t="n">
        <v>13</v>
      </c>
      <c r="H307" s="29" t="n">
        <v>1950</v>
      </c>
      <c r="I307" s="88" t="n">
        <v>13</v>
      </c>
      <c r="J307" s="88" t="n">
        <v>1950</v>
      </c>
      <c r="K307" s="29" t="n">
        <f aca="false">IF(I307="","—",IFERROR(I307-G307,""))</f>
        <v>0</v>
      </c>
      <c r="L307" s="29" t="n">
        <f aca="false">IF(J307="","—",IFERROR(J307-H307,""))</f>
        <v>0</v>
      </c>
      <c r="M307" s="93"/>
    </row>
    <row r="308" customFormat="false" ht="12.75" hidden="false" customHeight="true" outlineLevel="0" collapsed="false">
      <c r="B308" s="22" t="s">
        <v>491</v>
      </c>
      <c r="C308" s="79" t="s">
        <v>494</v>
      </c>
      <c r="D308" s="79" t="s">
        <v>288</v>
      </c>
      <c r="E308" s="22" t="s">
        <v>18</v>
      </c>
      <c r="F308" s="80"/>
      <c r="G308" s="24" t="n">
        <v>59</v>
      </c>
      <c r="H308" s="24" t="n">
        <v>1770</v>
      </c>
      <c r="I308" s="88" t="n">
        <v>59</v>
      </c>
      <c r="J308" s="88" t="n">
        <v>1770</v>
      </c>
      <c r="K308" s="24" t="n">
        <f aca="false">IF(I308="","—",IFERROR(I308-G308,""))</f>
        <v>0</v>
      </c>
      <c r="L308" s="24" t="n">
        <f aca="false">IF(J308="","—",IFERROR(J308-H308,""))</f>
        <v>0</v>
      </c>
      <c r="M308" s="92"/>
    </row>
    <row r="309" customFormat="false" ht="12.75" hidden="false" customHeight="true" outlineLevel="0" collapsed="false">
      <c r="B309" s="27" t="s">
        <v>491</v>
      </c>
      <c r="C309" s="76" t="s">
        <v>495</v>
      </c>
      <c r="D309" s="76" t="s">
        <v>496</v>
      </c>
      <c r="E309" s="27" t="s">
        <v>18</v>
      </c>
      <c r="F309" s="77"/>
      <c r="G309" s="29" t="n">
        <v>10</v>
      </c>
      <c r="H309" s="29" t="n">
        <v>1500</v>
      </c>
      <c r="I309" s="88" t="n">
        <v>10</v>
      </c>
      <c r="J309" s="88" t="n">
        <v>1500</v>
      </c>
      <c r="K309" s="29" t="n">
        <f aca="false">IF(I309="","—",IFERROR(I309-G309,""))</f>
        <v>0</v>
      </c>
      <c r="L309" s="29" t="n">
        <f aca="false">IF(J309="","—",IFERROR(J309-H309,""))</f>
        <v>0</v>
      </c>
      <c r="M309" s="93"/>
    </row>
    <row r="310" customFormat="false" ht="12.75" hidden="false" customHeight="true" outlineLevel="0" collapsed="false">
      <c r="B310" s="22" t="s">
        <v>491</v>
      </c>
      <c r="C310" s="79" t="s">
        <v>497</v>
      </c>
      <c r="D310" s="79" t="s">
        <v>493</v>
      </c>
      <c r="E310" s="22" t="s">
        <v>18</v>
      </c>
      <c r="F310" s="80"/>
      <c r="G310" s="24" t="n">
        <v>6</v>
      </c>
      <c r="H310" s="24" t="n">
        <v>720</v>
      </c>
      <c r="I310" s="88" t="n">
        <v>6</v>
      </c>
      <c r="J310" s="88" t="n">
        <v>720</v>
      </c>
      <c r="K310" s="24" t="n">
        <f aca="false">IF(I310="","—",IFERROR(I310-G310,""))</f>
        <v>0</v>
      </c>
      <c r="L310" s="24" t="n">
        <f aca="false">IF(J310="","—",IFERROR(J310-H310,""))</f>
        <v>0</v>
      </c>
      <c r="M310" s="92"/>
    </row>
    <row r="311" customFormat="false" ht="12.75" hidden="false" customHeight="true" outlineLevel="0" collapsed="false">
      <c r="B311" s="27" t="s">
        <v>491</v>
      </c>
      <c r="C311" s="76" t="s">
        <v>498</v>
      </c>
      <c r="D311" s="76" t="s">
        <v>493</v>
      </c>
      <c r="E311" s="27" t="s">
        <v>18</v>
      </c>
      <c r="F311" s="77"/>
      <c r="G311" s="29" t="n">
        <v>4</v>
      </c>
      <c r="H311" s="29" t="n">
        <v>620</v>
      </c>
      <c r="I311" s="88" t="n">
        <v>4</v>
      </c>
      <c r="J311" s="88" t="n">
        <v>620</v>
      </c>
      <c r="K311" s="29" t="n">
        <f aca="false">IF(I311="","—",IFERROR(I311-G311,""))</f>
        <v>0</v>
      </c>
      <c r="L311" s="29" t="n">
        <f aca="false">IF(J311="","—",IFERROR(J311-H311,""))</f>
        <v>0</v>
      </c>
      <c r="M311" s="93"/>
    </row>
    <row r="312" customFormat="false" ht="12.75" hidden="false" customHeight="true" outlineLevel="0" collapsed="false">
      <c r="B312" s="22" t="s">
        <v>491</v>
      </c>
      <c r="C312" s="79" t="s">
        <v>499</v>
      </c>
      <c r="D312" s="79" t="s">
        <v>493</v>
      </c>
      <c r="E312" s="22" t="s">
        <v>18</v>
      </c>
      <c r="F312" s="80"/>
      <c r="G312" s="24" t="n">
        <v>4</v>
      </c>
      <c r="H312" s="24" t="n">
        <v>580</v>
      </c>
      <c r="I312" s="88" t="n">
        <v>4</v>
      </c>
      <c r="J312" s="88" t="n">
        <v>580</v>
      </c>
      <c r="K312" s="24" t="n">
        <f aca="false">IF(I312="","—",IFERROR(I312-G312,""))</f>
        <v>0</v>
      </c>
      <c r="L312" s="24" t="n">
        <f aca="false">IF(J312="","—",IFERROR(J312-H312,""))</f>
        <v>0</v>
      </c>
      <c r="M312" s="92"/>
    </row>
    <row r="313" customFormat="false" ht="12.75" hidden="false" customHeight="true" outlineLevel="0" collapsed="false">
      <c r="B313" s="27" t="s">
        <v>491</v>
      </c>
      <c r="C313" s="76" t="s">
        <v>500</v>
      </c>
      <c r="D313" s="76" t="s">
        <v>501</v>
      </c>
      <c r="E313" s="27" t="s">
        <v>18</v>
      </c>
      <c r="F313" s="77"/>
      <c r="G313" s="29" t="n">
        <v>17</v>
      </c>
      <c r="H313" s="29" t="n">
        <v>510</v>
      </c>
      <c r="I313" s="88" t="n">
        <v>17</v>
      </c>
      <c r="J313" s="88" t="n">
        <v>510</v>
      </c>
      <c r="K313" s="29" t="n">
        <f aca="false">IF(I313="","—",IFERROR(I313-G313,""))</f>
        <v>0</v>
      </c>
      <c r="L313" s="29" t="n">
        <f aca="false">IF(J313="","—",IFERROR(J313-H313,""))</f>
        <v>0</v>
      </c>
      <c r="M313" s="93"/>
    </row>
    <row r="314" customFormat="false" ht="12.75" hidden="false" customHeight="true" outlineLevel="0" collapsed="false">
      <c r="B314" s="22" t="s">
        <v>491</v>
      </c>
      <c r="C314" s="79" t="s">
        <v>502</v>
      </c>
      <c r="D314" s="79" t="s">
        <v>501</v>
      </c>
      <c r="E314" s="22" t="s">
        <v>18</v>
      </c>
      <c r="F314" s="80"/>
      <c r="G314" s="24" t="n">
        <v>9</v>
      </c>
      <c r="H314" s="24" t="n">
        <v>270</v>
      </c>
      <c r="I314" s="88" t="n">
        <v>9</v>
      </c>
      <c r="J314" s="88" t="n">
        <v>270</v>
      </c>
      <c r="K314" s="24" t="n">
        <f aca="false">IF(I314="","—",IFERROR(I314-G314,""))</f>
        <v>0</v>
      </c>
      <c r="L314" s="24" t="n">
        <f aca="false">IF(J314="","—",IFERROR(J314-H314,""))</f>
        <v>0</v>
      </c>
      <c r="M314" s="92"/>
    </row>
    <row r="315" customFormat="false" ht="12.75" hidden="false" customHeight="true" outlineLevel="0" collapsed="false">
      <c r="B315" s="27" t="s">
        <v>491</v>
      </c>
      <c r="C315" s="76" t="s">
        <v>503</v>
      </c>
      <c r="D315" s="76" t="s">
        <v>501</v>
      </c>
      <c r="E315" s="27" t="s">
        <v>18</v>
      </c>
      <c r="F315" s="77"/>
      <c r="G315" s="29" t="n">
        <v>8</v>
      </c>
      <c r="H315" s="29" t="n">
        <v>240</v>
      </c>
      <c r="I315" s="88" t="n">
        <v>8</v>
      </c>
      <c r="J315" s="88" t="n">
        <v>240</v>
      </c>
      <c r="K315" s="29" t="n">
        <f aca="false">IF(I315="","—",IFERROR(I315-G315,""))</f>
        <v>0</v>
      </c>
      <c r="L315" s="29" t="n">
        <f aca="false">IF(J315="","—",IFERROR(J315-H315,""))</f>
        <v>0</v>
      </c>
      <c r="M315" s="93"/>
    </row>
    <row r="316" customFormat="false" ht="12.75" hidden="false" customHeight="true" outlineLevel="0" collapsed="false">
      <c r="B316" s="22" t="s">
        <v>491</v>
      </c>
      <c r="C316" s="79" t="s">
        <v>504</v>
      </c>
      <c r="D316" s="79" t="s">
        <v>493</v>
      </c>
      <c r="E316" s="22" t="s">
        <v>18</v>
      </c>
      <c r="F316" s="80"/>
      <c r="G316" s="24" t="n">
        <v>1</v>
      </c>
      <c r="H316" s="24" t="n">
        <v>150</v>
      </c>
      <c r="I316" s="88" t="n">
        <v>1</v>
      </c>
      <c r="J316" s="88" t="n">
        <v>150</v>
      </c>
      <c r="K316" s="24" t="n">
        <f aca="false">IF(I316="","—",IFERROR(I316-G316,""))</f>
        <v>0</v>
      </c>
      <c r="L316" s="24" t="n">
        <f aca="false">IF(J316="","—",IFERROR(J316-H316,""))</f>
        <v>0</v>
      </c>
      <c r="M316" s="92"/>
    </row>
    <row r="317" customFormat="false" ht="12.75" hidden="false" customHeight="true" outlineLevel="0" collapsed="false">
      <c r="B317" s="27" t="s">
        <v>491</v>
      </c>
      <c r="C317" s="76" t="s">
        <v>505</v>
      </c>
      <c r="D317" s="76" t="s">
        <v>493</v>
      </c>
      <c r="E317" s="27" t="s">
        <v>18</v>
      </c>
      <c r="F317" s="77"/>
      <c r="G317" s="29" t="n">
        <v>1</v>
      </c>
      <c r="H317" s="29" t="n">
        <v>150</v>
      </c>
      <c r="I317" s="88" t="n">
        <v>1</v>
      </c>
      <c r="J317" s="88" t="n">
        <v>150</v>
      </c>
      <c r="K317" s="29" t="n">
        <f aca="false">IF(I317="","—",IFERROR(I317-G317,""))</f>
        <v>0</v>
      </c>
      <c r="L317" s="29" t="n">
        <f aca="false">IF(J317="","—",IFERROR(J317-H317,""))</f>
        <v>0</v>
      </c>
      <c r="M317" s="93"/>
    </row>
    <row r="318" customFormat="false" ht="12.75" hidden="false" customHeight="true" outlineLevel="0" collapsed="false">
      <c r="B318" s="22" t="s">
        <v>491</v>
      </c>
      <c r="C318" s="79" t="s">
        <v>506</v>
      </c>
      <c r="D318" s="79" t="s">
        <v>493</v>
      </c>
      <c r="E318" s="22" t="s">
        <v>18</v>
      </c>
      <c r="F318" s="80"/>
      <c r="G318" s="24" t="n">
        <v>1</v>
      </c>
      <c r="H318" s="24" t="n">
        <v>145</v>
      </c>
      <c r="I318" s="88" t="n">
        <v>1</v>
      </c>
      <c r="J318" s="88" t="n">
        <v>145</v>
      </c>
      <c r="K318" s="24" t="n">
        <f aca="false">IF(I318="","—",IFERROR(I318-G318,""))</f>
        <v>0</v>
      </c>
      <c r="L318" s="24" t="n">
        <f aca="false">IF(J318="","—",IFERROR(J318-H318,""))</f>
        <v>0</v>
      </c>
      <c r="M318" s="92"/>
    </row>
    <row r="319" customFormat="false" ht="12.75" hidden="false" customHeight="true" outlineLevel="0" collapsed="false">
      <c r="B319" s="27" t="s">
        <v>491</v>
      </c>
      <c r="C319" s="76" t="s">
        <v>507</v>
      </c>
      <c r="D319" s="76" t="s">
        <v>501</v>
      </c>
      <c r="E319" s="27" t="s">
        <v>18</v>
      </c>
      <c r="F319" s="77"/>
      <c r="G319" s="29" t="n">
        <v>2</v>
      </c>
      <c r="H319" s="29" t="n">
        <v>60</v>
      </c>
      <c r="I319" s="88" t="n">
        <v>2</v>
      </c>
      <c r="J319" s="88" t="n">
        <v>60</v>
      </c>
      <c r="K319" s="29" t="n">
        <f aca="false">IF(I319="","—",IFERROR(I319-G319,""))</f>
        <v>0</v>
      </c>
      <c r="L319" s="29" t="n">
        <f aca="false">IF(J319="","—",IFERROR(J319-H319,""))</f>
        <v>0</v>
      </c>
      <c r="M319" s="93"/>
    </row>
    <row r="320" customFormat="false" ht="12.75" hidden="false" customHeight="true" outlineLevel="0" collapsed="false">
      <c r="B320" s="22" t="s">
        <v>509</v>
      </c>
      <c r="C320" s="79" t="s">
        <v>510</v>
      </c>
      <c r="D320" s="79" t="s">
        <v>511</v>
      </c>
      <c r="E320" s="22" t="s">
        <v>18</v>
      </c>
      <c r="F320" s="80"/>
      <c r="G320" s="24" t="n">
        <v>4</v>
      </c>
      <c r="H320" s="24" t="n">
        <v>3684</v>
      </c>
      <c r="I320" s="88" t="n">
        <v>4</v>
      </c>
      <c r="J320" s="88" t="n">
        <v>3684</v>
      </c>
      <c r="K320" s="24" t="n">
        <f aca="false">IF(I320="","—",IFERROR(I320-G320,""))</f>
        <v>0</v>
      </c>
      <c r="L320" s="24" t="n">
        <f aca="false">IF(J320="","—",IFERROR(J320-H320,""))</f>
        <v>0</v>
      </c>
      <c r="M320" s="92"/>
    </row>
    <row r="321" customFormat="false" ht="12.75" hidden="false" customHeight="true" outlineLevel="0" collapsed="false">
      <c r="B321" s="27" t="s">
        <v>509</v>
      </c>
      <c r="C321" s="76" t="s">
        <v>512</v>
      </c>
      <c r="D321" s="76" t="s">
        <v>513</v>
      </c>
      <c r="E321" s="27" t="s">
        <v>18</v>
      </c>
      <c r="F321" s="77"/>
      <c r="G321" s="29" t="n">
        <v>1</v>
      </c>
      <c r="H321" s="29" t="n">
        <v>2546</v>
      </c>
      <c r="I321" s="88" t="n">
        <v>1</v>
      </c>
      <c r="J321" s="88" t="n">
        <v>2546</v>
      </c>
      <c r="K321" s="29" t="n">
        <f aca="false">IF(I321="","—",IFERROR(I321-G321,""))</f>
        <v>0</v>
      </c>
      <c r="L321" s="29" t="n">
        <f aca="false">IF(J321="","—",IFERROR(J321-H321,""))</f>
        <v>0</v>
      </c>
      <c r="M321" s="93"/>
    </row>
    <row r="322" customFormat="false" ht="12.75" hidden="false" customHeight="true" outlineLevel="0" collapsed="false">
      <c r="B322" s="22" t="s">
        <v>509</v>
      </c>
      <c r="C322" s="79" t="s">
        <v>514</v>
      </c>
      <c r="D322" s="79" t="s">
        <v>511</v>
      </c>
      <c r="E322" s="22" t="s">
        <v>18</v>
      </c>
      <c r="F322" s="80"/>
      <c r="G322" s="24" t="n">
        <v>2</v>
      </c>
      <c r="H322" s="24" t="n">
        <v>1842</v>
      </c>
      <c r="I322" s="88" t="n">
        <v>2</v>
      </c>
      <c r="J322" s="88" t="n">
        <v>1842</v>
      </c>
      <c r="K322" s="24" t="n">
        <f aca="false">IF(I322="","—",IFERROR(I322-G322,""))</f>
        <v>0</v>
      </c>
      <c r="L322" s="24" t="n">
        <f aca="false">IF(J322="","—",IFERROR(J322-H322,""))</f>
        <v>0</v>
      </c>
      <c r="M322" s="92"/>
    </row>
    <row r="323" customFormat="false" ht="12.75" hidden="false" customHeight="true" outlineLevel="0" collapsed="false">
      <c r="B323" s="27" t="s">
        <v>509</v>
      </c>
      <c r="C323" s="76" t="s">
        <v>515</v>
      </c>
      <c r="D323" s="76" t="s">
        <v>513</v>
      </c>
      <c r="E323" s="27" t="s">
        <v>18</v>
      </c>
      <c r="F323" s="77"/>
      <c r="G323" s="29" t="n">
        <v>1</v>
      </c>
      <c r="H323" s="29" t="n">
        <v>1273</v>
      </c>
      <c r="I323" s="88" t="n">
        <v>1</v>
      </c>
      <c r="J323" s="88" t="n">
        <v>1273</v>
      </c>
      <c r="K323" s="29" t="n">
        <f aca="false">IF(I323="","—",IFERROR(I323-G323,""))</f>
        <v>0</v>
      </c>
      <c r="L323" s="29" t="n">
        <f aca="false">IF(J323="","—",IFERROR(J323-H323,""))</f>
        <v>0</v>
      </c>
      <c r="M323" s="93"/>
    </row>
    <row r="324" customFormat="false" ht="12.75" hidden="false" customHeight="true" outlineLevel="0" collapsed="false">
      <c r="B324" s="22" t="s">
        <v>509</v>
      </c>
      <c r="C324" s="79" t="s">
        <v>516</v>
      </c>
      <c r="D324" s="79" t="s">
        <v>511</v>
      </c>
      <c r="E324" s="22" t="s">
        <v>18</v>
      </c>
      <c r="F324" s="80"/>
      <c r="G324" s="24" t="n">
        <v>1</v>
      </c>
      <c r="H324" s="24" t="n">
        <v>921</v>
      </c>
      <c r="I324" s="88" t="n">
        <v>1</v>
      </c>
      <c r="J324" s="88" t="n">
        <v>921</v>
      </c>
      <c r="K324" s="24" t="n">
        <f aca="false">IF(I324="","—",IFERROR(I324-G324,""))</f>
        <v>0</v>
      </c>
      <c r="L324" s="24" t="n">
        <f aca="false">IF(J324="","—",IFERROR(J324-H324,""))</f>
        <v>0</v>
      </c>
      <c r="M324" s="92"/>
    </row>
    <row r="325" customFormat="false" ht="12.75" hidden="false" customHeight="true" outlineLevel="0" collapsed="false">
      <c r="B325" s="27" t="s">
        <v>509</v>
      </c>
      <c r="C325" s="76" t="s">
        <v>517</v>
      </c>
      <c r="D325" s="76" t="s">
        <v>511</v>
      </c>
      <c r="E325" s="27" t="s">
        <v>18</v>
      </c>
      <c r="F325" s="77"/>
      <c r="G325" s="29" t="n">
        <v>1</v>
      </c>
      <c r="H325" s="29" t="n">
        <v>921</v>
      </c>
      <c r="I325" s="88" t="n">
        <v>1</v>
      </c>
      <c r="J325" s="88" t="n">
        <v>921</v>
      </c>
      <c r="K325" s="29" t="n">
        <f aca="false">IF(I325="","—",IFERROR(I325-G325,""))</f>
        <v>0</v>
      </c>
      <c r="L325" s="29" t="n">
        <f aca="false">IF(J325="","—",IFERROR(J325-H325,""))</f>
        <v>0</v>
      </c>
      <c r="M325" s="93"/>
    </row>
    <row r="326" customFormat="false" ht="12.75" hidden="false" customHeight="true" outlineLevel="0" collapsed="false">
      <c r="B326" s="22" t="s">
        <v>509</v>
      </c>
      <c r="C326" s="79" t="s">
        <v>518</v>
      </c>
      <c r="D326" s="79" t="s">
        <v>511</v>
      </c>
      <c r="E326" s="22" t="s">
        <v>18</v>
      </c>
      <c r="F326" s="80"/>
      <c r="G326" s="24" t="n">
        <v>1</v>
      </c>
      <c r="H326" s="24" t="n">
        <v>921</v>
      </c>
      <c r="I326" s="88" t="n">
        <v>1</v>
      </c>
      <c r="J326" s="88" t="n">
        <v>921</v>
      </c>
      <c r="K326" s="24" t="n">
        <f aca="false">IF(I326="","—",IFERROR(I326-G326,""))</f>
        <v>0</v>
      </c>
      <c r="L326" s="24" t="n">
        <f aca="false">IF(J326="","—",IFERROR(J326-H326,""))</f>
        <v>0</v>
      </c>
      <c r="M326" s="92"/>
    </row>
    <row r="327" customFormat="false" ht="12.75" hidden="false" customHeight="true" outlineLevel="0" collapsed="false">
      <c r="B327" s="27" t="s">
        <v>509</v>
      </c>
      <c r="C327" s="76" t="s">
        <v>519</v>
      </c>
      <c r="D327" s="76" t="s">
        <v>520</v>
      </c>
      <c r="E327" s="27" t="s">
        <v>18</v>
      </c>
      <c r="F327" s="77"/>
      <c r="G327" s="29" t="n">
        <v>2</v>
      </c>
      <c r="H327" s="29" t="n">
        <v>850</v>
      </c>
      <c r="I327" s="88" t="n">
        <v>2</v>
      </c>
      <c r="J327" s="88" t="n">
        <v>850</v>
      </c>
      <c r="K327" s="29" t="n">
        <f aca="false">IF(I327="","—",IFERROR(I327-G327,""))</f>
        <v>0</v>
      </c>
      <c r="L327" s="29" t="n">
        <f aca="false">IF(J327="","—",IFERROR(J327-H327,""))</f>
        <v>0</v>
      </c>
      <c r="M327" s="93"/>
    </row>
    <row r="328" customFormat="false" ht="12.75" hidden="false" customHeight="true" outlineLevel="0" collapsed="false">
      <c r="B328" s="22" t="s">
        <v>509</v>
      </c>
      <c r="C328" s="79" t="s">
        <v>521</v>
      </c>
      <c r="D328" s="79" t="s">
        <v>513</v>
      </c>
      <c r="E328" s="22" t="s">
        <v>18</v>
      </c>
      <c r="F328" s="80"/>
      <c r="G328" s="24" t="n">
        <v>1</v>
      </c>
      <c r="H328" s="24" t="n">
        <v>800</v>
      </c>
      <c r="I328" s="88" t="n">
        <v>1</v>
      </c>
      <c r="J328" s="88" t="n">
        <v>800</v>
      </c>
      <c r="K328" s="24" t="n">
        <f aca="false">IF(I328="","—",IFERROR(I328-G328,""))</f>
        <v>0</v>
      </c>
      <c r="L328" s="24" t="n">
        <f aca="false">IF(J328="","—",IFERROR(J328-H328,""))</f>
        <v>0</v>
      </c>
      <c r="M328" s="92"/>
    </row>
    <row r="329" customFormat="false" ht="12.75" hidden="false" customHeight="true" outlineLevel="0" collapsed="false">
      <c r="B329" s="27" t="s">
        <v>509</v>
      </c>
      <c r="C329" s="76" t="s">
        <v>522</v>
      </c>
      <c r="D329" s="76" t="s">
        <v>520</v>
      </c>
      <c r="E329" s="27" t="s">
        <v>18</v>
      </c>
      <c r="F329" s="77"/>
      <c r="G329" s="29" t="n">
        <v>1</v>
      </c>
      <c r="H329" s="29" t="n">
        <v>425</v>
      </c>
      <c r="I329" s="88" t="n">
        <v>1</v>
      </c>
      <c r="J329" s="88" t="n">
        <v>425</v>
      </c>
      <c r="K329" s="29" t="n">
        <f aca="false">IF(I329="","—",IFERROR(I329-G329,""))</f>
        <v>0</v>
      </c>
      <c r="L329" s="29" t="n">
        <f aca="false">IF(J329="","—",IFERROR(J329-H329,""))</f>
        <v>0</v>
      </c>
      <c r="M329" s="93"/>
    </row>
    <row r="330" customFormat="false" ht="12.75" hidden="false" customHeight="true" outlineLevel="0" collapsed="false">
      <c r="B330" s="22" t="s">
        <v>509</v>
      </c>
      <c r="C330" s="79" t="s">
        <v>523</v>
      </c>
      <c r="D330" s="79" t="s">
        <v>520</v>
      </c>
      <c r="E330" s="22" t="s">
        <v>18</v>
      </c>
      <c r="F330" s="80"/>
      <c r="G330" s="24" t="n">
        <v>1</v>
      </c>
      <c r="H330" s="24" t="n">
        <v>425</v>
      </c>
      <c r="I330" s="88" t="n">
        <v>1</v>
      </c>
      <c r="J330" s="88" t="n">
        <v>425</v>
      </c>
      <c r="K330" s="24" t="n">
        <f aca="false">IF(I330="","—",IFERROR(I330-G330,""))</f>
        <v>0</v>
      </c>
      <c r="L330" s="24" t="n">
        <f aca="false">IF(J330="","—",IFERROR(J330-H330,""))</f>
        <v>0</v>
      </c>
      <c r="M330" s="92"/>
    </row>
    <row r="331" customFormat="false" ht="12.75" hidden="false" customHeight="true" outlineLevel="0" collapsed="false">
      <c r="B331" s="27" t="s">
        <v>509</v>
      </c>
      <c r="C331" s="76" t="s">
        <v>524</v>
      </c>
      <c r="D331" s="76" t="s">
        <v>525</v>
      </c>
      <c r="E331" s="27" t="s">
        <v>18</v>
      </c>
      <c r="F331" s="77"/>
      <c r="G331" s="29" t="n">
        <v>1</v>
      </c>
      <c r="H331" s="29" t="n">
        <v>299</v>
      </c>
      <c r="I331" s="88" t="n">
        <v>1</v>
      </c>
      <c r="J331" s="88" t="n">
        <v>299</v>
      </c>
      <c r="K331" s="29" t="n">
        <f aca="false">IF(I331="","—",IFERROR(I331-G331,""))</f>
        <v>0</v>
      </c>
      <c r="L331" s="29" t="n">
        <f aca="false">IF(J331="","—",IFERROR(J331-H331,""))</f>
        <v>0</v>
      </c>
      <c r="M331" s="93"/>
    </row>
    <row r="332" customFormat="false" ht="12.75" hidden="false" customHeight="true" outlineLevel="0" collapsed="false">
      <c r="B332" s="22" t="s">
        <v>509</v>
      </c>
      <c r="C332" s="79" t="s">
        <v>526</v>
      </c>
      <c r="D332" s="79" t="s">
        <v>525</v>
      </c>
      <c r="E332" s="22" t="s">
        <v>18</v>
      </c>
      <c r="F332" s="80"/>
      <c r="G332" s="24" t="n">
        <v>1</v>
      </c>
      <c r="H332" s="24" t="n">
        <v>299</v>
      </c>
      <c r="I332" s="88" t="n">
        <v>1</v>
      </c>
      <c r="J332" s="88" t="n">
        <v>299</v>
      </c>
      <c r="K332" s="24" t="n">
        <f aca="false">IF(I332="","—",IFERROR(I332-G332,""))</f>
        <v>0</v>
      </c>
      <c r="L332" s="24" t="n">
        <f aca="false">IF(J332="","—",IFERROR(J332-H332,""))</f>
        <v>0</v>
      </c>
      <c r="M332" s="92"/>
    </row>
    <row r="333" customFormat="false" ht="12.75" hidden="false" customHeight="true" outlineLevel="0" collapsed="false">
      <c r="B333" s="27" t="s">
        <v>509</v>
      </c>
      <c r="C333" s="76" t="s">
        <v>527</v>
      </c>
      <c r="D333" s="76" t="s">
        <v>525</v>
      </c>
      <c r="E333" s="27" t="s">
        <v>18</v>
      </c>
      <c r="F333" s="77"/>
      <c r="G333" s="29" t="n">
        <v>1</v>
      </c>
      <c r="H333" s="29" t="n">
        <v>299</v>
      </c>
      <c r="I333" s="88" t="n">
        <v>1</v>
      </c>
      <c r="J333" s="88" t="n">
        <v>299</v>
      </c>
      <c r="K333" s="29" t="n">
        <f aca="false">IF(I333="","—",IFERROR(I333-G333,""))</f>
        <v>0</v>
      </c>
      <c r="L333" s="29" t="n">
        <f aca="false">IF(J333="","—",IFERROR(J333-H333,""))</f>
        <v>0</v>
      </c>
      <c r="M333" s="93"/>
    </row>
    <row r="334" customFormat="false" ht="12.75" hidden="false" customHeight="true" outlineLevel="0" collapsed="false">
      <c r="B334" s="22" t="s">
        <v>509</v>
      </c>
      <c r="C334" s="79" t="s">
        <v>528</v>
      </c>
      <c r="D334" s="79" t="s">
        <v>525</v>
      </c>
      <c r="E334" s="22" t="s">
        <v>18</v>
      </c>
      <c r="F334" s="80"/>
      <c r="G334" s="24" t="n">
        <v>1</v>
      </c>
      <c r="H334" s="24" t="n">
        <v>299</v>
      </c>
      <c r="I334" s="88" t="n">
        <v>1</v>
      </c>
      <c r="J334" s="88" t="n">
        <v>299</v>
      </c>
      <c r="K334" s="24" t="n">
        <f aca="false">IF(I334="","—",IFERROR(I334-G334,""))</f>
        <v>0</v>
      </c>
      <c r="L334" s="24" t="n">
        <f aca="false">IF(J334="","—",IFERROR(J334-H334,""))</f>
        <v>0</v>
      </c>
      <c r="M334" s="92"/>
    </row>
    <row r="335" customFormat="false" ht="12.75" hidden="false" customHeight="true" outlineLevel="0" collapsed="false">
      <c r="B335" s="27" t="s">
        <v>530</v>
      </c>
      <c r="C335" s="76" t="s">
        <v>531</v>
      </c>
      <c r="D335" s="76" t="s">
        <v>532</v>
      </c>
      <c r="E335" s="27" t="s">
        <v>18</v>
      </c>
      <c r="F335" s="77"/>
      <c r="G335" s="29" t="n">
        <v>31</v>
      </c>
      <c r="H335" s="29" t="n">
        <v>19282</v>
      </c>
      <c r="I335" s="88" t="n">
        <v>31</v>
      </c>
      <c r="J335" s="88" t="n">
        <v>19282</v>
      </c>
      <c r="K335" s="29" t="n">
        <f aca="false">IF(I335="","—",IFERROR(I335-G335,""))</f>
        <v>0</v>
      </c>
      <c r="L335" s="29" t="n">
        <f aca="false">IF(J335="","—",IFERROR(J335-H335,""))</f>
        <v>0</v>
      </c>
      <c r="M335" s="93"/>
    </row>
    <row r="336" customFormat="false" ht="12.75" hidden="false" customHeight="true" outlineLevel="0" collapsed="false">
      <c r="B336" s="22" t="s">
        <v>530</v>
      </c>
      <c r="C336" s="22" t="s">
        <v>533</v>
      </c>
      <c r="D336" s="22" t="s">
        <v>534</v>
      </c>
      <c r="E336" s="22" t="s">
        <v>18</v>
      </c>
      <c r="F336" s="80"/>
      <c r="G336" s="24" t="n">
        <v>18</v>
      </c>
      <c r="H336" s="24" t="n">
        <v>16362</v>
      </c>
      <c r="I336" s="88" t="n">
        <v>18</v>
      </c>
      <c r="J336" s="88" t="n">
        <v>16362</v>
      </c>
      <c r="K336" s="24" t="n">
        <f aca="false">IF(I336="","—",IFERROR(I336-G336,""))</f>
        <v>0</v>
      </c>
      <c r="L336" s="24" t="n">
        <f aca="false">IF(J336="","—",IFERROR(J336-H336,""))</f>
        <v>0</v>
      </c>
      <c r="M336" s="92"/>
    </row>
    <row r="337" customFormat="false" ht="12.75" hidden="false" customHeight="true" outlineLevel="0" collapsed="false">
      <c r="B337" s="27" t="s">
        <v>530</v>
      </c>
      <c r="C337" s="76" t="s">
        <v>535</v>
      </c>
      <c r="D337" s="76" t="s">
        <v>536</v>
      </c>
      <c r="E337" s="27" t="s">
        <v>18</v>
      </c>
      <c r="F337" s="77"/>
      <c r="G337" s="29" t="n">
        <v>5</v>
      </c>
      <c r="H337" s="29" t="n">
        <v>7280</v>
      </c>
      <c r="I337" s="88" t="n">
        <v>5</v>
      </c>
      <c r="J337" s="88" t="n">
        <v>7280</v>
      </c>
      <c r="K337" s="29" t="n">
        <f aca="false">IF(I337="","—",IFERROR(I337-G337,""))</f>
        <v>0</v>
      </c>
      <c r="L337" s="29" t="n">
        <f aca="false">IF(J337="","—",IFERROR(J337-H337,""))</f>
        <v>0</v>
      </c>
      <c r="M337" s="93"/>
    </row>
    <row r="338" customFormat="false" ht="12.75" hidden="false" customHeight="true" outlineLevel="0" collapsed="false">
      <c r="B338" s="22" t="s">
        <v>530</v>
      </c>
      <c r="C338" s="79" t="s">
        <v>537</v>
      </c>
      <c r="D338" s="79" t="s">
        <v>532</v>
      </c>
      <c r="E338" s="22" t="s">
        <v>18</v>
      </c>
      <c r="F338" s="80"/>
      <c r="G338" s="24" t="n">
        <v>6</v>
      </c>
      <c r="H338" s="24" t="n">
        <v>6720</v>
      </c>
      <c r="I338" s="88" t="n">
        <v>6</v>
      </c>
      <c r="J338" s="88" t="n">
        <v>6720</v>
      </c>
      <c r="K338" s="24" t="n">
        <f aca="false">IF(I338="","—",IFERROR(I338-G338,""))</f>
        <v>0</v>
      </c>
      <c r="L338" s="24" t="n">
        <f aca="false">IF(J338="","—",IFERROR(J338-H338,""))</f>
        <v>0</v>
      </c>
      <c r="M338" s="92"/>
    </row>
    <row r="339" customFormat="false" ht="12.75" hidden="false" customHeight="true" outlineLevel="0" collapsed="false">
      <c r="B339" s="27" t="s">
        <v>530</v>
      </c>
      <c r="C339" s="76" t="s">
        <v>538</v>
      </c>
      <c r="D339" s="76" t="s">
        <v>532</v>
      </c>
      <c r="E339" s="27" t="s">
        <v>18</v>
      </c>
      <c r="F339" s="77"/>
      <c r="G339" s="29" t="n">
        <v>4</v>
      </c>
      <c r="H339" s="29" t="n">
        <v>6608</v>
      </c>
      <c r="I339" s="88" t="n">
        <v>4</v>
      </c>
      <c r="J339" s="88" t="n">
        <v>6608</v>
      </c>
      <c r="K339" s="29" t="n">
        <f aca="false">IF(I339="","—",IFERROR(I339-G339,""))</f>
        <v>0</v>
      </c>
      <c r="L339" s="29" t="n">
        <f aca="false">IF(J339="","—",IFERROR(J339-H339,""))</f>
        <v>0</v>
      </c>
      <c r="M339" s="93"/>
    </row>
    <row r="340" customFormat="false" ht="12.75" hidden="false" customHeight="true" outlineLevel="0" collapsed="false">
      <c r="B340" s="22" t="s">
        <v>530</v>
      </c>
      <c r="C340" s="79" t="s">
        <v>539</v>
      </c>
      <c r="D340" s="79" t="s">
        <v>540</v>
      </c>
      <c r="E340" s="22" t="s">
        <v>18</v>
      </c>
      <c r="F340" s="80"/>
      <c r="G340" s="24" t="n">
        <v>22</v>
      </c>
      <c r="H340" s="24" t="n">
        <v>6468</v>
      </c>
      <c r="I340" s="88" t="n">
        <v>22</v>
      </c>
      <c r="J340" s="88" t="n">
        <v>6468</v>
      </c>
      <c r="K340" s="24" t="n">
        <f aca="false">IF(I340="","—",IFERROR(I340-G340,""))</f>
        <v>0</v>
      </c>
      <c r="L340" s="24" t="n">
        <f aca="false">IF(J340="","—",IFERROR(J340-H340,""))</f>
        <v>0</v>
      </c>
      <c r="M340" s="92"/>
    </row>
    <row r="341" customFormat="false" ht="12.75" hidden="false" customHeight="true" outlineLevel="0" collapsed="false">
      <c r="B341" s="27" t="s">
        <v>530</v>
      </c>
      <c r="C341" s="76" t="s">
        <v>541</v>
      </c>
      <c r="D341" s="76" t="s">
        <v>532</v>
      </c>
      <c r="E341" s="27" t="s">
        <v>18</v>
      </c>
      <c r="F341" s="77"/>
      <c r="G341" s="29" t="n">
        <v>4</v>
      </c>
      <c r="H341" s="29" t="n">
        <v>4816</v>
      </c>
      <c r="I341" s="88" t="n">
        <v>4</v>
      </c>
      <c r="J341" s="88" t="n">
        <v>4816</v>
      </c>
      <c r="K341" s="29" t="n">
        <f aca="false">IF(I341="","—",IFERROR(I341-G341,""))</f>
        <v>0</v>
      </c>
      <c r="L341" s="29" t="n">
        <f aca="false">IF(J341="","—",IFERROR(J341-H341,""))</f>
        <v>0</v>
      </c>
      <c r="M341" s="93"/>
    </row>
    <row r="342" customFormat="false" ht="12.75" hidden="false" customHeight="true" outlineLevel="0" collapsed="false">
      <c r="B342" s="22" t="s">
        <v>530</v>
      </c>
      <c r="C342" s="79" t="s">
        <v>542</v>
      </c>
      <c r="D342" s="79" t="s">
        <v>540</v>
      </c>
      <c r="E342" s="22" t="s">
        <v>18</v>
      </c>
      <c r="F342" s="80"/>
      <c r="G342" s="24" t="n">
        <v>2</v>
      </c>
      <c r="H342" s="24" t="n">
        <v>3430</v>
      </c>
      <c r="I342" s="88" t="n">
        <v>2</v>
      </c>
      <c r="J342" s="88" t="n">
        <v>3430</v>
      </c>
      <c r="K342" s="24" t="n">
        <f aca="false">IF(I342="","—",IFERROR(I342-G342,""))</f>
        <v>0</v>
      </c>
      <c r="L342" s="24" t="n">
        <f aca="false">IF(J342="","—",IFERROR(J342-H342,""))</f>
        <v>0</v>
      </c>
      <c r="M342" s="92"/>
    </row>
    <row r="343" customFormat="false" ht="12.75" hidden="false" customHeight="true" outlineLevel="0" collapsed="false">
      <c r="B343" s="27" t="s">
        <v>530</v>
      </c>
      <c r="C343" s="76" t="s">
        <v>543</v>
      </c>
      <c r="D343" s="76" t="s">
        <v>532</v>
      </c>
      <c r="E343" s="27" t="s">
        <v>18</v>
      </c>
      <c r="F343" s="77"/>
      <c r="G343" s="29" t="n">
        <v>3</v>
      </c>
      <c r="H343" s="29" t="n">
        <v>3003</v>
      </c>
      <c r="I343" s="88" t="n">
        <v>3</v>
      </c>
      <c r="J343" s="88" t="n">
        <v>3003</v>
      </c>
      <c r="K343" s="29" t="n">
        <f aca="false">IF(I343="","—",IFERROR(I343-G343,""))</f>
        <v>0</v>
      </c>
      <c r="L343" s="29" t="n">
        <f aca="false">IF(J343="","—",IFERROR(J343-H343,""))</f>
        <v>0</v>
      </c>
      <c r="M343" s="93"/>
    </row>
    <row r="344" customFormat="false" ht="12.75" hidden="false" customHeight="true" outlineLevel="0" collapsed="false">
      <c r="B344" s="22" t="s">
        <v>530</v>
      </c>
      <c r="C344" s="79" t="s">
        <v>544</v>
      </c>
      <c r="D344" s="79" t="s">
        <v>532</v>
      </c>
      <c r="E344" s="22" t="s">
        <v>18</v>
      </c>
      <c r="F344" s="80"/>
      <c r="G344" s="24" t="n">
        <v>2</v>
      </c>
      <c r="H344" s="24" t="n">
        <v>2184</v>
      </c>
      <c r="I344" s="88" t="n">
        <v>2</v>
      </c>
      <c r="J344" s="88" t="n">
        <v>2184</v>
      </c>
      <c r="K344" s="24" t="n">
        <f aca="false">IF(I344="","—",IFERROR(I344-G344,""))</f>
        <v>0</v>
      </c>
      <c r="L344" s="24" t="n">
        <f aca="false">IF(J344="","—",IFERROR(J344-H344,""))</f>
        <v>0</v>
      </c>
      <c r="M344" s="92"/>
    </row>
    <row r="345" customFormat="false" ht="12.75" hidden="false" customHeight="true" outlineLevel="0" collapsed="false">
      <c r="B345" s="27" t="s">
        <v>530</v>
      </c>
      <c r="C345" s="76" t="s">
        <v>545</v>
      </c>
      <c r="D345" s="76" t="s">
        <v>540</v>
      </c>
      <c r="E345" s="27" t="s">
        <v>18</v>
      </c>
      <c r="F345" s="77"/>
      <c r="G345" s="29" t="n">
        <v>1</v>
      </c>
      <c r="H345" s="29" t="n">
        <v>2030</v>
      </c>
      <c r="I345" s="88" t="n">
        <v>1</v>
      </c>
      <c r="J345" s="88" t="n">
        <v>2030</v>
      </c>
      <c r="K345" s="29" t="n">
        <f aca="false">IF(I345="","—",IFERROR(I345-G345,""))</f>
        <v>0</v>
      </c>
      <c r="L345" s="29" t="n">
        <f aca="false">IF(J345="","—",IFERROR(J345-H345,""))</f>
        <v>0</v>
      </c>
      <c r="M345" s="93"/>
    </row>
    <row r="346" customFormat="false" ht="12.75" hidden="false" customHeight="true" outlineLevel="0" collapsed="false">
      <c r="B346" s="22" t="s">
        <v>530</v>
      </c>
      <c r="C346" s="79" t="s">
        <v>546</v>
      </c>
      <c r="D346" s="79" t="s">
        <v>547</v>
      </c>
      <c r="E346" s="22" t="s">
        <v>18</v>
      </c>
      <c r="F346" s="80"/>
      <c r="G346" s="24" t="n">
        <v>1</v>
      </c>
      <c r="H346" s="24" t="n">
        <v>1794</v>
      </c>
      <c r="I346" s="88" t="n">
        <v>1</v>
      </c>
      <c r="J346" s="88" t="n">
        <v>1794</v>
      </c>
      <c r="K346" s="24" t="n">
        <f aca="false">IF(I346="","—",IFERROR(I346-G346,""))</f>
        <v>0</v>
      </c>
      <c r="L346" s="24" t="n">
        <f aca="false">IF(J346="","—",IFERROR(J346-H346,""))</f>
        <v>0</v>
      </c>
      <c r="M346" s="92"/>
    </row>
    <row r="347" customFormat="false" ht="12.75" hidden="false" customHeight="true" outlineLevel="0" collapsed="false">
      <c r="B347" s="27" t="s">
        <v>530</v>
      </c>
      <c r="C347" s="76" t="s">
        <v>548</v>
      </c>
      <c r="D347" s="76" t="s">
        <v>547</v>
      </c>
      <c r="E347" s="27" t="s">
        <v>18</v>
      </c>
      <c r="F347" s="77"/>
      <c r="G347" s="29" t="n">
        <v>1</v>
      </c>
      <c r="H347" s="29" t="n">
        <v>1794</v>
      </c>
      <c r="I347" s="88" t="n">
        <v>1</v>
      </c>
      <c r="J347" s="88" t="n">
        <v>1794</v>
      </c>
      <c r="K347" s="29" t="n">
        <f aca="false">IF(I347="","—",IFERROR(I347-G347,""))</f>
        <v>0</v>
      </c>
      <c r="L347" s="29" t="n">
        <f aca="false">IF(J347="","—",IFERROR(J347-H347,""))</f>
        <v>0</v>
      </c>
      <c r="M347" s="93"/>
    </row>
    <row r="348" customFormat="false" ht="12.75" hidden="false" customHeight="true" outlineLevel="0" collapsed="false">
      <c r="B348" s="22" t="s">
        <v>530</v>
      </c>
      <c r="C348" s="79" t="s">
        <v>549</v>
      </c>
      <c r="D348" s="79" t="s">
        <v>547</v>
      </c>
      <c r="E348" s="22" t="s">
        <v>18</v>
      </c>
      <c r="F348" s="80"/>
      <c r="G348" s="24" t="n">
        <v>1</v>
      </c>
      <c r="H348" s="24" t="n">
        <v>1794</v>
      </c>
      <c r="I348" s="88" t="n">
        <v>1</v>
      </c>
      <c r="J348" s="88" t="n">
        <v>1794</v>
      </c>
      <c r="K348" s="24" t="n">
        <f aca="false">IF(I348="","—",IFERROR(I348-G348,""))</f>
        <v>0</v>
      </c>
      <c r="L348" s="24" t="n">
        <f aca="false">IF(J348="","—",IFERROR(J348-H348,""))</f>
        <v>0</v>
      </c>
      <c r="M348" s="92"/>
    </row>
    <row r="349" customFormat="false" ht="12.75" hidden="false" customHeight="true" outlineLevel="0" collapsed="false">
      <c r="B349" s="27" t="s">
        <v>530</v>
      </c>
      <c r="C349" s="76" t="s">
        <v>550</v>
      </c>
      <c r="D349" s="76" t="s">
        <v>532</v>
      </c>
      <c r="E349" s="27" t="s">
        <v>18</v>
      </c>
      <c r="F349" s="77"/>
      <c r="G349" s="29" t="n">
        <v>2</v>
      </c>
      <c r="H349" s="29" t="n">
        <v>1708</v>
      </c>
      <c r="I349" s="88" t="n">
        <v>2</v>
      </c>
      <c r="J349" s="88" t="n">
        <v>1708</v>
      </c>
      <c r="K349" s="29" t="n">
        <f aca="false">IF(I349="","—",IFERROR(I349-G349,""))</f>
        <v>0</v>
      </c>
      <c r="L349" s="29" t="n">
        <f aca="false">IF(J349="","—",IFERROR(J349-H349,""))</f>
        <v>0</v>
      </c>
      <c r="M349" s="93"/>
    </row>
    <row r="350" customFormat="false" ht="12.75" hidden="false" customHeight="true" outlineLevel="0" collapsed="false">
      <c r="B350" s="22" t="s">
        <v>530</v>
      </c>
      <c r="C350" s="79" t="s">
        <v>551</v>
      </c>
      <c r="D350" s="79" t="s">
        <v>540</v>
      </c>
      <c r="E350" s="22" t="s">
        <v>18</v>
      </c>
      <c r="F350" s="80"/>
      <c r="G350" s="24" t="n">
        <v>2</v>
      </c>
      <c r="H350" s="24" t="n">
        <v>1708</v>
      </c>
      <c r="I350" s="88" t="n">
        <v>2</v>
      </c>
      <c r="J350" s="88" t="n">
        <v>1708</v>
      </c>
      <c r="K350" s="24" t="n">
        <f aca="false">IF(I350="","—",IFERROR(I350-G350,""))</f>
        <v>0</v>
      </c>
      <c r="L350" s="24" t="n">
        <f aca="false">IF(J350="","—",IFERROR(J350-H350,""))</f>
        <v>0</v>
      </c>
      <c r="M350" s="92"/>
    </row>
    <row r="351" customFormat="false" ht="12.75" hidden="false" customHeight="true" outlineLevel="0" collapsed="false">
      <c r="B351" s="27" t="s">
        <v>530</v>
      </c>
      <c r="C351" s="76" t="s">
        <v>552</v>
      </c>
      <c r="D351" s="76" t="s">
        <v>536</v>
      </c>
      <c r="E351" s="27" t="s">
        <v>18</v>
      </c>
      <c r="F351" s="77"/>
      <c r="G351" s="29" t="n">
        <v>1</v>
      </c>
      <c r="H351" s="29" t="n">
        <v>1596</v>
      </c>
      <c r="I351" s="88" t="n">
        <v>1</v>
      </c>
      <c r="J351" s="88" t="n">
        <v>1596</v>
      </c>
      <c r="K351" s="29" t="n">
        <f aca="false">IF(I351="","—",IFERROR(I351-G351,""))</f>
        <v>0</v>
      </c>
      <c r="L351" s="29" t="n">
        <f aca="false">IF(J351="","—",IFERROR(J351-H351,""))</f>
        <v>0</v>
      </c>
      <c r="M351" s="93"/>
    </row>
    <row r="352" customFormat="false" ht="12.75" hidden="false" customHeight="true" outlineLevel="0" collapsed="false">
      <c r="B352" s="22" t="s">
        <v>530</v>
      </c>
      <c r="C352" s="79" t="s">
        <v>553</v>
      </c>
      <c r="D352" s="79" t="s">
        <v>532</v>
      </c>
      <c r="E352" s="22" t="s">
        <v>18</v>
      </c>
      <c r="F352" s="80"/>
      <c r="G352" s="24" t="n">
        <v>1</v>
      </c>
      <c r="H352" s="24" t="n">
        <v>1295</v>
      </c>
      <c r="I352" s="88" t="n">
        <v>1</v>
      </c>
      <c r="J352" s="88" t="n">
        <v>1295</v>
      </c>
      <c r="K352" s="24" t="n">
        <f aca="false">IF(I352="","—",IFERROR(I352-G352,""))</f>
        <v>0</v>
      </c>
      <c r="L352" s="24" t="n">
        <f aca="false">IF(J352="","—",IFERROR(J352-H352,""))</f>
        <v>0</v>
      </c>
      <c r="M352" s="92"/>
    </row>
    <row r="353" customFormat="false" ht="12.75" hidden="false" customHeight="true" outlineLevel="0" collapsed="false">
      <c r="B353" s="27" t="s">
        <v>530</v>
      </c>
      <c r="C353" s="76" t="s">
        <v>554</v>
      </c>
      <c r="D353" s="76" t="s">
        <v>532</v>
      </c>
      <c r="E353" s="27" t="s">
        <v>18</v>
      </c>
      <c r="F353" s="77"/>
      <c r="G353" s="29" t="n">
        <v>2</v>
      </c>
      <c r="H353" s="29" t="n">
        <v>1216</v>
      </c>
      <c r="I353" s="88" t="n">
        <v>2</v>
      </c>
      <c r="J353" s="88" t="n">
        <v>1216</v>
      </c>
      <c r="K353" s="29" t="n">
        <f aca="false">IF(I353="","—",IFERROR(I353-G353,""))</f>
        <v>0</v>
      </c>
      <c r="L353" s="29" t="n">
        <f aca="false">IF(J353="","—",IFERROR(J353-H353,""))</f>
        <v>0</v>
      </c>
      <c r="M353" s="93"/>
    </row>
    <row r="354" customFormat="false" ht="12.75" hidden="false" customHeight="true" outlineLevel="0" collapsed="false">
      <c r="B354" s="22" t="s">
        <v>530</v>
      </c>
      <c r="C354" s="22" t="s">
        <v>555</v>
      </c>
      <c r="D354" s="22" t="s">
        <v>534</v>
      </c>
      <c r="E354" s="22" t="s">
        <v>18</v>
      </c>
      <c r="F354" s="80"/>
      <c r="G354" s="24" t="n">
        <v>1</v>
      </c>
      <c r="H354" s="24" t="n">
        <v>1155</v>
      </c>
      <c r="I354" s="88" t="n">
        <v>1</v>
      </c>
      <c r="J354" s="88" t="n">
        <v>1155</v>
      </c>
      <c r="K354" s="24" t="n">
        <f aca="false">IF(I354="","—",IFERROR(I354-G354,""))</f>
        <v>0</v>
      </c>
      <c r="L354" s="24" t="n">
        <f aca="false">IF(J354="","—",IFERROR(J354-H354,""))</f>
        <v>0</v>
      </c>
      <c r="M354" s="92"/>
    </row>
    <row r="355" customFormat="false" ht="12.75" hidden="false" customHeight="true" outlineLevel="0" collapsed="false">
      <c r="B355" s="27" t="s">
        <v>530</v>
      </c>
      <c r="C355" s="76" t="s">
        <v>556</v>
      </c>
      <c r="D355" s="76" t="s">
        <v>532</v>
      </c>
      <c r="E355" s="27" t="s">
        <v>18</v>
      </c>
      <c r="F355" s="77"/>
      <c r="G355" s="29" t="n">
        <v>1</v>
      </c>
      <c r="H355" s="29" t="n">
        <v>1119</v>
      </c>
      <c r="I355" s="88" t="n">
        <v>1</v>
      </c>
      <c r="J355" s="88" t="n">
        <v>1119</v>
      </c>
      <c r="K355" s="29" t="n">
        <f aca="false">IF(I355="","—",IFERROR(I355-G355,""))</f>
        <v>0</v>
      </c>
      <c r="L355" s="29" t="n">
        <f aca="false">IF(J355="","—",IFERROR(J355-H355,""))</f>
        <v>0</v>
      </c>
      <c r="M355" s="93"/>
    </row>
    <row r="356" customFormat="false" ht="12.75" hidden="false" customHeight="true" outlineLevel="0" collapsed="false">
      <c r="B356" s="22" t="s">
        <v>530</v>
      </c>
      <c r="C356" s="79" t="s">
        <v>557</v>
      </c>
      <c r="D356" s="79" t="s">
        <v>532</v>
      </c>
      <c r="E356" s="22" t="s">
        <v>18</v>
      </c>
      <c r="F356" s="80"/>
      <c r="G356" s="24" t="n">
        <v>1</v>
      </c>
      <c r="H356" s="24" t="n">
        <v>1092</v>
      </c>
      <c r="I356" s="88" t="n">
        <v>1</v>
      </c>
      <c r="J356" s="88" t="n">
        <v>1092</v>
      </c>
      <c r="K356" s="24" t="n">
        <f aca="false">IF(I356="","—",IFERROR(I356-G356,""))</f>
        <v>0</v>
      </c>
      <c r="L356" s="24" t="n">
        <f aca="false">IF(J356="","—",IFERROR(J356-H356,""))</f>
        <v>0</v>
      </c>
      <c r="M356" s="92"/>
    </row>
    <row r="357" customFormat="false" ht="12.75" hidden="false" customHeight="true" outlineLevel="0" collapsed="false">
      <c r="B357" s="27" t="s">
        <v>530</v>
      </c>
      <c r="C357" s="76" t="s">
        <v>558</v>
      </c>
      <c r="D357" s="76" t="s">
        <v>532</v>
      </c>
      <c r="E357" s="27" t="s">
        <v>18</v>
      </c>
      <c r="F357" s="77"/>
      <c r="G357" s="29" t="n">
        <v>7</v>
      </c>
      <c r="H357" s="29" t="n">
        <v>980</v>
      </c>
      <c r="I357" s="88" t="n">
        <v>7</v>
      </c>
      <c r="J357" s="88" t="n">
        <v>980</v>
      </c>
      <c r="K357" s="29" t="n">
        <f aca="false">IF(I357="","—",IFERROR(I357-G357,""))</f>
        <v>0</v>
      </c>
      <c r="L357" s="29" t="n">
        <f aca="false">IF(J357="","—",IFERROR(J357-H357,""))</f>
        <v>0</v>
      </c>
      <c r="M357" s="93"/>
    </row>
    <row r="358" customFormat="false" ht="12.75" hidden="false" customHeight="true" outlineLevel="0" collapsed="false">
      <c r="B358" s="22" t="s">
        <v>530</v>
      </c>
      <c r="C358" s="79" t="s">
        <v>559</v>
      </c>
      <c r="D358" s="79" t="s">
        <v>547</v>
      </c>
      <c r="E358" s="22" t="s">
        <v>18</v>
      </c>
      <c r="F358" s="80"/>
      <c r="G358" s="24" t="n">
        <v>1</v>
      </c>
      <c r="H358" s="24" t="n">
        <v>930</v>
      </c>
      <c r="I358" s="88" t="n">
        <v>1</v>
      </c>
      <c r="J358" s="88" t="n">
        <v>930</v>
      </c>
      <c r="K358" s="24" t="n">
        <f aca="false">IF(I358="","—",IFERROR(I358-G358,""))</f>
        <v>0</v>
      </c>
      <c r="L358" s="24" t="n">
        <f aca="false">IF(J358="","—",IFERROR(J358-H358,""))</f>
        <v>0</v>
      </c>
      <c r="M358" s="92"/>
    </row>
    <row r="359" customFormat="false" ht="12.75" hidden="false" customHeight="true" outlineLevel="0" collapsed="false">
      <c r="B359" s="27" t="s">
        <v>530</v>
      </c>
      <c r="C359" s="76" t="s">
        <v>560</v>
      </c>
      <c r="D359" s="76" t="s">
        <v>547</v>
      </c>
      <c r="E359" s="27" t="s">
        <v>18</v>
      </c>
      <c r="F359" s="77"/>
      <c r="G359" s="29" t="n">
        <v>1</v>
      </c>
      <c r="H359" s="29" t="n">
        <v>930</v>
      </c>
      <c r="I359" s="88" t="n">
        <v>1</v>
      </c>
      <c r="J359" s="88" t="n">
        <v>930</v>
      </c>
      <c r="K359" s="29" t="n">
        <f aca="false">IF(I359="","—",IFERROR(I359-G359,""))</f>
        <v>0</v>
      </c>
      <c r="L359" s="29" t="n">
        <f aca="false">IF(J359="","—",IFERROR(J359-H359,""))</f>
        <v>0</v>
      </c>
      <c r="M359" s="93"/>
    </row>
    <row r="360" customFormat="false" ht="12.75" hidden="false" customHeight="true" outlineLevel="0" collapsed="false">
      <c r="B360" s="22" t="s">
        <v>530</v>
      </c>
      <c r="C360" s="79" t="s">
        <v>561</v>
      </c>
      <c r="D360" s="79" t="s">
        <v>547</v>
      </c>
      <c r="E360" s="22" t="s">
        <v>18</v>
      </c>
      <c r="F360" s="80"/>
      <c r="G360" s="24" t="n">
        <v>1</v>
      </c>
      <c r="H360" s="24" t="n">
        <v>930</v>
      </c>
      <c r="I360" s="88" t="n">
        <v>1</v>
      </c>
      <c r="J360" s="88" t="n">
        <v>930</v>
      </c>
      <c r="K360" s="24" t="n">
        <f aca="false">IF(I360="","—",IFERROR(I360-G360,""))</f>
        <v>0</v>
      </c>
      <c r="L360" s="24" t="n">
        <f aca="false">IF(J360="","—",IFERROR(J360-H360,""))</f>
        <v>0</v>
      </c>
      <c r="M360" s="92"/>
    </row>
    <row r="361" customFormat="false" ht="12.75" hidden="false" customHeight="true" outlineLevel="0" collapsed="false">
      <c r="B361" s="27" t="s">
        <v>530</v>
      </c>
      <c r="C361" s="76" t="s">
        <v>562</v>
      </c>
      <c r="D361" s="76" t="s">
        <v>547</v>
      </c>
      <c r="E361" s="27" t="s">
        <v>18</v>
      </c>
      <c r="F361" s="77"/>
      <c r="G361" s="29" t="n">
        <v>1</v>
      </c>
      <c r="H361" s="29" t="n">
        <v>930</v>
      </c>
      <c r="I361" s="88" t="n">
        <v>1</v>
      </c>
      <c r="J361" s="88" t="n">
        <v>930</v>
      </c>
      <c r="K361" s="29" t="n">
        <f aca="false">IF(I361="","—",IFERROR(I361-G361,""))</f>
        <v>0</v>
      </c>
      <c r="L361" s="29" t="n">
        <f aca="false">IF(J361="","—",IFERROR(J361-H361,""))</f>
        <v>0</v>
      </c>
      <c r="M361" s="93"/>
    </row>
    <row r="362" customFormat="false" ht="12.75" hidden="false" customHeight="true" outlineLevel="0" collapsed="false">
      <c r="B362" s="22" t="s">
        <v>530</v>
      </c>
      <c r="C362" s="79" t="s">
        <v>563</v>
      </c>
      <c r="D362" s="79" t="s">
        <v>547</v>
      </c>
      <c r="E362" s="22" t="s">
        <v>18</v>
      </c>
      <c r="F362" s="80"/>
      <c r="G362" s="24" t="n">
        <v>1</v>
      </c>
      <c r="H362" s="24" t="n">
        <v>930</v>
      </c>
      <c r="I362" s="88" t="n">
        <v>1</v>
      </c>
      <c r="J362" s="88" t="n">
        <v>930</v>
      </c>
      <c r="K362" s="24" t="n">
        <f aca="false">IF(I362="","—",IFERROR(I362-G362,""))</f>
        <v>0</v>
      </c>
      <c r="L362" s="24" t="n">
        <f aca="false">IF(J362="","—",IFERROR(J362-H362,""))</f>
        <v>0</v>
      </c>
      <c r="M362" s="92"/>
    </row>
    <row r="363" customFormat="false" ht="12.75" hidden="false" customHeight="true" outlineLevel="0" collapsed="false">
      <c r="B363" s="27" t="s">
        <v>530</v>
      </c>
      <c r="C363" s="76" t="s">
        <v>564</v>
      </c>
      <c r="D363" s="76" t="s">
        <v>540</v>
      </c>
      <c r="E363" s="27" t="s">
        <v>18</v>
      </c>
      <c r="F363" s="77"/>
      <c r="G363" s="29" t="n">
        <v>1</v>
      </c>
      <c r="H363" s="29" t="n">
        <v>700</v>
      </c>
      <c r="I363" s="88" t="n">
        <v>1</v>
      </c>
      <c r="J363" s="88" t="n">
        <v>700</v>
      </c>
      <c r="K363" s="29" t="n">
        <f aca="false">IF(I363="","—",IFERROR(I363-G363,""))</f>
        <v>0</v>
      </c>
      <c r="L363" s="29" t="n">
        <f aca="false">IF(J363="","—",IFERROR(J363-H363,""))</f>
        <v>0</v>
      </c>
      <c r="M363" s="93"/>
    </row>
    <row r="364" customFormat="false" ht="12.75" hidden="false" customHeight="true" outlineLevel="0" collapsed="false">
      <c r="B364" s="22" t="s">
        <v>530</v>
      </c>
      <c r="C364" s="22" t="s">
        <v>565</v>
      </c>
      <c r="D364" s="22" t="s">
        <v>534</v>
      </c>
      <c r="E364" s="22" t="s">
        <v>18</v>
      </c>
      <c r="F364" s="80"/>
      <c r="G364" s="24" t="n">
        <v>1</v>
      </c>
      <c r="H364" s="24" t="n">
        <v>622</v>
      </c>
      <c r="I364" s="88" t="n">
        <v>1</v>
      </c>
      <c r="J364" s="88" t="n">
        <v>622</v>
      </c>
      <c r="K364" s="24" t="n">
        <f aca="false">IF(I364="","—",IFERROR(I364-G364,""))</f>
        <v>0</v>
      </c>
      <c r="L364" s="24" t="n">
        <f aca="false">IF(J364="","—",IFERROR(J364-H364,""))</f>
        <v>0</v>
      </c>
      <c r="M364" s="92"/>
    </row>
    <row r="365" customFormat="false" ht="12.75" hidden="false" customHeight="true" outlineLevel="0" collapsed="false">
      <c r="B365" s="27" t="s">
        <v>530</v>
      </c>
      <c r="C365" s="76" t="s">
        <v>566</v>
      </c>
      <c r="D365" s="76" t="s">
        <v>532</v>
      </c>
      <c r="E365" s="27" t="s">
        <v>18</v>
      </c>
      <c r="F365" s="77"/>
      <c r="G365" s="29" t="n">
        <v>1</v>
      </c>
      <c r="H365" s="29" t="n">
        <v>581</v>
      </c>
      <c r="I365" s="88" t="n">
        <v>1</v>
      </c>
      <c r="J365" s="88" t="n">
        <v>581</v>
      </c>
      <c r="K365" s="29" t="n">
        <f aca="false">IF(I365="","—",IFERROR(I365-G365,""))</f>
        <v>0</v>
      </c>
      <c r="L365" s="29" t="n">
        <f aca="false">IF(J365="","—",IFERROR(J365-H365,""))</f>
        <v>0</v>
      </c>
      <c r="M365" s="93"/>
    </row>
    <row r="366" customFormat="false" ht="12.75" hidden="false" customHeight="true" outlineLevel="0" collapsed="false">
      <c r="B366" s="22" t="s">
        <v>530</v>
      </c>
      <c r="C366" s="79" t="s">
        <v>567</v>
      </c>
      <c r="D366" s="79" t="s">
        <v>532</v>
      </c>
      <c r="E366" s="22" t="s">
        <v>18</v>
      </c>
      <c r="F366" s="80"/>
      <c r="G366" s="24" t="n">
        <v>2</v>
      </c>
      <c r="H366" s="24" t="n">
        <v>520</v>
      </c>
      <c r="I366" s="88" t="n">
        <v>2</v>
      </c>
      <c r="J366" s="88" t="n">
        <v>520</v>
      </c>
      <c r="K366" s="24" t="n">
        <f aca="false">IF(I366="","—",IFERROR(I366-G366,""))</f>
        <v>0</v>
      </c>
      <c r="L366" s="24" t="n">
        <f aca="false">IF(J366="","—",IFERROR(J366-H366,""))</f>
        <v>0</v>
      </c>
      <c r="M366" s="92"/>
    </row>
    <row r="367" customFormat="false" ht="12.75" hidden="false" customHeight="true" outlineLevel="0" collapsed="false">
      <c r="B367" s="27" t="s">
        <v>530</v>
      </c>
      <c r="C367" s="76" t="s">
        <v>568</v>
      </c>
      <c r="D367" s="76" t="s">
        <v>547</v>
      </c>
      <c r="E367" s="27" t="s">
        <v>18</v>
      </c>
      <c r="F367" s="77"/>
      <c r="G367" s="29" t="n">
        <v>1</v>
      </c>
      <c r="H367" s="29" t="n">
        <v>426</v>
      </c>
      <c r="I367" s="88" t="n">
        <v>1</v>
      </c>
      <c r="J367" s="88" t="n">
        <v>426</v>
      </c>
      <c r="K367" s="29" t="n">
        <f aca="false">IF(I367="","—",IFERROR(I367-G367,""))</f>
        <v>0</v>
      </c>
      <c r="L367" s="29" t="n">
        <f aca="false">IF(J367="","—",IFERROR(J367-H367,""))</f>
        <v>0</v>
      </c>
      <c r="M367" s="93"/>
    </row>
    <row r="368" customFormat="false" ht="12.75" hidden="false" customHeight="true" outlineLevel="0" collapsed="false">
      <c r="B368" s="22" t="s">
        <v>530</v>
      </c>
      <c r="C368" s="79" t="s">
        <v>569</v>
      </c>
      <c r="D368" s="79" t="s">
        <v>547</v>
      </c>
      <c r="E368" s="22" t="s">
        <v>18</v>
      </c>
      <c r="F368" s="80"/>
      <c r="G368" s="24" t="n">
        <v>1</v>
      </c>
      <c r="H368" s="24" t="n">
        <v>426</v>
      </c>
      <c r="I368" s="88" t="n">
        <v>1</v>
      </c>
      <c r="J368" s="88" t="n">
        <v>426</v>
      </c>
      <c r="K368" s="24" t="n">
        <f aca="false">IF(I368="","—",IFERROR(I368-G368,""))</f>
        <v>0</v>
      </c>
      <c r="L368" s="24" t="n">
        <f aca="false">IF(J368="","—",IFERROR(J368-H368,""))</f>
        <v>0</v>
      </c>
      <c r="M368" s="92"/>
    </row>
    <row r="369" customFormat="false" ht="12.75" hidden="false" customHeight="true" outlineLevel="0" collapsed="false">
      <c r="B369" s="27" t="s">
        <v>530</v>
      </c>
      <c r="C369" s="76" t="s">
        <v>570</v>
      </c>
      <c r="D369" s="76" t="s">
        <v>547</v>
      </c>
      <c r="E369" s="27" t="s">
        <v>18</v>
      </c>
      <c r="F369" s="77"/>
      <c r="G369" s="29" t="n">
        <v>1</v>
      </c>
      <c r="H369" s="29" t="n">
        <v>426</v>
      </c>
      <c r="I369" s="88" t="n">
        <v>1</v>
      </c>
      <c r="J369" s="88" t="n">
        <v>426</v>
      </c>
      <c r="K369" s="29" t="n">
        <f aca="false">IF(I369="","—",IFERROR(I369-G369,""))</f>
        <v>0</v>
      </c>
      <c r="L369" s="29" t="n">
        <f aca="false">IF(J369="","—",IFERROR(J369-H369,""))</f>
        <v>0</v>
      </c>
      <c r="M369" s="93"/>
    </row>
    <row r="370" customFormat="false" ht="12.75" hidden="false" customHeight="true" outlineLevel="0" collapsed="false">
      <c r="B370" s="22" t="s">
        <v>530</v>
      </c>
      <c r="C370" s="79" t="s">
        <v>571</v>
      </c>
      <c r="D370" s="79" t="s">
        <v>572</v>
      </c>
      <c r="E370" s="22" t="s">
        <v>18</v>
      </c>
      <c r="F370" s="80"/>
      <c r="G370" s="24" t="n">
        <v>1</v>
      </c>
      <c r="H370" s="24" t="n">
        <v>246</v>
      </c>
      <c r="I370" s="88" t="n">
        <v>1</v>
      </c>
      <c r="J370" s="88" t="n">
        <v>246</v>
      </c>
      <c r="K370" s="24" t="n">
        <f aca="false">IF(I370="","—",IFERROR(I370-G370,""))</f>
        <v>0</v>
      </c>
      <c r="L370" s="24" t="n">
        <f aca="false">IF(J370="","—",IFERROR(J370-H370,""))</f>
        <v>0</v>
      </c>
      <c r="M370" s="92"/>
    </row>
    <row r="371" customFormat="false" ht="12.75" hidden="false" customHeight="true" outlineLevel="0" collapsed="false">
      <c r="B371" s="27" t="s">
        <v>530</v>
      </c>
      <c r="C371" s="76" t="s">
        <v>573</v>
      </c>
      <c r="D371" s="76" t="s">
        <v>547</v>
      </c>
      <c r="E371" s="27" t="s">
        <v>18</v>
      </c>
      <c r="F371" s="77"/>
      <c r="G371" s="29" t="n">
        <v>1</v>
      </c>
      <c r="H371" s="29" t="n">
        <v>246</v>
      </c>
      <c r="I371" s="88" t="n">
        <v>1</v>
      </c>
      <c r="J371" s="88" t="n">
        <v>246</v>
      </c>
      <c r="K371" s="29" t="n">
        <f aca="false">IF(I371="","—",IFERROR(I371-G371,""))</f>
        <v>0</v>
      </c>
      <c r="L371" s="29" t="n">
        <f aca="false">IF(J371="","—",IFERROR(J371-H371,""))</f>
        <v>0</v>
      </c>
      <c r="M371" s="93"/>
    </row>
    <row r="372" customFormat="false" ht="12.75" hidden="false" customHeight="true" outlineLevel="0" collapsed="false">
      <c r="B372" s="58" t="s">
        <v>530</v>
      </c>
      <c r="C372" s="18" t="s">
        <v>574</v>
      </c>
      <c r="D372" s="18" t="s">
        <v>575</v>
      </c>
      <c r="E372" s="58" t="s">
        <v>18</v>
      </c>
      <c r="F372" s="64"/>
      <c r="G372" s="20" t="n">
        <v>-1</v>
      </c>
      <c r="H372" s="20" t="n">
        <v>-353.4</v>
      </c>
      <c r="I372" s="88" t="n">
        <v>-1</v>
      </c>
      <c r="J372" s="88" t="n">
        <v>-353</v>
      </c>
      <c r="K372" s="20" t="n">
        <f aca="false">IF(I372="","—",IFERROR(I372-G372,""))</f>
        <v>0</v>
      </c>
      <c r="L372" s="20" t="n">
        <f aca="false">IF(J372="","—",IFERROR(J372-H372,""))</f>
        <v>0.399999999999977</v>
      </c>
      <c r="M372" s="89"/>
    </row>
    <row r="373" customFormat="false" ht="12.75" hidden="false" customHeight="true" outlineLevel="0" collapsed="false">
      <c r="B373" s="58" t="s">
        <v>530</v>
      </c>
      <c r="C373" s="18" t="s">
        <v>576</v>
      </c>
      <c r="D373" s="18" t="s">
        <v>575</v>
      </c>
      <c r="E373" s="58" t="s">
        <v>18</v>
      </c>
      <c r="F373" s="64"/>
      <c r="G373" s="20" t="n">
        <v>-1</v>
      </c>
      <c r="H373" s="20" t="n">
        <v>-443.4</v>
      </c>
      <c r="I373" s="88" t="n">
        <v>-1</v>
      </c>
      <c r="J373" s="88" t="n">
        <v>-443</v>
      </c>
      <c r="K373" s="20" t="n">
        <f aca="false">IF(I373="","—",IFERROR(I373-G373,""))</f>
        <v>0</v>
      </c>
      <c r="L373" s="20" t="n">
        <f aca="false">IF(J373="","—",IFERROR(J373-H373,""))</f>
        <v>0.399999999999977</v>
      </c>
      <c r="M373" s="89"/>
    </row>
    <row r="374" customFormat="false" ht="12.75" hidden="false" customHeight="true" outlineLevel="0" collapsed="false">
      <c r="B374" s="66" t="s">
        <v>578</v>
      </c>
      <c r="C374" s="66"/>
      <c r="D374" s="66"/>
      <c r="E374" s="66"/>
      <c r="F374" s="66"/>
      <c r="G374" s="67" t="n">
        <v>767</v>
      </c>
      <c r="H374" s="67" t="n">
        <v>227615.08</v>
      </c>
      <c r="I374" s="90" t="n">
        <v>767</v>
      </c>
      <c r="J374" s="90" t="n">
        <v>227614</v>
      </c>
      <c r="K374" s="90" t="n">
        <v>0</v>
      </c>
      <c r="L374" s="90" t="n">
        <v>-1.08</v>
      </c>
      <c r="M374" s="68"/>
    </row>
    <row r="375" customFormat="false" ht="7.5" hidden="false" customHeight="true" outlineLevel="0" collapsed="false"/>
    <row r="376" customFormat="false" ht="15" hidden="false" customHeight="false" outlineLevel="0" collapsed="false">
      <c r="B376" s="75" t="s">
        <v>579</v>
      </c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</row>
    <row r="377" customFormat="false" ht="12.75" hidden="false" customHeight="true" outlineLevel="0" collapsed="false">
      <c r="B377" s="22" t="s">
        <v>84</v>
      </c>
      <c r="C377" s="79" t="s">
        <v>580</v>
      </c>
      <c r="D377" s="79" t="s">
        <v>86</v>
      </c>
      <c r="E377" s="22" t="s">
        <v>19</v>
      </c>
      <c r="F377" s="80"/>
      <c r="G377" s="24" t="n">
        <v>0</v>
      </c>
      <c r="H377" s="24" t="n">
        <v>0</v>
      </c>
      <c r="I377" s="88" t="n">
        <v>0</v>
      </c>
      <c r="J377" s="88" t="n">
        <v>0</v>
      </c>
      <c r="K377" s="24" t="n">
        <f aca="false">IF(I377="","—",IFERROR(I377-G377,""))</f>
        <v>0</v>
      </c>
      <c r="L377" s="24" t="n">
        <f aca="false">IF(J377="","—",IFERROR(J377-H377,""))</f>
        <v>0</v>
      </c>
      <c r="M377" s="92"/>
    </row>
    <row r="378" customFormat="false" ht="12.75" hidden="false" customHeight="true" outlineLevel="0" collapsed="false">
      <c r="B378" s="27" t="s">
        <v>84</v>
      </c>
      <c r="C378" s="76" t="s">
        <v>581</v>
      </c>
      <c r="D378" s="76" t="s">
        <v>582</v>
      </c>
      <c r="E378" s="27" t="s">
        <v>19</v>
      </c>
      <c r="F378" s="77"/>
      <c r="G378" s="29" t="n">
        <v>1</v>
      </c>
      <c r="H378" s="29" t="n">
        <v>0</v>
      </c>
      <c r="I378" s="88" t="n">
        <v>1</v>
      </c>
      <c r="J378" s="88" t="n">
        <v>0</v>
      </c>
      <c r="K378" s="29" t="n">
        <f aca="false">IF(I378="","—",IFERROR(I378-G378,""))</f>
        <v>0</v>
      </c>
      <c r="L378" s="29" t="n">
        <f aca="false">IF(J378="","—",IFERROR(J378-H378,""))</f>
        <v>0</v>
      </c>
      <c r="M378" s="93"/>
    </row>
    <row r="379" customFormat="false" ht="12.75" hidden="false" customHeight="true" outlineLevel="0" collapsed="false">
      <c r="B379" s="22" t="s">
        <v>126</v>
      </c>
      <c r="C379" s="79" t="s">
        <v>583</v>
      </c>
      <c r="D379" s="79" t="s">
        <v>584</v>
      </c>
      <c r="E379" s="22" t="s">
        <v>19</v>
      </c>
      <c r="F379" s="80"/>
      <c r="G379" s="24" t="n">
        <v>1</v>
      </c>
      <c r="H379" s="24" t="n">
        <v>0</v>
      </c>
      <c r="I379" s="88" t="n">
        <v>1</v>
      </c>
      <c r="J379" s="88" t="n">
        <v>0</v>
      </c>
      <c r="K379" s="24" t="n">
        <f aca="false">IF(I379="","—",IFERROR(I379-G379,""))</f>
        <v>0</v>
      </c>
      <c r="L379" s="24" t="n">
        <f aca="false">IF(J379="","—",IFERROR(J379-H379,""))</f>
        <v>0</v>
      </c>
      <c r="M379" s="92"/>
    </row>
    <row r="380" customFormat="false" ht="12.75" hidden="false" customHeight="true" outlineLevel="0" collapsed="false">
      <c r="B380" s="27" t="s">
        <v>126</v>
      </c>
      <c r="C380" s="76" t="s">
        <v>585</v>
      </c>
      <c r="D380" s="76" t="s">
        <v>86</v>
      </c>
      <c r="E380" s="27" t="s">
        <v>19</v>
      </c>
      <c r="F380" s="77"/>
      <c r="G380" s="29" t="n">
        <v>1</v>
      </c>
      <c r="H380" s="29" t="n">
        <v>0</v>
      </c>
      <c r="I380" s="88" t="n">
        <v>1</v>
      </c>
      <c r="J380" s="88" t="n">
        <v>0</v>
      </c>
      <c r="K380" s="29" t="n">
        <f aca="false">IF(I380="","—",IFERROR(I380-G380,""))</f>
        <v>0</v>
      </c>
      <c r="L380" s="29" t="n">
        <f aca="false">IF(J380="","—",IFERROR(J380-H380,""))</f>
        <v>0</v>
      </c>
      <c r="M380" s="93"/>
    </row>
    <row r="381" customFormat="false" ht="12.75" hidden="false" customHeight="true" outlineLevel="0" collapsed="false">
      <c r="B381" s="22" t="s">
        <v>126</v>
      </c>
      <c r="C381" s="79" t="s">
        <v>586</v>
      </c>
      <c r="D381" s="79" t="s">
        <v>86</v>
      </c>
      <c r="E381" s="22" t="s">
        <v>19</v>
      </c>
      <c r="F381" s="80"/>
      <c r="G381" s="24" t="n">
        <v>1</v>
      </c>
      <c r="H381" s="24" t="n">
        <v>0</v>
      </c>
      <c r="I381" s="88" t="n">
        <v>1</v>
      </c>
      <c r="J381" s="88" t="n">
        <v>0</v>
      </c>
      <c r="K381" s="24" t="n">
        <f aca="false">IF(I381="","—",IFERROR(I381-G381,""))</f>
        <v>0</v>
      </c>
      <c r="L381" s="24" t="n">
        <f aca="false">IF(J381="","—",IFERROR(J381-H381,""))</f>
        <v>0</v>
      </c>
      <c r="M381" s="92"/>
    </row>
    <row r="382" customFormat="false" ht="12.75" hidden="false" customHeight="true" outlineLevel="0" collapsed="false">
      <c r="B382" s="27" t="s">
        <v>126</v>
      </c>
      <c r="C382" s="76" t="s">
        <v>587</v>
      </c>
      <c r="D382" s="76" t="s">
        <v>86</v>
      </c>
      <c r="E382" s="27" t="s">
        <v>19</v>
      </c>
      <c r="F382" s="77"/>
      <c r="G382" s="29" t="n">
        <v>0</v>
      </c>
      <c r="H382" s="29" t="n">
        <v>0</v>
      </c>
      <c r="I382" s="88" t="n">
        <v>0</v>
      </c>
      <c r="J382" s="88" t="n">
        <v>0</v>
      </c>
      <c r="K382" s="29" t="n">
        <f aca="false">IF(I382="","—",IFERROR(I382-G382,""))</f>
        <v>0</v>
      </c>
      <c r="L382" s="29" t="n">
        <f aca="false">IF(J382="","—",IFERROR(J382-H382,""))</f>
        <v>0</v>
      </c>
      <c r="M382" s="93"/>
    </row>
    <row r="383" customFormat="false" ht="12.75" hidden="false" customHeight="true" outlineLevel="0" collapsed="false">
      <c r="B383" s="22" t="s">
        <v>126</v>
      </c>
      <c r="C383" s="79" t="s">
        <v>588</v>
      </c>
      <c r="D383" s="79" t="s">
        <v>86</v>
      </c>
      <c r="E383" s="22" t="s">
        <v>19</v>
      </c>
      <c r="F383" s="80"/>
      <c r="G383" s="24" t="n">
        <v>0</v>
      </c>
      <c r="H383" s="24" t="n">
        <v>0</v>
      </c>
      <c r="I383" s="88" t="n">
        <v>0</v>
      </c>
      <c r="J383" s="88" t="n">
        <v>0</v>
      </c>
      <c r="K383" s="24" t="n">
        <f aca="false">IF(I383="","—",IFERROR(I383-G383,""))</f>
        <v>0</v>
      </c>
      <c r="L383" s="24" t="n">
        <f aca="false">IF(J383="","—",IFERROR(J383-H383,""))</f>
        <v>0</v>
      </c>
      <c r="M383" s="92"/>
    </row>
    <row r="384" customFormat="false" ht="12.75" hidden="false" customHeight="true" outlineLevel="0" collapsed="false">
      <c r="B384" s="27" t="s">
        <v>126</v>
      </c>
      <c r="C384" s="76" t="s">
        <v>589</v>
      </c>
      <c r="D384" s="76" t="s">
        <v>187</v>
      </c>
      <c r="E384" s="27" t="s">
        <v>19</v>
      </c>
      <c r="F384" s="77"/>
      <c r="G384" s="29" t="n">
        <v>1</v>
      </c>
      <c r="H384" s="29" t="n">
        <v>0</v>
      </c>
      <c r="I384" s="88" t="n">
        <v>1</v>
      </c>
      <c r="J384" s="88" t="n">
        <v>0</v>
      </c>
      <c r="K384" s="29" t="n">
        <f aca="false">IF(I384="","—",IFERROR(I384-G384,""))</f>
        <v>0</v>
      </c>
      <c r="L384" s="29" t="n">
        <f aca="false">IF(J384="","—",IFERROR(J384-H384,""))</f>
        <v>0</v>
      </c>
      <c r="M384" s="93"/>
    </row>
    <row r="385" customFormat="false" ht="12.75" hidden="false" customHeight="true" outlineLevel="0" collapsed="false">
      <c r="B385" s="22" t="s">
        <v>126</v>
      </c>
      <c r="C385" s="79" t="s">
        <v>590</v>
      </c>
      <c r="D385" s="79" t="s">
        <v>189</v>
      </c>
      <c r="E385" s="22" t="s">
        <v>19</v>
      </c>
      <c r="F385" s="80"/>
      <c r="G385" s="24" t="n">
        <v>2</v>
      </c>
      <c r="H385" s="24" t="n">
        <v>0</v>
      </c>
      <c r="I385" s="88" t="n">
        <v>2</v>
      </c>
      <c r="J385" s="88" t="n">
        <v>0</v>
      </c>
      <c r="K385" s="24" t="n">
        <f aca="false">IF(I385="","—",IFERROR(I385-G385,""))</f>
        <v>0</v>
      </c>
      <c r="L385" s="24" t="n">
        <f aca="false">IF(J385="","—",IFERROR(J385-H385,""))</f>
        <v>0</v>
      </c>
      <c r="M385" s="92"/>
    </row>
    <row r="386" customFormat="false" ht="12.75" hidden="false" customHeight="true" outlineLevel="0" collapsed="false">
      <c r="B386" s="27" t="s">
        <v>126</v>
      </c>
      <c r="C386" s="76" t="s">
        <v>591</v>
      </c>
      <c r="D386" s="76" t="s">
        <v>189</v>
      </c>
      <c r="E386" s="27" t="s">
        <v>19</v>
      </c>
      <c r="F386" s="77"/>
      <c r="G386" s="29" t="n">
        <v>1</v>
      </c>
      <c r="H386" s="29" t="n">
        <v>0</v>
      </c>
      <c r="I386" s="88" t="n">
        <v>1</v>
      </c>
      <c r="J386" s="88" t="n">
        <v>0</v>
      </c>
      <c r="K386" s="29" t="n">
        <f aca="false">IF(I386="","—",IFERROR(I386-G386,""))</f>
        <v>0</v>
      </c>
      <c r="L386" s="29" t="n">
        <f aca="false">IF(J386="","—",IFERROR(J386-H386,""))</f>
        <v>0</v>
      </c>
      <c r="M386" s="93"/>
    </row>
    <row r="387" customFormat="false" ht="12.75" hidden="false" customHeight="true" outlineLevel="0" collapsed="false">
      <c r="B387" s="22" t="s">
        <v>126</v>
      </c>
      <c r="C387" s="79" t="s">
        <v>592</v>
      </c>
      <c r="D387" s="79" t="s">
        <v>189</v>
      </c>
      <c r="E387" s="22" t="s">
        <v>19</v>
      </c>
      <c r="F387" s="80"/>
      <c r="G387" s="24" t="n">
        <v>1</v>
      </c>
      <c r="H387" s="24" t="n">
        <v>0</v>
      </c>
      <c r="I387" s="88" t="n">
        <v>1</v>
      </c>
      <c r="J387" s="88" t="n">
        <v>0</v>
      </c>
      <c r="K387" s="24" t="n">
        <f aca="false">IF(I387="","—",IFERROR(I387-G387,""))</f>
        <v>0</v>
      </c>
      <c r="L387" s="24" t="n">
        <f aca="false">IF(J387="","—",IFERROR(J387-H387,""))</f>
        <v>0</v>
      </c>
      <c r="M387" s="92"/>
    </row>
    <row r="388" customFormat="false" ht="12.75" hidden="false" customHeight="true" outlineLevel="0" collapsed="false">
      <c r="B388" s="27" t="s">
        <v>126</v>
      </c>
      <c r="C388" s="76" t="s">
        <v>593</v>
      </c>
      <c r="D388" s="76" t="s">
        <v>189</v>
      </c>
      <c r="E388" s="27" t="s">
        <v>19</v>
      </c>
      <c r="F388" s="77"/>
      <c r="G388" s="29" t="n">
        <v>1</v>
      </c>
      <c r="H388" s="29" t="n">
        <v>0</v>
      </c>
      <c r="I388" s="88" t="n">
        <v>1</v>
      </c>
      <c r="J388" s="88" t="n">
        <v>0</v>
      </c>
      <c r="K388" s="29" t="n">
        <f aca="false">IF(I388="","—",IFERROR(I388-G388,""))</f>
        <v>0</v>
      </c>
      <c r="L388" s="29" t="n">
        <f aca="false">IF(J388="","—",IFERROR(J388-H388,""))</f>
        <v>0</v>
      </c>
      <c r="M388" s="93"/>
    </row>
    <row r="389" customFormat="false" ht="12.75" hidden="false" customHeight="true" outlineLevel="0" collapsed="false">
      <c r="B389" s="22" t="s">
        <v>126</v>
      </c>
      <c r="C389" s="79" t="s">
        <v>594</v>
      </c>
      <c r="D389" s="79" t="s">
        <v>189</v>
      </c>
      <c r="E389" s="22" t="s">
        <v>19</v>
      </c>
      <c r="F389" s="80"/>
      <c r="G389" s="24" t="n">
        <v>1</v>
      </c>
      <c r="H389" s="24" t="n">
        <v>0</v>
      </c>
      <c r="I389" s="88" t="n">
        <v>1</v>
      </c>
      <c r="J389" s="88" t="n">
        <v>0</v>
      </c>
      <c r="K389" s="24" t="n">
        <f aca="false">IF(I389="","—",IFERROR(I389-G389,""))</f>
        <v>0</v>
      </c>
      <c r="L389" s="24" t="n">
        <f aca="false">IF(J389="","—",IFERROR(J389-H389,""))</f>
        <v>0</v>
      </c>
      <c r="M389" s="92"/>
    </row>
    <row r="390" customFormat="false" ht="12.75" hidden="false" customHeight="true" outlineLevel="0" collapsed="false">
      <c r="B390" s="27" t="s">
        <v>126</v>
      </c>
      <c r="C390" s="76" t="s">
        <v>595</v>
      </c>
      <c r="D390" s="76" t="s">
        <v>596</v>
      </c>
      <c r="E390" s="27" t="s">
        <v>19</v>
      </c>
      <c r="F390" s="77"/>
      <c r="G390" s="29" t="n">
        <v>1</v>
      </c>
      <c r="H390" s="29" t="n">
        <v>0</v>
      </c>
      <c r="I390" s="88" t="n">
        <v>1</v>
      </c>
      <c r="J390" s="88" t="n">
        <v>0</v>
      </c>
      <c r="K390" s="29" t="n">
        <f aca="false">IF(I390="","—",IFERROR(I390-G390,""))</f>
        <v>0</v>
      </c>
      <c r="L390" s="29" t="n">
        <f aca="false">IF(J390="","—",IFERROR(J390-H390,""))</f>
        <v>0</v>
      </c>
      <c r="M390" s="93"/>
    </row>
    <row r="391" customFormat="false" ht="12.75" hidden="false" customHeight="true" outlineLevel="0" collapsed="false">
      <c r="B391" s="22" t="s">
        <v>126</v>
      </c>
      <c r="C391" s="79" t="s">
        <v>597</v>
      </c>
      <c r="D391" s="79" t="s">
        <v>596</v>
      </c>
      <c r="E391" s="22" t="s">
        <v>19</v>
      </c>
      <c r="F391" s="80"/>
      <c r="G391" s="24" t="n">
        <v>1</v>
      </c>
      <c r="H391" s="24" t="n">
        <v>0</v>
      </c>
      <c r="I391" s="88" t="n">
        <v>1</v>
      </c>
      <c r="J391" s="88" t="n">
        <v>0</v>
      </c>
      <c r="K391" s="24" t="n">
        <f aca="false">IF(I391="","—",IFERROR(I391-G391,""))</f>
        <v>0</v>
      </c>
      <c r="L391" s="24" t="n">
        <f aca="false">IF(J391="","—",IFERROR(J391-H391,""))</f>
        <v>0</v>
      </c>
      <c r="M391" s="92"/>
    </row>
    <row r="392" customFormat="false" ht="12.75" hidden="false" customHeight="true" outlineLevel="0" collapsed="false">
      <c r="B392" s="27" t="s">
        <v>126</v>
      </c>
      <c r="C392" s="76" t="s">
        <v>598</v>
      </c>
      <c r="D392" s="76" t="s">
        <v>134</v>
      </c>
      <c r="E392" s="27" t="s">
        <v>19</v>
      </c>
      <c r="F392" s="77"/>
      <c r="G392" s="29" t="n">
        <v>1</v>
      </c>
      <c r="H392" s="29" t="n">
        <v>0</v>
      </c>
      <c r="I392" s="88" t="n">
        <v>1</v>
      </c>
      <c r="J392" s="88" t="n">
        <v>0</v>
      </c>
      <c r="K392" s="29" t="n">
        <f aca="false">IF(I392="","—",IFERROR(I392-G392,""))</f>
        <v>0</v>
      </c>
      <c r="L392" s="29" t="n">
        <f aca="false">IF(J392="","—",IFERROR(J392-H392,""))</f>
        <v>0</v>
      </c>
      <c r="M392" s="93"/>
    </row>
    <row r="393" customFormat="false" ht="12.75" hidden="false" customHeight="true" outlineLevel="0" collapsed="false">
      <c r="B393" s="22" t="s">
        <v>126</v>
      </c>
      <c r="C393" s="22" t="s">
        <v>599</v>
      </c>
      <c r="D393" s="22" t="s">
        <v>600</v>
      </c>
      <c r="E393" s="22" t="s">
        <v>19</v>
      </c>
      <c r="F393" s="80"/>
      <c r="G393" s="24" t="n">
        <v>1</v>
      </c>
      <c r="H393" s="24" t="n">
        <v>0</v>
      </c>
      <c r="I393" s="88" t="n">
        <v>1</v>
      </c>
      <c r="J393" s="88" t="n">
        <v>0</v>
      </c>
      <c r="K393" s="24" t="n">
        <f aca="false">IF(I393="","—",IFERROR(I393-G393,""))</f>
        <v>0</v>
      </c>
      <c r="L393" s="24" t="n">
        <f aca="false">IF(J393="","—",IFERROR(J393-H393,""))</f>
        <v>0</v>
      </c>
      <c r="M393" s="92"/>
    </row>
    <row r="394" customFormat="false" ht="12.75" hidden="false" customHeight="true" outlineLevel="0" collapsed="false">
      <c r="B394" s="27" t="s">
        <v>153</v>
      </c>
      <c r="C394" s="27" t="s">
        <v>601</v>
      </c>
      <c r="D394" s="27" t="s">
        <v>600</v>
      </c>
      <c r="E394" s="27" t="s">
        <v>19</v>
      </c>
      <c r="F394" s="77"/>
      <c r="G394" s="29" t="n">
        <v>1</v>
      </c>
      <c r="H394" s="29" t="n">
        <v>0</v>
      </c>
      <c r="I394" s="88" t="n">
        <v>1</v>
      </c>
      <c r="J394" s="88" t="n">
        <v>0</v>
      </c>
      <c r="K394" s="29" t="n">
        <f aca="false">IF(I394="","—",IFERROR(I394-G394,""))</f>
        <v>0</v>
      </c>
      <c r="L394" s="29" t="n">
        <f aca="false">IF(J394="","—",IFERROR(J394-H394,""))</f>
        <v>0</v>
      </c>
      <c r="M394" s="93"/>
    </row>
    <row r="395" customFormat="false" ht="12.75" hidden="false" customHeight="true" outlineLevel="0" collapsed="false">
      <c r="B395" s="22" t="s">
        <v>361</v>
      </c>
      <c r="C395" s="79" t="s">
        <v>602</v>
      </c>
      <c r="D395" s="79" t="s">
        <v>363</v>
      </c>
      <c r="E395" s="22" t="s">
        <v>19</v>
      </c>
      <c r="F395" s="80"/>
      <c r="G395" s="24" t="n">
        <v>1</v>
      </c>
      <c r="H395" s="24" t="n">
        <v>0</v>
      </c>
      <c r="I395" s="88" t="n">
        <v>1</v>
      </c>
      <c r="J395" s="88" t="n">
        <v>0</v>
      </c>
      <c r="K395" s="24" t="n">
        <f aca="false">IF(I395="","—",IFERROR(I395-G395,""))</f>
        <v>0</v>
      </c>
      <c r="L395" s="24" t="n">
        <f aca="false">IF(J395="","—",IFERROR(J395-H395,""))</f>
        <v>0</v>
      </c>
      <c r="M395" s="92"/>
    </row>
    <row r="396" customFormat="false" ht="12.75" hidden="false" customHeight="true" outlineLevel="0" collapsed="false">
      <c r="B396" s="27" t="s">
        <v>361</v>
      </c>
      <c r="C396" s="76" t="s">
        <v>603</v>
      </c>
      <c r="D396" s="76" t="s">
        <v>363</v>
      </c>
      <c r="E396" s="27" t="s">
        <v>19</v>
      </c>
      <c r="F396" s="77"/>
      <c r="G396" s="29" t="n">
        <v>1</v>
      </c>
      <c r="H396" s="29" t="n">
        <v>0</v>
      </c>
      <c r="I396" s="88" t="n">
        <v>1</v>
      </c>
      <c r="J396" s="88" t="n">
        <v>0</v>
      </c>
      <c r="K396" s="29" t="n">
        <f aca="false">IF(I396="","—",IFERROR(I396-G396,""))</f>
        <v>0</v>
      </c>
      <c r="L396" s="29" t="n">
        <f aca="false">IF(J396="","—",IFERROR(J396-H396,""))</f>
        <v>0</v>
      </c>
      <c r="M396" s="93"/>
    </row>
    <row r="397" customFormat="false" ht="12.75" hidden="false" customHeight="true" outlineLevel="0" collapsed="false">
      <c r="B397" s="22" t="s">
        <v>361</v>
      </c>
      <c r="C397" s="79" t="s">
        <v>604</v>
      </c>
      <c r="D397" s="79" t="s">
        <v>363</v>
      </c>
      <c r="E397" s="22" t="s">
        <v>19</v>
      </c>
      <c r="F397" s="80"/>
      <c r="G397" s="24" t="n">
        <v>1</v>
      </c>
      <c r="H397" s="24" t="n">
        <v>0</v>
      </c>
      <c r="I397" s="88" t="n">
        <v>1</v>
      </c>
      <c r="J397" s="88" t="n">
        <v>0</v>
      </c>
      <c r="K397" s="24" t="n">
        <f aca="false">IF(I397="","—",IFERROR(I397-G397,""))</f>
        <v>0</v>
      </c>
      <c r="L397" s="24" t="n">
        <f aca="false">IF(J397="","—",IFERROR(J397-H397,""))</f>
        <v>0</v>
      </c>
      <c r="M397" s="92"/>
    </row>
    <row r="398" customFormat="false" ht="12.75" hidden="false" customHeight="true" outlineLevel="0" collapsed="false">
      <c r="B398" s="66" t="s">
        <v>605</v>
      </c>
      <c r="C398" s="66"/>
      <c r="D398" s="66"/>
      <c r="E398" s="66"/>
      <c r="F398" s="66"/>
      <c r="G398" s="67" t="n">
        <v>19</v>
      </c>
      <c r="H398" s="67" t="n">
        <v>0</v>
      </c>
      <c r="I398" s="90" t="n">
        <v>19</v>
      </c>
      <c r="J398" s="90" t="n">
        <v>0</v>
      </c>
      <c r="K398" s="90" t="n">
        <v>0</v>
      </c>
      <c r="L398" s="90" t="n">
        <v>0</v>
      </c>
      <c r="M398" s="68"/>
    </row>
    <row r="399" customFormat="false" ht="7.5" hidden="false" customHeight="true" outlineLevel="0" collapsed="false"/>
    <row r="400" customFormat="false" ht="15" hidden="false" customHeight="false" outlineLevel="0" collapsed="false">
      <c r="B400" s="75" t="s">
        <v>606</v>
      </c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</row>
    <row r="401" customFormat="false" ht="12.75" hidden="false" customHeight="true" outlineLevel="0" collapsed="false">
      <c r="B401" s="27" t="s">
        <v>393</v>
      </c>
      <c r="C401" s="27" t="s">
        <v>607</v>
      </c>
      <c r="D401" s="27"/>
      <c r="E401" s="27"/>
      <c r="F401" s="77"/>
      <c r="G401" s="29" t="n">
        <v>2</v>
      </c>
      <c r="H401" s="29" t="n">
        <v>0</v>
      </c>
      <c r="I401" s="94"/>
      <c r="J401" s="94"/>
      <c r="K401" s="29" t="str">
        <f aca="false">IF(I401="","—",IFERROR(I401-G401,""))</f>
        <v>—</v>
      </c>
      <c r="L401" s="29" t="str">
        <f aca="false">IF(J401="","—",IFERROR(J401-H401,""))</f>
        <v>—</v>
      </c>
      <c r="M401" s="93"/>
    </row>
    <row r="402" customFormat="false" ht="12.75" hidden="false" customHeight="true" outlineLevel="0" collapsed="false">
      <c r="B402" s="22" t="s">
        <v>153</v>
      </c>
      <c r="C402" s="79" t="s">
        <v>609</v>
      </c>
      <c r="D402" s="79" t="s">
        <v>610</v>
      </c>
      <c r="E402" s="22"/>
      <c r="F402" s="80"/>
      <c r="G402" s="24" t="n">
        <v>0</v>
      </c>
      <c r="H402" s="24" t="n">
        <v>0</v>
      </c>
      <c r="I402" s="88" t="n">
        <v>0</v>
      </c>
      <c r="J402" s="88" t="n">
        <v>0</v>
      </c>
      <c r="K402" s="24" t="n">
        <f aca="false">IF(I402="","—",IFERROR(I402-G402,""))</f>
        <v>0</v>
      </c>
      <c r="L402" s="24" t="n">
        <f aca="false">IF(J402="","—",IFERROR(J402-H402,""))</f>
        <v>0</v>
      </c>
      <c r="M402" s="92"/>
    </row>
    <row r="403" customFormat="false" ht="12.75" hidden="false" customHeight="true" outlineLevel="0" collapsed="false">
      <c r="B403" s="66" t="s">
        <v>611</v>
      </c>
      <c r="C403" s="66"/>
      <c r="D403" s="66"/>
      <c r="E403" s="66"/>
      <c r="F403" s="66"/>
      <c r="G403" s="67" t="n">
        <v>2</v>
      </c>
      <c r="H403" s="67" t="n">
        <v>0</v>
      </c>
      <c r="I403" s="90" t="n">
        <v>0</v>
      </c>
      <c r="J403" s="90" t="n">
        <v>0</v>
      </c>
      <c r="K403" s="90" t="n">
        <v>-2</v>
      </c>
      <c r="L403" s="90" t="n">
        <v>0</v>
      </c>
      <c r="M403" s="68"/>
    </row>
    <row r="404" customFormat="false" ht="7.5" hidden="false" customHeight="true" outlineLevel="0" collapsed="false"/>
    <row r="405" customFormat="false" ht="15" hidden="false" customHeight="false" outlineLevel="0" collapsed="false">
      <c r="B405" s="75" t="s">
        <v>612</v>
      </c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</row>
    <row r="406" customFormat="false" ht="12.75" hidden="false" customHeight="true" outlineLevel="0" collapsed="false">
      <c r="B406" s="27" t="s">
        <v>279</v>
      </c>
      <c r="C406" s="76" t="s">
        <v>613</v>
      </c>
      <c r="D406" s="76" t="s">
        <v>371</v>
      </c>
      <c r="E406" s="27" t="s">
        <v>614</v>
      </c>
      <c r="F406" s="77"/>
      <c r="G406" s="29" t="n">
        <v>0</v>
      </c>
      <c r="H406" s="29" t="n">
        <v>0</v>
      </c>
      <c r="I406" s="88" t="n">
        <v>0</v>
      </c>
      <c r="J406" s="88" t="n">
        <v>0</v>
      </c>
      <c r="K406" s="29" t="n">
        <f aca="false">IF(I406="","—",IFERROR(I406-G406,""))</f>
        <v>0</v>
      </c>
      <c r="L406" s="29" t="n">
        <f aca="false">IF(J406="","—",IFERROR(J406-H406,""))</f>
        <v>0</v>
      </c>
      <c r="M406" s="93"/>
    </row>
    <row r="407" customFormat="false" ht="15" hidden="false" customHeight="false" outlineLevel="0" collapsed="false">
      <c r="B407" s="66" t="s">
        <v>615</v>
      </c>
      <c r="C407" s="66"/>
      <c r="D407" s="66"/>
      <c r="E407" s="66"/>
      <c r="F407" s="66"/>
      <c r="G407" s="67" t="n">
        <v>0</v>
      </c>
      <c r="H407" s="67" t="n">
        <v>0</v>
      </c>
      <c r="I407" s="90" t="n">
        <v>0</v>
      </c>
      <c r="J407" s="90" t="n">
        <v>0</v>
      </c>
      <c r="K407" s="90" t="n">
        <v>0</v>
      </c>
      <c r="L407" s="90" t="n">
        <v>0</v>
      </c>
      <c r="M407" s="68"/>
    </row>
    <row r="408" customFormat="false" ht="13.5" hidden="false" customHeight="true" outlineLevel="0" collapsed="false">
      <c r="B408" s="33" t="s">
        <v>616</v>
      </c>
      <c r="C408" s="33"/>
      <c r="D408" s="33"/>
      <c r="E408" s="33"/>
      <c r="F408" s="33"/>
      <c r="G408" s="35" t="n">
        <v>3668</v>
      </c>
      <c r="H408" s="35" t="n">
        <v>4492177.87</v>
      </c>
      <c r="I408" s="34" t="n">
        <v>3575</v>
      </c>
      <c r="J408" s="34" t="n">
        <v>4415420</v>
      </c>
      <c r="K408" s="34" t="n">
        <v>-93</v>
      </c>
      <c r="L408" s="34" t="n">
        <v>-76757.87</v>
      </c>
      <c r="M408" s="37"/>
    </row>
    <row r="410" customFormat="false" ht="10.5" hidden="false" customHeight="true" outlineLevel="0" collapsed="false">
      <c r="B410" s="52" t="s">
        <v>628</v>
      </c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</row>
    <row r="411" customFormat="false" ht="15" hidden="false" customHeight="false" outlineLevel="0" collapsed="false">
      <c r="B411" s="50" t="s">
        <v>629</v>
      </c>
    </row>
  </sheetData>
  <mergeCells count="25">
    <mergeCell ref="B2:M2"/>
    <mergeCell ref="B3:M3"/>
    <mergeCell ref="B5:M5"/>
    <mergeCell ref="B8:M8"/>
    <mergeCell ref="B72:F72"/>
    <mergeCell ref="B74:M74"/>
    <mergeCell ref="B111:F111"/>
    <mergeCell ref="B113:M113"/>
    <mergeCell ref="B118:F118"/>
    <mergeCell ref="B120:M120"/>
    <mergeCell ref="B209:F209"/>
    <mergeCell ref="B211:M211"/>
    <mergeCell ref="B237:F237"/>
    <mergeCell ref="B239:M239"/>
    <mergeCell ref="B246:F246"/>
    <mergeCell ref="B248:M248"/>
    <mergeCell ref="B374:F374"/>
    <mergeCell ref="B376:M376"/>
    <mergeCell ref="B398:F398"/>
    <mergeCell ref="B400:M400"/>
    <mergeCell ref="B403:F403"/>
    <mergeCell ref="B405:M405"/>
    <mergeCell ref="B407:F407"/>
    <mergeCell ref="B408:F408"/>
    <mergeCell ref="B410:M4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1A1A"/>
    <pageSetUpPr fitToPage="false"/>
  </sheetPr>
  <dimension ref="B1:O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4" min="3" style="0" width="9"/>
    <col collapsed="false" customWidth="true" hidden="false" outlineLevel="0" max="5" min="5" style="0" width="6"/>
    <col collapsed="false" customWidth="true" hidden="false" outlineLevel="0" max="6" min="6" style="0" width="10"/>
    <col collapsed="false" customWidth="true" hidden="false" outlineLevel="0" max="7" min="7" style="0" width="6"/>
    <col collapsed="false" customWidth="true" hidden="false" outlineLevel="0" max="8" min="8" style="0" width="10"/>
    <col collapsed="false" customWidth="true" hidden="false" outlineLevel="0" max="9" min="9" style="0" width="6"/>
    <col collapsed="false" customWidth="true" hidden="false" outlineLevel="0" max="12" min="10" style="0" width="10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8"/>
    <col collapsed="false" customWidth="true" hidden="false" outlineLevel="0" max="16" min="16" style="0" width="2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" t="s">
        <v>630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3.5" hidden="false" customHeight="true" outlineLevel="0" collapsed="false">
      <c r="B3" s="2" t="s">
        <v>631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7.5" hidden="false" customHeight="true" outlineLevel="0" collapsed="false"/>
    <row r="5" customFormat="false" ht="18" hidden="false" customHeight="true" outlineLevel="0" collapsed="false">
      <c r="B5" s="95" t="s">
        <v>632</v>
      </c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</row>
    <row r="6" customFormat="false" ht="13.5" hidden="false" customHeight="true" outlineLevel="0" collapsed="false">
      <c r="B6" s="96" t="s">
        <v>633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</row>
    <row r="7" customFormat="false" ht="7.5" hidden="false" customHeight="true" outlineLevel="0" collapsed="false"/>
    <row r="8" customFormat="false" ht="30" hidden="false" customHeight="true" outlineLevel="0" collapsed="false">
      <c r="B8" s="54" t="s">
        <v>634</v>
      </c>
      <c r="C8" s="53" t="s">
        <v>45</v>
      </c>
      <c r="D8" s="53" t="s">
        <v>47</v>
      </c>
      <c r="E8" s="97" t="s">
        <v>635</v>
      </c>
      <c r="F8" s="97" t="s">
        <v>636</v>
      </c>
      <c r="G8" s="98" t="s">
        <v>637</v>
      </c>
      <c r="H8" s="98" t="s">
        <v>638</v>
      </c>
      <c r="I8" s="56" t="s">
        <v>639</v>
      </c>
      <c r="J8" s="56" t="s">
        <v>640</v>
      </c>
      <c r="K8" s="97" t="s">
        <v>641</v>
      </c>
      <c r="L8" s="97" t="s">
        <v>642</v>
      </c>
      <c r="M8" s="56" t="s">
        <v>643</v>
      </c>
      <c r="N8" s="97" t="s">
        <v>644</v>
      </c>
      <c r="O8" s="56" t="s">
        <v>645</v>
      </c>
    </row>
    <row r="9" customFormat="false" ht="15.75" hidden="false" customHeight="true" outlineLevel="0" collapsed="false">
      <c r="B9" s="99" t="s">
        <v>646</v>
      </c>
      <c r="C9" s="99"/>
      <c r="D9" s="99"/>
      <c r="E9" s="100"/>
      <c r="F9" s="100"/>
      <c r="G9" s="100"/>
      <c r="H9" s="100"/>
      <c r="I9" s="100"/>
      <c r="J9" s="100"/>
      <c r="K9" s="101" t="n">
        <f aca="false">SUM(K10:K49)</f>
        <v>0</v>
      </c>
      <c r="L9" s="100"/>
      <c r="M9" s="100"/>
      <c r="N9" s="101" t="n">
        <f aca="false">SUM(N10:N49)</f>
        <v>0</v>
      </c>
      <c r="O9" s="100"/>
    </row>
    <row r="10" customFormat="false" ht="12.75" hidden="false" customHeight="true" outlineLevel="0" collapsed="false">
      <c r="B10" s="76" t="s">
        <v>127</v>
      </c>
      <c r="C10" s="27" t="s">
        <v>126</v>
      </c>
      <c r="D10" s="76" t="s">
        <v>91</v>
      </c>
      <c r="E10" s="29" t="n">
        <v>2</v>
      </c>
      <c r="F10" s="29" t="n">
        <v>48800</v>
      </c>
      <c r="G10" s="78" t="n">
        <v>2</v>
      </c>
      <c r="H10" s="78" t="n">
        <v>48800</v>
      </c>
      <c r="I10" s="29" t="n">
        <f aca="false">IF(G10="","—",IFERROR(E10-G10,""))</f>
        <v>0</v>
      </c>
      <c r="J10" s="29" t="n">
        <f aca="false">IF(H10="","—",IFERROR(F10-H10,""))</f>
        <v>0</v>
      </c>
      <c r="K10" s="94"/>
      <c r="L10" s="94"/>
      <c r="M10" s="102" t="str">
        <f aca="false">IFERROR(L10/K10,"—")</f>
        <v>—</v>
      </c>
      <c r="N10" s="94"/>
      <c r="O10" s="78"/>
    </row>
    <row r="11" customFormat="false" ht="12.75" hidden="false" customHeight="true" outlineLevel="0" collapsed="false">
      <c r="B11" s="79" t="s">
        <v>128</v>
      </c>
      <c r="C11" s="22" t="s">
        <v>126</v>
      </c>
      <c r="D11" s="79" t="s">
        <v>91</v>
      </c>
      <c r="E11" s="24" t="n">
        <v>2</v>
      </c>
      <c r="F11" s="24" t="n">
        <v>48800</v>
      </c>
      <c r="G11" s="81" t="n">
        <v>2</v>
      </c>
      <c r="H11" s="81" t="n">
        <v>48800</v>
      </c>
      <c r="I11" s="24" t="n">
        <f aca="false">IF(G11="","—",IFERROR(E11-G11,""))</f>
        <v>0</v>
      </c>
      <c r="J11" s="24" t="n">
        <f aca="false">IF(H11="","—",IFERROR(F11-H11,""))</f>
        <v>0</v>
      </c>
      <c r="K11" s="94"/>
      <c r="L11" s="94"/>
      <c r="M11" s="103" t="str">
        <f aca="false">IFERROR(L11/K11,"—")</f>
        <v>—</v>
      </c>
      <c r="N11" s="94"/>
      <c r="O11" s="81"/>
    </row>
    <row r="12" customFormat="false" ht="12.75" hidden="false" customHeight="true" outlineLevel="0" collapsed="false">
      <c r="B12" s="76" t="s">
        <v>129</v>
      </c>
      <c r="C12" s="27" t="s">
        <v>126</v>
      </c>
      <c r="D12" s="76" t="s">
        <v>91</v>
      </c>
      <c r="E12" s="29" t="n">
        <v>2</v>
      </c>
      <c r="F12" s="29" t="n">
        <v>48800</v>
      </c>
      <c r="G12" s="78" t="n">
        <v>2</v>
      </c>
      <c r="H12" s="78" t="n">
        <v>48800</v>
      </c>
      <c r="I12" s="29" t="n">
        <f aca="false">IF(G12="","—",IFERROR(E12-G12,""))</f>
        <v>0</v>
      </c>
      <c r="J12" s="29" t="n">
        <f aca="false">IF(H12="","—",IFERROR(F12-H12,""))</f>
        <v>0</v>
      </c>
      <c r="K12" s="94"/>
      <c r="L12" s="94"/>
      <c r="M12" s="102" t="str">
        <f aca="false">IFERROR(L12/K12,"—")</f>
        <v>—</v>
      </c>
      <c r="N12" s="94"/>
      <c r="O12" s="78"/>
    </row>
    <row r="13" customFormat="false" ht="12.75" hidden="false" customHeight="true" outlineLevel="0" collapsed="false">
      <c r="B13" s="79" t="s">
        <v>110</v>
      </c>
      <c r="C13" s="22" t="s">
        <v>109</v>
      </c>
      <c r="D13" s="79" t="s">
        <v>111</v>
      </c>
      <c r="E13" s="24" t="n">
        <v>15</v>
      </c>
      <c r="F13" s="24" t="n">
        <v>42000</v>
      </c>
      <c r="G13" s="81" t="n">
        <v>15</v>
      </c>
      <c r="H13" s="81" t="n">
        <v>42000</v>
      </c>
      <c r="I13" s="24" t="n">
        <f aca="false">IF(G13="","—",IFERROR(E13-G13,""))</f>
        <v>0</v>
      </c>
      <c r="J13" s="24" t="n">
        <f aca="false">IF(H13="","—",IFERROR(F13-H13,""))</f>
        <v>0</v>
      </c>
      <c r="K13" s="94"/>
      <c r="L13" s="94"/>
      <c r="M13" s="103" t="str">
        <f aca="false">IFERROR(L13/K13,"—")</f>
        <v>—</v>
      </c>
      <c r="N13" s="94"/>
      <c r="O13" s="81"/>
    </row>
    <row r="14" customFormat="false" ht="12.75" hidden="false" customHeight="true" outlineLevel="0" collapsed="false">
      <c r="B14" s="76" t="s">
        <v>130</v>
      </c>
      <c r="C14" s="27" t="s">
        <v>126</v>
      </c>
      <c r="D14" s="76" t="s">
        <v>86</v>
      </c>
      <c r="E14" s="29" t="n">
        <v>1</v>
      </c>
      <c r="F14" s="29" t="n">
        <v>38000</v>
      </c>
      <c r="G14" s="78" t="n">
        <v>1</v>
      </c>
      <c r="H14" s="78" t="n">
        <v>38000</v>
      </c>
      <c r="I14" s="29" t="n">
        <f aca="false">IF(G14="","—",IFERROR(E14-G14,""))</f>
        <v>0</v>
      </c>
      <c r="J14" s="29" t="n">
        <f aca="false">IF(H14="","—",IFERROR(F14-H14,""))</f>
        <v>0</v>
      </c>
      <c r="K14" s="94"/>
      <c r="L14" s="94"/>
      <c r="M14" s="102" t="str">
        <f aca="false">IFERROR(L14/K14,"—")</f>
        <v>—</v>
      </c>
      <c r="N14" s="94"/>
      <c r="O14" s="78"/>
    </row>
    <row r="15" customFormat="false" ht="12.75" hidden="false" customHeight="true" outlineLevel="0" collapsed="false">
      <c r="B15" s="79" t="s">
        <v>88</v>
      </c>
      <c r="C15" s="22" t="s">
        <v>84</v>
      </c>
      <c r="D15" s="79" t="s">
        <v>89</v>
      </c>
      <c r="E15" s="24" t="n">
        <v>1</v>
      </c>
      <c r="F15" s="24" t="n">
        <v>33996</v>
      </c>
      <c r="G15" s="81" t="n">
        <v>1</v>
      </c>
      <c r="H15" s="81" t="n">
        <v>33996</v>
      </c>
      <c r="I15" s="24" t="n">
        <f aca="false">IF(G15="","—",IFERROR(E15-G15,""))</f>
        <v>0</v>
      </c>
      <c r="J15" s="24" t="n">
        <f aca="false">IF(H15="","—",IFERROR(F15-H15,""))</f>
        <v>0</v>
      </c>
      <c r="K15" s="94"/>
      <c r="L15" s="94"/>
      <c r="M15" s="103" t="str">
        <f aca="false">IFERROR(L15/K15,"—")</f>
        <v>—</v>
      </c>
      <c r="N15" s="94"/>
      <c r="O15" s="81"/>
    </row>
    <row r="16" customFormat="false" ht="12.75" hidden="false" customHeight="true" outlineLevel="0" collapsed="false">
      <c r="B16" s="76" t="s">
        <v>90</v>
      </c>
      <c r="C16" s="27" t="s">
        <v>84</v>
      </c>
      <c r="D16" s="76" t="s">
        <v>91</v>
      </c>
      <c r="E16" s="29" t="n">
        <v>1</v>
      </c>
      <c r="F16" s="29" t="n">
        <v>33916</v>
      </c>
      <c r="G16" s="78" t="n">
        <v>1</v>
      </c>
      <c r="H16" s="78" t="n">
        <v>33916</v>
      </c>
      <c r="I16" s="29" t="n">
        <f aca="false">IF(G16="","—",IFERROR(E16-G16,""))</f>
        <v>0</v>
      </c>
      <c r="J16" s="29" t="n">
        <f aca="false">IF(H16="","—",IFERROR(F16-H16,""))</f>
        <v>0</v>
      </c>
      <c r="K16" s="94"/>
      <c r="L16" s="94"/>
      <c r="M16" s="102" t="str">
        <f aca="false">IFERROR(L16/K16,"—")</f>
        <v>—</v>
      </c>
      <c r="N16" s="94"/>
      <c r="O16" s="78"/>
    </row>
    <row r="17" customFormat="false" ht="12.75" hidden="false" customHeight="true" outlineLevel="0" collapsed="false">
      <c r="B17" s="79" t="s">
        <v>131</v>
      </c>
      <c r="C17" s="22" t="s">
        <v>126</v>
      </c>
      <c r="D17" s="79" t="s">
        <v>132</v>
      </c>
      <c r="E17" s="24" t="n">
        <v>1</v>
      </c>
      <c r="F17" s="24" t="n">
        <v>32760</v>
      </c>
      <c r="G17" s="81" t="n">
        <v>1</v>
      </c>
      <c r="H17" s="81" t="n">
        <v>32760</v>
      </c>
      <c r="I17" s="24" t="n">
        <f aca="false">IF(G17="","—",IFERROR(E17-G17,""))</f>
        <v>0</v>
      </c>
      <c r="J17" s="24" t="n">
        <f aca="false">IF(H17="","—",IFERROR(F17-H17,""))</f>
        <v>0</v>
      </c>
      <c r="K17" s="94"/>
      <c r="L17" s="94"/>
      <c r="M17" s="103" t="str">
        <f aca="false">IFERROR(L17/K17,"—")</f>
        <v>—</v>
      </c>
      <c r="N17" s="94"/>
      <c r="O17" s="81"/>
    </row>
    <row r="18" customFormat="false" ht="12.75" hidden="false" customHeight="true" outlineLevel="0" collapsed="false">
      <c r="B18" s="76" t="s">
        <v>92</v>
      </c>
      <c r="C18" s="27" t="s">
        <v>84</v>
      </c>
      <c r="D18" s="76" t="s">
        <v>91</v>
      </c>
      <c r="E18" s="29" t="n">
        <v>1</v>
      </c>
      <c r="F18" s="29" t="n">
        <v>31500</v>
      </c>
      <c r="G18" s="78" t="n">
        <v>1</v>
      </c>
      <c r="H18" s="78" t="n">
        <v>31500</v>
      </c>
      <c r="I18" s="29" t="n">
        <f aca="false">IF(G18="","—",IFERROR(E18-G18,""))</f>
        <v>0</v>
      </c>
      <c r="J18" s="29" t="n">
        <f aca="false">IF(H18="","—",IFERROR(F18-H18,""))</f>
        <v>0</v>
      </c>
      <c r="K18" s="94"/>
      <c r="L18" s="94"/>
      <c r="M18" s="102" t="str">
        <f aca="false">IFERROR(L18/K18,"—")</f>
        <v>—</v>
      </c>
      <c r="N18" s="94"/>
      <c r="O18" s="78"/>
    </row>
    <row r="19" customFormat="false" ht="12.75" hidden="false" customHeight="true" outlineLevel="0" collapsed="false">
      <c r="B19" s="79" t="s">
        <v>93</v>
      </c>
      <c r="C19" s="22" t="s">
        <v>84</v>
      </c>
      <c r="D19" s="79" t="s">
        <v>91</v>
      </c>
      <c r="E19" s="24" t="n">
        <v>1</v>
      </c>
      <c r="F19" s="24" t="n">
        <v>31500</v>
      </c>
      <c r="G19" s="81" t="n">
        <v>1</v>
      </c>
      <c r="H19" s="81" t="n">
        <v>31500</v>
      </c>
      <c r="I19" s="24" t="n">
        <f aca="false">IF(G19="","—",IFERROR(E19-G19,""))</f>
        <v>0</v>
      </c>
      <c r="J19" s="24" t="n">
        <f aca="false">IF(H19="","—",IFERROR(F19-H19,""))</f>
        <v>0</v>
      </c>
      <c r="K19" s="94"/>
      <c r="L19" s="94"/>
      <c r="M19" s="103" t="str">
        <f aca="false">IFERROR(L19/K19,"—")</f>
        <v>—</v>
      </c>
      <c r="N19" s="94"/>
      <c r="O19" s="81"/>
    </row>
    <row r="20" customFormat="false" ht="12.75" hidden="false" customHeight="true" outlineLevel="0" collapsed="false">
      <c r="B20" s="76" t="s">
        <v>112</v>
      </c>
      <c r="C20" s="27" t="s">
        <v>109</v>
      </c>
      <c r="D20" s="76" t="s">
        <v>111</v>
      </c>
      <c r="E20" s="29" t="n">
        <v>11</v>
      </c>
      <c r="F20" s="29" t="n">
        <v>30800</v>
      </c>
      <c r="G20" s="78" t="n">
        <v>11</v>
      </c>
      <c r="H20" s="78" t="n">
        <v>30800</v>
      </c>
      <c r="I20" s="29" t="n">
        <f aca="false">IF(G20="","—",IFERROR(E20-G20,""))</f>
        <v>0</v>
      </c>
      <c r="J20" s="29" t="n">
        <f aca="false">IF(H20="","—",IFERROR(F20-H20,""))</f>
        <v>0</v>
      </c>
      <c r="K20" s="94"/>
      <c r="L20" s="94"/>
      <c r="M20" s="102" t="str">
        <f aca="false">IFERROR(L20/K20,"—")</f>
        <v>—</v>
      </c>
      <c r="N20" s="94"/>
      <c r="O20" s="78"/>
    </row>
    <row r="21" customFormat="false" ht="12.75" hidden="false" customHeight="true" outlineLevel="0" collapsed="false">
      <c r="B21" s="79" t="s">
        <v>135</v>
      </c>
      <c r="C21" s="22" t="s">
        <v>126</v>
      </c>
      <c r="D21" s="79" t="s">
        <v>136</v>
      </c>
      <c r="E21" s="24" t="n">
        <v>2</v>
      </c>
      <c r="F21" s="24" t="n">
        <v>30000</v>
      </c>
      <c r="G21" s="81" t="n">
        <v>2</v>
      </c>
      <c r="H21" s="81" t="n">
        <v>30000</v>
      </c>
      <c r="I21" s="24" t="n">
        <f aca="false">IF(G21="","—",IFERROR(E21-G21,""))</f>
        <v>0</v>
      </c>
      <c r="J21" s="24" t="n">
        <f aca="false">IF(H21="","—",IFERROR(F21-H21,""))</f>
        <v>0</v>
      </c>
      <c r="K21" s="94"/>
      <c r="L21" s="94"/>
      <c r="M21" s="103" t="str">
        <f aca="false">IFERROR(L21/K21,"—")</f>
        <v>—</v>
      </c>
      <c r="N21" s="94"/>
      <c r="O21" s="81"/>
    </row>
    <row r="22" customFormat="false" ht="12.75" hidden="false" customHeight="true" outlineLevel="0" collapsed="false">
      <c r="B22" s="76" t="s">
        <v>137</v>
      </c>
      <c r="C22" s="27" t="s">
        <v>126</v>
      </c>
      <c r="D22" s="76" t="s">
        <v>132</v>
      </c>
      <c r="E22" s="29" t="n">
        <v>1</v>
      </c>
      <c r="F22" s="29" t="n">
        <v>25220</v>
      </c>
      <c r="G22" s="78" t="n">
        <v>1</v>
      </c>
      <c r="H22" s="78" t="n">
        <v>25220</v>
      </c>
      <c r="I22" s="29" t="n">
        <f aca="false">IF(G22="","—",IFERROR(E22-G22,""))</f>
        <v>0</v>
      </c>
      <c r="J22" s="29" t="n">
        <f aca="false">IF(H22="","—",IFERROR(F22-H22,""))</f>
        <v>0</v>
      </c>
      <c r="K22" s="94"/>
      <c r="L22" s="94"/>
      <c r="M22" s="102" t="str">
        <f aca="false">IFERROR(L22/K22,"—")</f>
        <v>—</v>
      </c>
      <c r="N22" s="94"/>
      <c r="O22" s="78"/>
    </row>
    <row r="23" customFormat="false" ht="12.75" hidden="false" customHeight="true" outlineLevel="0" collapsed="false">
      <c r="B23" s="79" t="s">
        <v>113</v>
      </c>
      <c r="C23" s="22" t="s">
        <v>109</v>
      </c>
      <c r="D23" s="79" t="s">
        <v>111</v>
      </c>
      <c r="E23" s="24" t="n">
        <v>9</v>
      </c>
      <c r="F23" s="24" t="n">
        <v>25200</v>
      </c>
      <c r="G23" s="81" t="n">
        <v>9</v>
      </c>
      <c r="H23" s="81" t="n">
        <v>25200</v>
      </c>
      <c r="I23" s="24" t="n">
        <f aca="false">IF(G23="","—",IFERROR(E23-G23,""))</f>
        <v>0</v>
      </c>
      <c r="J23" s="24" t="n">
        <f aca="false">IF(H23="","—",IFERROR(F23-H23,""))</f>
        <v>0</v>
      </c>
      <c r="K23" s="94"/>
      <c r="L23" s="94"/>
      <c r="M23" s="103" t="str">
        <f aca="false">IFERROR(L23/K23,"—")</f>
        <v>—</v>
      </c>
      <c r="N23" s="94"/>
      <c r="O23" s="81"/>
    </row>
    <row r="24" customFormat="false" ht="12.75" hidden="false" customHeight="true" outlineLevel="0" collapsed="false">
      <c r="B24" s="76" t="s">
        <v>94</v>
      </c>
      <c r="C24" s="27" t="s">
        <v>84</v>
      </c>
      <c r="D24" s="76" t="s">
        <v>91</v>
      </c>
      <c r="E24" s="29" t="n">
        <v>1</v>
      </c>
      <c r="F24" s="29" t="n">
        <v>24400</v>
      </c>
      <c r="G24" s="78" t="n">
        <v>1</v>
      </c>
      <c r="H24" s="78" t="n">
        <v>24400</v>
      </c>
      <c r="I24" s="29" t="n">
        <f aca="false">IF(G24="","—",IFERROR(E24-G24,""))</f>
        <v>0</v>
      </c>
      <c r="J24" s="29" t="n">
        <f aca="false">IF(H24="","—",IFERROR(F24-H24,""))</f>
        <v>0</v>
      </c>
      <c r="K24" s="94"/>
      <c r="L24" s="94"/>
      <c r="M24" s="102" t="str">
        <f aca="false">IFERROR(L24/K24,"—")</f>
        <v>—</v>
      </c>
      <c r="N24" s="94"/>
      <c r="O24" s="78"/>
    </row>
    <row r="25" customFormat="false" ht="12.75" hidden="false" customHeight="true" outlineLevel="0" collapsed="false">
      <c r="B25" s="79" t="s">
        <v>95</v>
      </c>
      <c r="C25" s="22" t="s">
        <v>84</v>
      </c>
      <c r="D25" s="79" t="s">
        <v>91</v>
      </c>
      <c r="E25" s="24" t="n">
        <v>1</v>
      </c>
      <c r="F25" s="24" t="n">
        <v>24400</v>
      </c>
      <c r="G25" s="81" t="n">
        <v>1</v>
      </c>
      <c r="H25" s="81" t="n">
        <v>24400</v>
      </c>
      <c r="I25" s="24" t="n">
        <f aca="false">IF(G25="","—",IFERROR(E25-G25,""))</f>
        <v>0</v>
      </c>
      <c r="J25" s="24" t="n">
        <f aca="false">IF(H25="","—",IFERROR(F25-H25,""))</f>
        <v>0</v>
      </c>
      <c r="K25" s="94"/>
      <c r="L25" s="94"/>
      <c r="M25" s="103" t="str">
        <f aca="false">IFERROR(L25/K25,"—")</f>
        <v>—</v>
      </c>
      <c r="N25" s="94"/>
      <c r="O25" s="81"/>
    </row>
    <row r="26" customFormat="false" ht="12.75" hidden="false" customHeight="true" outlineLevel="0" collapsed="false">
      <c r="B26" s="76" t="s">
        <v>96</v>
      </c>
      <c r="C26" s="27" t="s">
        <v>84</v>
      </c>
      <c r="D26" s="76" t="s">
        <v>91</v>
      </c>
      <c r="E26" s="29" t="n">
        <v>1</v>
      </c>
      <c r="F26" s="29" t="n">
        <v>24400</v>
      </c>
      <c r="G26" s="78" t="n">
        <v>1</v>
      </c>
      <c r="H26" s="78" t="n">
        <v>24400</v>
      </c>
      <c r="I26" s="29" t="n">
        <f aca="false">IF(G26="","—",IFERROR(E26-G26,""))</f>
        <v>0</v>
      </c>
      <c r="J26" s="29" t="n">
        <f aca="false">IF(H26="","—",IFERROR(F26-H26,""))</f>
        <v>0</v>
      </c>
      <c r="K26" s="94"/>
      <c r="L26" s="94"/>
      <c r="M26" s="102" t="str">
        <f aca="false">IFERROR(L26/K26,"—")</f>
        <v>—</v>
      </c>
      <c r="N26" s="94"/>
      <c r="O26" s="78"/>
    </row>
    <row r="27" customFormat="false" ht="12.75" hidden="false" customHeight="true" outlineLevel="0" collapsed="false">
      <c r="B27" s="79" t="s">
        <v>138</v>
      </c>
      <c r="C27" s="22" t="s">
        <v>126</v>
      </c>
      <c r="D27" s="79" t="s">
        <v>91</v>
      </c>
      <c r="E27" s="24" t="n">
        <v>1</v>
      </c>
      <c r="F27" s="24" t="n">
        <v>24400</v>
      </c>
      <c r="G27" s="81" t="n">
        <v>1</v>
      </c>
      <c r="H27" s="81" t="n">
        <v>24400</v>
      </c>
      <c r="I27" s="24" t="n">
        <f aca="false">IF(G27="","—",IFERROR(E27-G27,""))</f>
        <v>0</v>
      </c>
      <c r="J27" s="24" t="n">
        <f aca="false">IF(H27="","—",IFERROR(F27-H27,""))</f>
        <v>0</v>
      </c>
      <c r="K27" s="94"/>
      <c r="L27" s="94"/>
      <c r="M27" s="103" t="str">
        <f aca="false">IFERROR(L27/K27,"—")</f>
        <v>—</v>
      </c>
      <c r="N27" s="94"/>
      <c r="O27" s="81"/>
    </row>
    <row r="28" customFormat="false" ht="12.75" hidden="false" customHeight="true" outlineLevel="0" collapsed="false">
      <c r="B28" s="76" t="s">
        <v>139</v>
      </c>
      <c r="C28" s="27" t="s">
        <v>126</v>
      </c>
      <c r="D28" s="76" t="s">
        <v>91</v>
      </c>
      <c r="E28" s="29" t="n">
        <v>1</v>
      </c>
      <c r="F28" s="29" t="n">
        <v>24400</v>
      </c>
      <c r="G28" s="78" t="n">
        <v>1</v>
      </c>
      <c r="H28" s="78" t="n">
        <v>24400</v>
      </c>
      <c r="I28" s="29" t="n">
        <f aca="false">IF(G28="","—",IFERROR(E28-G28,""))</f>
        <v>0</v>
      </c>
      <c r="J28" s="29" t="n">
        <f aca="false">IF(H28="","—",IFERROR(F28-H28,""))</f>
        <v>0</v>
      </c>
      <c r="K28" s="94"/>
      <c r="L28" s="94"/>
      <c r="M28" s="102" t="str">
        <f aca="false">IFERROR(L28/K28,"—")</f>
        <v>—</v>
      </c>
      <c r="N28" s="94"/>
      <c r="O28" s="78"/>
    </row>
    <row r="29" customFormat="false" ht="12.75" hidden="false" customHeight="true" outlineLevel="0" collapsed="false">
      <c r="B29" s="79" t="s">
        <v>140</v>
      </c>
      <c r="C29" s="22" t="s">
        <v>126</v>
      </c>
      <c r="D29" s="79" t="s">
        <v>91</v>
      </c>
      <c r="E29" s="24" t="n">
        <v>1</v>
      </c>
      <c r="F29" s="24" t="n">
        <v>24400</v>
      </c>
      <c r="G29" s="81" t="n">
        <v>1</v>
      </c>
      <c r="H29" s="81" t="n">
        <v>24400</v>
      </c>
      <c r="I29" s="24" t="n">
        <f aca="false">IF(G29="","—",IFERROR(E29-G29,""))</f>
        <v>0</v>
      </c>
      <c r="J29" s="24" t="n">
        <f aca="false">IF(H29="","—",IFERROR(F29-H29,""))</f>
        <v>0</v>
      </c>
      <c r="K29" s="94"/>
      <c r="L29" s="94"/>
      <c r="M29" s="103" t="str">
        <f aca="false">IFERROR(L29/K29,"—")</f>
        <v>—</v>
      </c>
      <c r="N29" s="94"/>
      <c r="O29" s="81"/>
    </row>
    <row r="30" customFormat="false" ht="12.75" hidden="false" customHeight="true" outlineLevel="0" collapsed="false">
      <c r="B30" s="76" t="s">
        <v>141</v>
      </c>
      <c r="C30" s="27" t="s">
        <v>126</v>
      </c>
      <c r="D30" s="76" t="s">
        <v>91</v>
      </c>
      <c r="E30" s="29" t="n">
        <v>1</v>
      </c>
      <c r="F30" s="29" t="n">
        <v>24400</v>
      </c>
      <c r="G30" s="78" t="n">
        <v>1</v>
      </c>
      <c r="H30" s="78" t="n">
        <v>24400</v>
      </c>
      <c r="I30" s="29" t="n">
        <f aca="false">IF(G30="","—",IFERROR(E30-G30,""))</f>
        <v>0</v>
      </c>
      <c r="J30" s="29" t="n">
        <f aca="false">IF(H30="","—",IFERROR(F30-H30,""))</f>
        <v>0</v>
      </c>
      <c r="K30" s="94"/>
      <c r="L30" s="94"/>
      <c r="M30" s="102" t="str">
        <f aca="false">IFERROR(L30/K30,"—")</f>
        <v>—</v>
      </c>
      <c r="N30" s="94"/>
      <c r="O30" s="78"/>
    </row>
    <row r="31" customFormat="false" ht="12.75" hidden="false" customHeight="true" outlineLevel="0" collapsed="false">
      <c r="B31" s="79" t="s">
        <v>142</v>
      </c>
      <c r="C31" s="22" t="s">
        <v>126</v>
      </c>
      <c r="D31" s="79" t="s">
        <v>91</v>
      </c>
      <c r="E31" s="24" t="n">
        <v>1</v>
      </c>
      <c r="F31" s="24" t="n">
        <v>24400</v>
      </c>
      <c r="G31" s="81" t="n">
        <v>1</v>
      </c>
      <c r="H31" s="81" t="n">
        <v>24400</v>
      </c>
      <c r="I31" s="24" t="n">
        <f aca="false">IF(G31="","—",IFERROR(E31-G31,""))</f>
        <v>0</v>
      </c>
      <c r="J31" s="24" t="n">
        <f aca="false">IF(H31="","—",IFERROR(F31-H31,""))</f>
        <v>0</v>
      </c>
      <c r="K31" s="94"/>
      <c r="L31" s="94"/>
      <c r="M31" s="103" t="str">
        <f aca="false">IFERROR(L31/K31,"—")</f>
        <v>—</v>
      </c>
      <c r="N31" s="94"/>
      <c r="O31" s="81"/>
    </row>
    <row r="32" customFormat="false" ht="12.75" hidden="false" customHeight="true" outlineLevel="0" collapsed="false">
      <c r="B32" s="76" t="s">
        <v>143</v>
      </c>
      <c r="C32" s="27" t="s">
        <v>126</v>
      </c>
      <c r="D32" s="76" t="s">
        <v>91</v>
      </c>
      <c r="E32" s="29" t="n">
        <v>1</v>
      </c>
      <c r="F32" s="29" t="n">
        <v>24400</v>
      </c>
      <c r="G32" s="78" t="n">
        <v>1</v>
      </c>
      <c r="H32" s="78" t="n">
        <v>24400</v>
      </c>
      <c r="I32" s="29" t="n">
        <f aca="false">IF(G32="","—",IFERROR(E32-G32,""))</f>
        <v>0</v>
      </c>
      <c r="J32" s="29" t="n">
        <f aca="false">IF(H32="","—",IFERROR(F32-H32,""))</f>
        <v>0</v>
      </c>
      <c r="K32" s="94"/>
      <c r="L32" s="94"/>
      <c r="M32" s="102" t="str">
        <f aca="false">IFERROR(L32/K32,"—")</f>
        <v>—</v>
      </c>
      <c r="N32" s="94"/>
      <c r="O32" s="78"/>
    </row>
    <row r="33" customFormat="false" ht="12.75" hidden="false" customHeight="true" outlineLevel="0" collapsed="false">
      <c r="B33" s="79" t="s">
        <v>144</v>
      </c>
      <c r="C33" s="22" t="s">
        <v>126</v>
      </c>
      <c r="D33" s="79" t="s">
        <v>91</v>
      </c>
      <c r="E33" s="24" t="n">
        <v>1</v>
      </c>
      <c r="F33" s="24" t="n">
        <v>24400</v>
      </c>
      <c r="G33" s="81" t="n">
        <v>1</v>
      </c>
      <c r="H33" s="81" t="n">
        <v>24400</v>
      </c>
      <c r="I33" s="24" t="n">
        <f aca="false">IF(G33="","—",IFERROR(E33-G33,""))</f>
        <v>0</v>
      </c>
      <c r="J33" s="24" t="n">
        <f aca="false">IF(H33="","—",IFERROR(F33-H33,""))</f>
        <v>0</v>
      </c>
      <c r="K33" s="94"/>
      <c r="L33" s="94"/>
      <c r="M33" s="103" t="str">
        <f aca="false">IFERROR(L33/K33,"—")</f>
        <v>—</v>
      </c>
      <c r="N33" s="94"/>
      <c r="O33" s="81"/>
    </row>
    <row r="34" customFormat="false" ht="12.75" hidden="false" customHeight="true" outlineLevel="0" collapsed="false">
      <c r="B34" s="76" t="s">
        <v>114</v>
      </c>
      <c r="C34" s="27" t="s">
        <v>109</v>
      </c>
      <c r="D34" s="76" t="s">
        <v>115</v>
      </c>
      <c r="E34" s="29" t="n">
        <v>3</v>
      </c>
      <c r="F34" s="29" t="n">
        <v>22560</v>
      </c>
      <c r="G34" s="78" t="n">
        <v>3</v>
      </c>
      <c r="H34" s="78" t="n">
        <v>22560</v>
      </c>
      <c r="I34" s="29" t="n">
        <f aca="false">IF(G34="","—",IFERROR(E34-G34,""))</f>
        <v>0</v>
      </c>
      <c r="J34" s="29" t="n">
        <f aca="false">IF(H34="","—",IFERROR(F34-H34,""))</f>
        <v>0</v>
      </c>
      <c r="K34" s="94"/>
      <c r="L34" s="94"/>
      <c r="M34" s="102" t="str">
        <f aca="false">IFERROR(L34/K34,"—")</f>
        <v>—</v>
      </c>
      <c r="N34" s="94"/>
      <c r="O34" s="78"/>
    </row>
    <row r="35" customFormat="false" ht="12.75" hidden="false" customHeight="true" outlineLevel="0" collapsed="false">
      <c r="B35" s="79" t="s">
        <v>97</v>
      </c>
      <c r="C35" s="22" t="s">
        <v>84</v>
      </c>
      <c r="D35" s="79" t="s">
        <v>98</v>
      </c>
      <c r="E35" s="24" t="n">
        <v>1</v>
      </c>
      <c r="F35" s="24" t="n">
        <v>22500</v>
      </c>
      <c r="G35" s="81" t="n">
        <v>1</v>
      </c>
      <c r="H35" s="81" t="n">
        <v>22500</v>
      </c>
      <c r="I35" s="24" t="n">
        <f aca="false">IF(G35="","—",IFERROR(E35-G35,""))</f>
        <v>0</v>
      </c>
      <c r="J35" s="24" t="n">
        <f aca="false">IF(H35="","—",IFERROR(F35-H35,""))</f>
        <v>0</v>
      </c>
      <c r="K35" s="94"/>
      <c r="L35" s="94"/>
      <c r="M35" s="103" t="str">
        <f aca="false">IFERROR(L35/K35,"—")</f>
        <v>—</v>
      </c>
      <c r="N35" s="94"/>
      <c r="O35" s="81"/>
    </row>
    <row r="36" customFormat="false" ht="12.75" hidden="false" customHeight="true" outlineLevel="0" collapsed="false">
      <c r="B36" s="76" t="s">
        <v>116</v>
      </c>
      <c r="C36" s="27" t="s">
        <v>109</v>
      </c>
      <c r="D36" s="76" t="s">
        <v>111</v>
      </c>
      <c r="E36" s="29" t="n">
        <v>8</v>
      </c>
      <c r="F36" s="29" t="n">
        <v>22400</v>
      </c>
      <c r="G36" s="78" t="n">
        <v>8</v>
      </c>
      <c r="H36" s="78" t="n">
        <v>22400</v>
      </c>
      <c r="I36" s="29" t="n">
        <f aca="false">IF(G36="","—",IFERROR(E36-G36,""))</f>
        <v>0</v>
      </c>
      <c r="J36" s="29" t="n">
        <f aca="false">IF(H36="","—",IFERROR(F36-H36,""))</f>
        <v>0</v>
      </c>
      <c r="K36" s="94"/>
      <c r="L36" s="94"/>
      <c r="M36" s="102" t="str">
        <f aca="false">IFERROR(L36/K36,"—")</f>
        <v>—</v>
      </c>
      <c r="N36" s="94"/>
      <c r="O36" s="78"/>
    </row>
    <row r="37" customFormat="false" ht="12.75" hidden="false" customHeight="true" outlineLevel="0" collapsed="false">
      <c r="B37" s="79" t="s">
        <v>145</v>
      </c>
      <c r="C37" s="22" t="s">
        <v>126</v>
      </c>
      <c r="D37" s="79" t="s">
        <v>132</v>
      </c>
      <c r="E37" s="24" t="n">
        <v>1</v>
      </c>
      <c r="F37" s="24" t="n">
        <v>22260</v>
      </c>
      <c r="G37" s="81" t="n">
        <v>1</v>
      </c>
      <c r="H37" s="81" t="n">
        <v>22260</v>
      </c>
      <c r="I37" s="24" t="n">
        <f aca="false">IF(G37="","—",IFERROR(E37-G37,""))</f>
        <v>0</v>
      </c>
      <c r="J37" s="24" t="n">
        <f aca="false">IF(H37="","—",IFERROR(F37-H37,""))</f>
        <v>0</v>
      </c>
      <c r="K37" s="94"/>
      <c r="L37" s="94"/>
      <c r="M37" s="103" t="str">
        <f aca="false">IFERROR(L37/K37,"—")</f>
        <v>—</v>
      </c>
      <c r="N37" s="94"/>
      <c r="O37" s="81"/>
    </row>
    <row r="38" customFormat="false" ht="12.75" hidden="false" customHeight="true" outlineLevel="0" collapsed="false">
      <c r="B38" s="76" t="s">
        <v>146</v>
      </c>
      <c r="C38" s="27" t="s">
        <v>126</v>
      </c>
      <c r="D38" s="76" t="s">
        <v>91</v>
      </c>
      <c r="E38" s="29" t="n">
        <v>1</v>
      </c>
      <c r="F38" s="29" t="n">
        <v>21720</v>
      </c>
      <c r="G38" s="78" t="n">
        <v>1</v>
      </c>
      <c r="H38" s="78" t="n">
        <v>21720</v>
      </c>
      <c r="I38" s="29" t="n">
        <f aca="false">IF(G38="","—",IFERROR(E38-G38,""))</f>
        <v>0</v>
      </c>
      <c r="J38" s="29" t="n">
        <f aca="false">IF(H38="","—",IFERROR(F38-H38,""))</f>
        <v>0</v>
      </c>
      <c r="K38" s="94"/>
      <c r="L38" s="94"/>
      <c r="M38" s="102" t="str">
        <f aca="false">IFERROR(L38/K38,"—")</f>
        <v>—</v>
      </c>
      <c r="N38" s="94"/>
      <c r="O38" s="78"/>
    </row>
    <row r="39" customFormat="false" ht="12.75" hidden="false" customHeight="true" outlineLevel="0" collapsed="false">
      <c r="B39" s="79" t="s">
        <v>99</v>
      </c>
      <c r="C39" s="22" t="s">
        <v>84</v>
      </c>
      <c r="D39" s="79" t="s">
        <v>91</v>
      </c>
      <c r="E39" s="24" t="n">
        <v>1</v>
      </c>
      <c r="F39" s="24" t="n">
        <v>20000</v>
      </c>
      <c r="G39" s="81" t="n">
        <v>1</v>
      </c>
      <c r="H39" s="81" t="n">
        <v>20000</v>
      </c>
      <c r="I39" s="24" t="n">
        <f aca="false">IF(G39="","—",IFERROR(E39-G39,""))</f>
        <v>0</v>
      </c>
      <c r="J39" s="24" t="n">
        <f aca="false">IF(H39="","—",IFERROR(F39-H39,""))</f>
        <v>0</v>
      </c>
      <c r="K39" s="94"/>
      <c r="L39" s="94"/>
      <c r="M39" s="103" t="str">
        <f aca="false">IFERROR(L39/K39,"—")</f>
        <v>—</v>
      </c>
      <c r="N39" s="94"/>
      <c r="O39" s="81"/>
    </row>
    <row r="40" customFormat="false" ht="12.75" hidden="false" customHeight="true" outlineLevel="0" collapsed="false">
      <c r="B40" s="76" t="s">
        <v>100</v>
      </c>
      <c r="C40" s="27" t="s">
        <v>84</v>
      </c>
      <c r="D40" s="76" t="s">
        <v>91</v>
      </c>
      <c r="E40" s="29" t="n">
        <v>1</v>
      </c>
      <c r="F40" s="29" t="n">
        <v>20000</v>
      </c>
      <c r="G40" s="78" t="n">
        <v>1</v>
      </c>
      <c r="H40" s="78" t="n">
        <v>20000</v>
      </c>
      <c r="I40" s="29" t="n">
        <f aca="false">IF(G40="","—",IFERROR(E40-G40,""))</f>
        <v>0</v>
      </c>
      <c r="J40" s="29" t="n">
        <f aca="false">IF(H40="","—",IFERROR(F40-H40,""))</f>
        <v>0</v>
      </c>
      <c r="K40" s="94"/>
      <c r="L40" s="94"/>
      <c r="M40" s="102" t="str">
        <f aca="false">IFERROR(L40/K40,"—")</f>
        <v>—</v>
      </c>
      <c r="N40" s="94"/>
      <c r="O40" s="78"/>
    </row>
    <row r="41" customFormat="false" ht="12.75" hidden="false" customHeight="true" outlineLevel="0" collapsed="false">
      <c r="B41" s="79" t="s">
        <v>117</v>
      </c>
      <c r="C41" s="22" t="s">
        <v>109</v>
      </c>
      <c r="D41" s="79" t="s">
        <v>111</v>
      </c>
      <c r="E41" s="24" t="n">
        <v>7</v>
      </c>
      <c r="F41" s="24" t="n">
        <v>19600</v>
      </c>
      <c r="G41" s="81" t="n">
        <v>7</v>
      </c>
      <c r="H41" s="81" t="n">
        <v>19600</v>
      </c>
      <c r="I41" s="24" t="n">
        <f aca="false">IF(G41="","—",IFERROR(E41-G41,""))</f>
        <v>0</v>
      </c>
      <c r="J41" s="24" t="n">
        <f aca="false">IF(H41="","—",IFERROR(F41-H41,""))</f>
        <v>0</v>
      </c>
      <c r="K41" s="94"/>
      <c r="L41" s="94"/>
      <c r="M41" s="103" t="str">
        <f aca="false">IFERROR(L41/K41,"—")</f>
        <v>—</v>
      </c>
      <c r="N41" s="94"/>
      <c r="O41" s="81"/>
    </row>
    <row r="42" customFormat="false" ht="12.75" hidden="false" customHeight="true" outlineLevel="0" collapsed="false">
      <c r="B42" s="76" t="s">
        <v>58</v>
      </c>
      <c r="C42" s="27" t="s">
        <v>57</v>
      </c>
      <c r="D42" s="76" t="s">
        <v>59</v>
      </c>
      <c r="E42" s="29" t="n">
        <v>1</v>
      </c>
      <c r="F42" s="29" t="n">
        <v>12500</v>
      </c>
      <c r="G42" s="78" t="n">
        <v>1</v>
      </c>
      <c r="H42" s="78" t="n">
        <v>12500</v>
      </c>
      <c r="I42" s="29" t="n">
        <f aca="false">IF(G42="","—",IFERROR(E42-G42,""))</f>
        <v>0</v>
      </c>
      <c r="J42" s="29" t="n">
        <f aca="false">IF(H42="","—",IFERROR(F42-H42,""))</f>
        <v>0</v>
      </c>
      <c r="K42" s="94"/>
      <c r="L42" s="94"/>
      <c r="M42" s="102" t="str">
        <f aca="false">IFERROR(L42/K42,"—")</f>
        <v>—</v>
      </c>
      <c r="N42" s="94"/>
      <c r="O42" s="78"/>
    </row>
    <row r="43" customFormat="false" ht="12.75" hidden="false" customHeight="true" outlineLevel="0" collapsed="false">
      <c r="B43" s="79" t="s">
        <v>118</v>
      </c>
      <c r="C43" s="22" t="s">
        <v>109</v>
      </c>
      <c r="D43" s="79" t="s">
        <v>115</v>
      </c>
      <c r="E43" s="24" t="n">
        <v>1</v>
      </c>
      <c r="F43" s="24" t="n">
        <v>7520</v>
      </c>
      <c r="G43" s="81" t="n">
        <v>1</v>
      </c>
      <c r="H43" s="81" t="n">
        <v>7520</v>
      </c>
      <c r="I43" s="24" t="n">
        <f aca="false">IF(G43="","—",IFERROR(E43-G43,""))</f>
        <v>0</v>
      </c>
      <c r="J43" s="24" t="n">
        <f aca="false">IF(H43="","—",IFERROR(F43-H43,""))</f>
        <v>0</v>
      </c>
      <c r="K43" s="94"/>
      <c r="L43" s="94"/>
      <c r="M43" s="103" t="str">
        <f aca="false">IFERROR(L43/K43,"—")</f>
        <v>—</v>
      </c>
      <c r="N43" s="94"/>
      <c r="O43" s="81"/>
    </row>
    <row r="44" customFormat="false" ht="12.75" hidden="false" customHeight="true" outlineLevel="0" collapsed="false">
      <c r="B44" s="76" t="s">
        <v>67</v>
      </c>
      <c r="C44" s="27" t="s">
        <v>66</v>
      </c>
      <c r="D44" s="76" t="s">
        <v>68</v>
      </c>
      <c r="E44" s="29" t="n">
        <v>2</v>
      </c>
      <c r="F44" s="29" t="n">
        <v>6600</v>
      </c>
      <c r="G44" s="78" t="n">
        <v>2</v>
      </c>
      <c r="H44" s="78" t="n">
        <v>6600</v>
      </c>
      <c r="I44" s="29" t="n">
        <f aca="false">IF(G44="","—",IFERROR(E44-G44,""))</f>
        <v>0</v>
      </c>
      <c r="J44" s="29" t="n">
        <f aca="false">IF(H44="","—",IFERROR(F44-H44,""))</f>
        <v>0</v>
      </c>
      <c r="K44" s="94"/>
      <c r="L44" s="94"/>
      <c r="M44" s="102" t="str">
        <f aca="false">IFERROR(L44/K44,"—")</f>
        <v>—</v>
      </c>
      <c r="N44" s="94"/>
      <c r="O44" s="78"/>
    </row>
    <row r="45" customFormat="false" ht="12.75" hidden="false" customHeight="true" outlineLevel="0" collapsed="false">
      <c r="B45" s="79" t="s">
        <v>69</v>
      </c>
      <c r="C45" s="22" t="s">
        <v>66</v>
      </c>
      <c r="D45" s="79" t="s">
        <v>68</v>
      </c>
      <c r="E45" s="24" t="n">
        <v>2</v>
      </c>
      <c r="F45" s="24" t="n">
        <v>4000</v>
      </c>
      <c r="G45" s="81" t="n">
        <v>2</v>
      </c>
      <c r="H45" s="81" t="n">
        <v>4000</v>
      </c>
      <c r="I45" s="24" t="n">
        <f aca="false">IF(G45="","—",IFERROR(E45-G45,""))</f>
        <v>0</v>
      </c>
      <c r="J45" s="24" t="n">
        <f aca="false">IF(H45="","—",IFERROR(F45-H45,""))</f>
        <v>0</v>
      </c>
      <c r="K45" s="94"/>
      <c r="L45" s="94"/>
      <c r="M45" s="103" t="str">
        <f aca="false">IFERROR(L45/K45,"—")</f>
        <v>—</v>
      </c>
      <c r="N45" s="94"/>
      <c r="O45" s="81"/>
    </row>
    <row r="46" customFormat="false" ht="12.75" hidden="false" customHeight="true" outlineLevel="0" collapsed="false">
      <c r="B46" s="76" t="s">
        <v>119</v>
      </c>
      <c r="C46" s="27" t="s">
        <v>109</v>
      </c>
      <c r="D46" s="76" t="s">
        <v>111</v>
      </c>
      <c r="E46" s="29" t="n">
        <v>1</v>
      </c>
      <c r="F46" s="29" t="n">
        <v>2800</v>
      </c>
      <c r="G46" s="78" t="n">
        <v>1</v>
      </c>
      <c r="H46" s="78" t="n">
        <v>2800</v>
      </c>
      <c r="I46" s="29" t="n">
        <f aca="false">IF(G46="","—",IFERROR(E46-G46,""))</f>
        <v>0</v>
      </c>
      <c r="J46" s="29" t="n">
        <f aca="false">IF(H46="","—",IFERROR(F46-H46,""))</f>
        <v>0</v>
      </c>
      <c r="K46" s="94"/>
      <c r="L46" s="94"/>
      <c r="M46" s="102" t="str">
        <f aca="false">IFERROR(L46/K46,"—")</f>
        <v>—</v>
      </c>
      <c r="N46" s="94"/>
      <c r="O46" s="78"/>
    </row>
    <row r="47" customFormat="false" ht="12.75" hidden="false" customHeight="true" outlineLevel="0" collapsed="false">
      <c r="B47" s="79" t="s">
        <v>120</v>
      </c>
      <c r="C47" s="22" t="s">
        <v>109</v>
      </c>
      <c r="D47" s="79" t="s">
        <v>111</v>
      </c>
      <c r="E47" s="24" t="n">
        <v>1</v>
      </c>
      <c r="F47" s="24" t="n">
        <v>2800</v>
      </c>
      <c r="G47" s="81" t="n">
        <v>1</v>
      </c>
      <c r="H47" s="81" t="n">
        <v>2800</v>
      </c>
      <c r="I47" s="24" t="n">
        <f aca="false">IF(G47="","—",IFERROR(E47-G47,""))</f>
        <v>0</v>
      </c>
      <c r="J47" s="24" t="n">
        <f aca="false">IF(H47="","—",IFERROR(F47-H47,""))</f>
        <v>0</v>
      </c>
      <c r="K47" s="94"/>
      <c r="L47" s="94"/>
      <c r="M47" s="103" t="str">
        <f aca="false">IFERROR(L47/K47,"—")</f>
        <v>—</v>
      </c>
      <c r="N47" s="94"/>
      <c r="O47" s="81"/>
    </row>
    <row r="48" customFormat="false" ht="12.75" hidden="false" customHeight="true" outlineLevel="0" collapsed="false">
      <c r="B48" s="76" t="s">
        <v>121</v>
      </c>
      <c r="C48" s="27" t="s">
        <v>109</v>
      </c>
      <c r="D48" s="76" t="s">
        <v>122</v>
      </c>
      <c r="E48" s="29" t="n">
        <v>1</v>
      </c>
      <c r="F48" s="29" t="n">
        <v>600</v>
      </c>
      <c r="G48" s="78" t="n">
        <v>1</v>
      </c>
      <c r="H48" s="78" t="n">
        <v>600</v>
      </c>
      <c r="I48" s="29" t="n">
        <f aca="false">IF(G48="","—",IFERROR(E48-G48,""))</f>
        <v>0</v>
      </c>
      <c r="J48" s="29" t="n">
        <f aca="false">IF(H48="","—",IFERROR(F48-H48,""))</f>
        <v>0</v>
      </c>
      <c r="K48" s="94"/>
      <c r="L48" s="94"/>
      <c r="M48" s="102" t="str">
        <f aca="false">IFERROR(L48/K48,"—")</f>
        <v>—</v>
      </c>
      <c r="N48" s="94"/>
      <c r="O48" s="78"/>
    </row>
    <row r="49" customFormat="false" ht="12.75" hidden="false" customHeight="true" outlineLevel="0" collapsed="false">
      <c r="B49" s="79" t="s">
        <v>123</v>
      </c>
      <c r="C49" s="22" t="s">
        <v>109</v>
      </c>
      <c r="D49" s="79" t="s">
        <v>124</v>
      </c>
      <c r="E49" s="24" t="n">
        <v>1</v>
      </c>
      <c r="F49" s="24" t="n">
        <v>600</v>
      </c>
      <c r="G49" s="81" t="n">
        <v>1</v>
      </c>
      <c r="H49" s="81" t="n">
        <v>600</v>
      </c>
      <c r="I49" s="24" t="n">
        <f aca="false">IF(G49="","—",IFERROR(E49-G49,""))</f>
        <v>0</v>
      </c>
      <c r="J49" s="24" t="n">
        <f aca="false">IF(H49="","—",IFERROR(F49-H49,""))</f>
        <v>0</v>
      </c>
      <c r="K49" s="94"/>
      <c r="L49" s="94"/>
      <c r="M49" s="103" t="str">
        <f aca="false">IFERROR(L49/K49,"—")</f>
        <v>—</v>
      </c>
      <c r="N49" s="94"/>
      <c r="O49" s="81"/>
    </row>
    <row r="50" customFormat="false" ht="6" hidden="false" customHeight="true" outlineLevel="0" collapsed="false"/>
    <row r="51" customFormat="false" ht="15.75" hidden="false" customHeight="true" outlineLevel="0" collapsed="false">
      <c r="B51" s="99" t="s">
        <v>647</v>
      </c>
      <c r="C51" s="99"/>
      <c r="D51" s="99"/>
      <c r="E51" s="100"/>
      <c r="F51" s="100"/>
      <c r="G51" s="100"/>
      <c r="H51" s="100"/>
      <c r="I51" s="100"/>
      <c r="J51" s="100"/>
      <c r="K51" s="101" t="n">
        <f aca="false">SUM(K52:K55)</f>
        <v>0</v>
      </c>
      <c r="L51" s="100"/>
      <c r="M51" s="100"/>
      <c r="N51" s="101" t="n">
        <f aca="false">SUM(N52:N55)</f>
        <v>0</v>
      </c>
      <c r="O51" s="100"/>
    </row>
    <row r="52" customFormat="false" ht="12.75" hidden="false" customHeight="true" outlineLevel="0" collapsed="false">
      <c r="B52" s="76" t="s">
        <v>154</v>
      </c>
      <c r="C52" s="27" t="s">
        <v>153</v>
      </c>
      <c r="D52" s="76" t="s">
        <v>155</v>
      </c>
      <c r="E52" s="29" t="n">
        <v>17</v>
      </c>
      <c r="F52" s="29" t="n">
        <v>243015</v>
      </c>
      <c r="G52" s="78" t="n">
        <v>17</v>
      </c>
      <c r="H52" s="78" t="n">
        <v>243015</v>
      </c>
      <c r="I52" s="29" t="n">
        <f aca="false">IF(G52="","—",IFERROR(E52-G52,""))</f>
        <v>0</v>
      </c>
      <c r="J52" s="29" t="n">
        <f aca="false">IF(H52="","—",IFERROR(F52-H52,""))</f>
        <v>0</v>
      </c>
      <c r="K52" s="94"/>
      <c r="L52" s="94"/>
      <c r="M52" s="102" t="str">
        <f aca="false">IFERROR(L52/K52,"—")</f>
        <v>—</v>
      </c>
      <c r="N52" s="94"/>
      <c r="O52" s="78"/>
    </row>
    <row r="53" customFormat="false" ht="12.75" hidden="false" customHeight="true" outlineLevel="0" collapsed="false">
      <c r="B53" s="79" t="s">
        <v>85</v>
      </c>
      <c r="C53" s="22" t="s">
        <v>84</v>
      </c>
      <c r="D53" s="79" t="s">
        <v>86</v>
      </c>
      <c r="E53" s="24" t="n">
        <v>1</v>
      </c>
      <c r="F53" s="24" t="n">
        <v>41468</v>
      </c>
      <c r="G53" s="81" t="n">
        <v>1</v>
      </c>
      <c r="H53" s="81" t="n">
        <v>41468</v>
      </c>
      <c r="I53" s="24" t="n">
        <f aca="false">IF(G53="","—",IFERROR(E53-G53,""))</f>
        <v>0</v>
      </c>
      <c r="J53" s="24" t="n">
        <f aca="false">IF(H53="","—",IFERROR(F53-H53,""))</f>
        <v>0</v>
      </c>
      <c r="K53" s="94"/>
      <c r="L53" s="94"/>
      <c r="M53" s="103" t="str">
        <f aca="false">IFERROR(L53/K53,"—")</f>
        <v>—</v>
      </c>
      <c r="N53" s="94"/>
      <c r="O53" s="81"/>
    </row>
    <row r="54" customFormat="false" ht="12.75" hidden="false" customHeight="true" outlineLevel="0" collapsed="false">
      <c r="B54" s="76" t="s">
        <v>149</v>
      </c>
      <c r="C54" s="27" t="s">
        <v>126</v>
      </c>
      <c r="D54" s="76" t="s">
        <v>136</v>
      </c>
      <c r="E54" s="29" t="n">
        <v>1</v>
      </c>
      <c r="F54" s="29" t="n">
        <v>15000</v>
      </c>
      <c r="G54" s="78" t="n">
        <v>1</v>
      </c>
      <c r="H54" s="78" t="n">
        <v>15000</v>
      </c>
      <c r="I54" s="29" t="n">
        <f aca="false">IF(G54="","—",IFERROR(E54-G54,""))</f>
        <v>0</v>
      </c>
      <c r="J54" s="29" t="n">
        <f aca="false">IF(H54="","—",IFERROR(F54-H54,""))</f>
        <v>0</v>
      </c>
      <c r="K54" s="94"/>
      <c r="L54" s="94"/>
      <c r="M54" s="102" t="str">
        <f aca="false">IFERROR(L54/K54,"—")</f>
        <v>—</v>
      </c>
      <c r="N54" s="94"/>
      <c r="O54" s="78"/>
    </row>
    <row r="55" customFormat="false" ht="12.75" hidden="false" customHeight="true" outlineLevel="0" collapsed="false">
      <c r="B55" s="79" t="s">
        <v>102</v>
      </c>
      <c r="C55" s="22" t="s">
        <v>84</v>
      </c>
      <c r="D55" s="79" t="s">
        <v>103</v>
      </c>
      <c r="E55" s="24" t="n">
        <v>1</v>
      </c>
      <c r="F55" s="23" t="n">
        <v>0</v>
      </c>
      <c r="G55" s="81" t="n">
        <v>1</v>
      </c>
      <c r="H55" s="81" t="n">
        <v>0</v>
      </c>
      <c r="I55" s="24" t="n">
        <f aca="false">IF(G55="","—",IFERROR(E55-G55,""))</f>
        <v>0</v>
      </c>
      <c r="J55" s="24" t="n">
        <f aca="false">IF(H55="","—",IFERROR(F55-H55,""))</f>
        <v>0</v>
      </c>
      <c r="K55" s="94"/>
      <c r="L55" s="94"/>
      <c r="M55" s="103" t="str">
        <f aca="false">IFERROR(L55/K55,"—")</f>
        <v>—</v>
      </c>
      <c r="N55" s="94"/>
      <c r="O55" s="81"/>
    </row>
    <row r="56" customFormat="false" ht="6" hidden="false" customHeight="true" outlineLevel="0" collapsed="false"/>
    <row r="57" customFormat="false" ht="15.75" hidden="false" customHeight="true" outlineLevel="0" collapsed="false">
      <c r="B57" s="99" t="s">
        <v>648</v>
      </c>
      <c r="C57" s="99"/>
      <c r="D57" s="99"/>
      <c r="E57" s="100"/>
      <c r="F57" s="100"/>
      <c r="G57" s="100"/>
      <c r="H57" s="100"/>
      <c r="I57" s="100"/>
      <c r="J57" s="100"/>
      <c r="K57" s="101" t="n">
        <f aca="false">SUM(K58:K71)</f>
        <v>0</v>
      </c>
      <c r="L57" s="100"/>
      <c r="M57" s="100"/>
      <c r="N57" s="101" t="n">
        <f aca="false">SUM(N58:N71)</f>
        <v>0</v>
      </c>
      <c r="O57" s="100"/>
    </row>
    <row r="58" customFormat="false" ht="12.75" hidden="false" customHeight="true" outlineLevel="0" collapsed="false">
      <c r="B58" s="76" t="s">
        <v>133</v>
      </c>
      <c r="C58" s="27" t="s">
        <v>126</v>
      </c>
      <c r="D58" s="76" t="s">
        <v>134</v>
      </c>
      <c r="E58" s="29" t="n">
        <v>1</v>
      </c>
      <c r="F58" s="29" t="n">
        <v>31550</v>
      </c>
      <c r="G58" s="78" t="n">
        <v>1</v>
      </c>
      <c r="H58" s="78" t="n">
        <v>31550</v>
      </c>
      <c r="I58" s="29" t="n">
        <f aca="false">IF(G58="","—",IFERROR(E58-G58,""))</f>
        <v>0</v>
      </c>
      <c r="J58" s="29" t="n">
        <f aca="false">IF(H58="","—",IFERROR(F58-H58,""))</f>
        <v>0</v>
      </c>
      <c r="K58" s="94"/>
      <c r="L58" s="94"/>
      <c r="M58" s="102" t="str">
        <f aca="false">IFERROR(L58/K58,"—")</f>
        <v>—</v>
      </c>
      <c r="N58" s="94"/>
      <c r="O58" s="78"/>
    </row>
    <row r="59" customFormat="false" ht="12.75" hidden="false" customHeight="true" outlineLevel="0" collapsed="false">
      <c r="B59" s="79" t="s">
        <v>147</v>
      </c>
      <c r="C59" s="22" t="s">
        <v>126</v>
      </c>
      <c r="D59" s="79" t="s">
        <v>148</v>
      </c>
      <c r="E59" s="24" t="n">
        <v>1</v>
      </c>
      <c r="F59" s="24" t="n">
        <v>18000</v>
      </c>
      <c r="G59" s="81" t="n">
        <v>1</v>
      </c>
      <c r="H59" s="81" t="n">
        <v>18000</v>
      </c>
      <c r="I59" s="24" t="n">
        <f aca="false">IF(G59="","—",IFERROR(E59-G59,""))</f>
        <v>0</v>
      </c>
      <c r="J59" s="24" t="n">
        <f aca="false">IF(H59="","—",IFERROR(F59-H59,""))</f>
        <v>0</v>
      </c>
      <c r="K59" s="94"/>
      <c r="L59" s="94"/>
      <c r="M59" s="103" t="str">
        <f aca="false">IFERROR(L59/K59,"—")</f>
        <v>—</v>
      </c>
      <c r="N59" s="94"/>
      <c r="O59" s="81"/>
    </row>
    <row r="60" customFormat="false" ht="12.75" hidden="false" customHeight="true" outlineLevel="0" collapsed="false">
      <c r="B60" s="76" t="s">
        <v>150</v>
      </c>
      <c r="C60" s="27" t="s">
        <v>126</v>
      </c>
      <c r="D60" s="76" t="s">
        <v>103</v>
      </c>
      <c r="E60" s="29" t="n">
        <v>1</v>
      </c>
      <c r="F60" s="29" t="n">
        <v>7825</v>
      </c>
      <c r="G60" s="78" t="n">
        <v>1</v>
      </c>
      <c r="H60" s="78" t="n">
        <v>7825</v>
      </c>
      <c r="I60" s="29" t="n">
        <f aca="false">IF(G60="","—",IFERROR(E60-G60,""))</f>
        <v>0</v>
      </c>
      <c r="J60" s="29" t="n">
        <f aca="false">IF(H60="","—",IFERROR(F60-H60,""))</f>
        <v>0</v>
      </c>
      <c r="K60" s="94"/>
      <c r="L60" s="94"/>
      <c r="M60" s="102" t="str">
        <f aca="false">IFERROR(L60/K60,"—")</f>
        <v>—</v>
      </c>
      <c r="N60" s="94"/>
      <c r="O60" s="78"/>
    </row>
    <row r="61" customFormat="false" ht="12.75" hidden="false" customHeight="true" outlineLevel="0" collapsed="false">
      <c r="B61" s="79" t="s">
        <v>151</v>
      </c>
      <c r="C61" s="22" t="s">
        <v>126</v>
      </c>
      <c r="D61" s="79" t="s">
        <v>103</v>
      </c>
      <c r="E61" s="24" t="n">
        <v>1</v>
      </c>
      <c r="F61" s="24" t="n">
        <v>7825</v>
      </c>
      <c r="G61" s="81" t="n">
        <v>1</v>
      </c>
      <c r="H61" s="81" t="n">
        <v>7825</v>
      </c>
      <c r="I61" s="24" t="n">
        <f aca="false">IF(G61="","—",IFERROR(E61-G61,""))</f>
        <v>0</v>
      </c>
      <c r="J61" s="24" t="n">
        <f aca="false">IF(H61="","—",IFERROR(F61-H61,""))</f>
        <v>0</v>
      </c>
      <c r="K61" s="94"/>
      <c r="L61" s="94"/>
      <c r="M61" s="103" t="str">
        <f aca="false">IFERROR(L61/K61,"—")</f>
        <v>—</v>
      </c>
      <c r="N61" s="94"/>
      <c r="O61" s="81"/>
    </row>
    <row r="62" customFormat="false" ht="12.75" hidden="false" customHeight="true" outlineLevel="0" collapsed="false">
      <c r="B62" s="76" t="s">
        <v>160</v>
      </c>
      <c r="C62" s="27" t="s">
        <v>153</v>
      </c>
      <c r="D62" s="76" t="s">
        <v>161</v>
      </c>
      <c r="E62" s="29" t="n">
        <v>1</v>
      </c>
      <c r="F62" s="29" t="n">
        <v>6099</v>
      </c>
      <c r="G62" s="78" t="n">
        <v>1</v>
      </c>
      <c r="H62" s="78" t="n">
        <v>6099</v>
      </c>
      <c r="I62" s="29" t="n">
        <f aca="false">IF(G62="","—",IFERROR(E62-G62,""))</f>
        <v>0</v>
      </c>
      <c r="J62" s="29" t="n">
        <f aca="false">IF(H62="","—",IFERROR(F62-H62,""))</f>
        <v>0</v>
      </c>
      <c r="K62" s="94"/>
      <c r="L62" s="94"/>
      <c r="M62" s="102" t="str">
        <f aca="false">IFERROR(L62/K62,"—")</f>
        <v>—</v>
      </c>
      <c r="N62" s="94"/>
      <c r="O62" s="78"/>
    </row>
    <row r="63" customFormat="false" ht="12.75" hidden="false" customHeight="true" outlineLevel="0" collapsed="false">
      <c r="B63" s="79" t="s">
        <v>162</v>
      </c>
      <c r="C63" s="22" t="s">
        <v>153</v>
      </c>
      <c r="D63" s="79" t="s">
        <v>161</v>
      </c>
      <c r="E63" s="24" t="n">
        <v>1</v>
      </c>
      <c r="F63" s="24" t="n">
        <v>4199</v>
      </c>
      <c r="G63" s="81" t="n">
        <v>1</v>
      </c>
      <c r="H63" s="81" t="n">
        <v>4199</v>
      </c>
      <c r="I63" s="24" t="n">
        <f aca="false">IF(G63="","—",IFERROR(E63-G63,""))</f>
        <v>0</v>
      </c>
      <c r="J63" s="24" t="n">
        <f aca="false">IF(H63="","—",IFERROR(F63-H63,""))</f>
        <v>0</v>
      </c>
      <c r="K63" s="94"/>
      <c r="L63" s="94"/>
      <c r="M63" s="103" t="str">
        <f aca="false">IFERROR(L63/K63,"—")</f>
        <v>—</v>
      </c>
      <c r="N63" s="94"/>
      <c r="O63" s="81"/>
    </row>
    <row r="64" customFormat="false" ht="12.75" hidden="false" customHeight="true" outlineLevel="0" collapsed="false">
      <c r="B64" s="76" t="s">
        <v>106</v>
      </c>
      <c r="C64" s="27" t="s">
        <v>105</v>
      </c>
      <c r="D64" s="76" t="s">
        <v>63</v>
      </c>
      <c r="E64" s="29" t="n">
        <v>5</v>
      </c>
      <c r="F64" s="29" t="n">
        <v>2470</v>
      </c>
      <c r="G64" s="78" t="n">
        <v>5</v>
      </c>
      <c r="H64" s="78" t="n">
        <v>2470</v>
      </c>
      <c r="I64" s="29" t="n">
        <f aca="false">IF(G64="","—",IFERROR(E64-G64,""))</f>
        <v>0</v>
      </c>
      <c r="J64" s="29" t="n">
        <f aca="false">IF(H64="","—",IFERROR(F64-H64,""))</f>
        <v>0</v>
      </c>
      <c r="K64" s="94"/>
      <c r="L64" s="94"/>
      <c r="M64" s="102" t="str">
        <f aca="false">IFERROR(L64/K64,"—")</f>
        <v>—</v>
      </c>
      <c r="N64" s="94"/>
      <c r="O64" s="78"/>
    </row>
    <row r="65" customFormat="false" ht="12.75" hidden="false" customHeight="true" outlineLevel="0" collapsed="false">
      <c r="B65" s="79" t="s">
        <v>62</v>
      </c>
      <c r="C65" s="22" t="s">
        <v>57</v>
      </c>
      <c r="D65" s="79" t="s">
        <v>63</v>
      </c>
      <c r="E65" s="24" t="n">
        <v>1</v>
      </c>
      <c r="F65" s="24" t="n">
        <v>2050</v>
      </c>
      <c r="G65" s="81" t="n">
        <v>1</v>
      </c>
      <c r="H65" s="81" t="n">
        <v>2050</v>
      </c>
      <c r="I65" s="24" t="n">
        <f aca="false">IF(G65="","—",IFERROR(E65-G65,""))</f>
        <v>0</v>
      </c>
      <c r="J65" s="24" t="n">
        <f aca="false">IF(H65="","—",IFERROR(F65-H65,""))</f>
        <v>0</v>
      </c>
      <c r="K65" s="94"/>
      <c r="L65" s="94"/>
      <c r="M65" s="103" t="str">
        <f aca="false">IFERROR(L65/K65,"—")</f>
        <v>—</v>
      </c>
      <c r="N65" s="94"/>
      <c r="O65" s="81"/>
    </row>
    <row r="66" customFormat="false" ht="12.75" hidden="false" customHeight="true" outlineLevel="0" collapsed="false">
      <c r="B66" s="76" t="s">
        <v>77</v>
      </c>
      <c r="C66" s="27" t="s">
        <v>73</v>
      </c>
      <c r="D66" s="76" t="s">
        <v>78</v>
      </c>
      <c r="E66" s="29" t="n">
        <v>1</v>
      </c>
      <c r="F66" s="29" t="n">
        <v>1596</v>
      </c>
      <c r="G66" s="78" t="n">
        <v>1</v>
      </c>
      <c r="H66" s="78" t="n">
        <v>1596</v>
      </c>
      <c r="I66" s="29" t="n">
        <f aca="false">IF(G66="","—",IFERROR(E66-G66,""))</f>
        <v>0</v>
      </c>
      <c r="J66" s="29" t="n">
        <f aca="false">IF(H66="","—",IFERROR(F66-H66,""))</f>
        <v>0</v>
      </c>
      <c r="K66" s="94"/>
      <c r="L66" s="94"/>
      <c r="M66" s="102" t="str">
        <f aca="false">IFERROR(L66/K66,"—")</f>
        <v>—</v>
      </c>
      <c r="N66" s="94"/>
      <c r="O66" s="78"/>
    </row>
    <row r="67" customFormat="false" ht="12.75" hidden="false" customHeight="true" outlineLevel="0" collapsed="false">
      <c r="B67" s="79" t="s">
        <v>79</v>
      </c>
      <c r="C67" s="22" t="s">
        <v>73</v>
      </c>
      <c r="D67" s="79" t="s">
        <v>78</v>
      </c>
      <c r="E67" s="24" t="n">
        <v>1</v>
      </c>
      <c r="F67" s="24" t="n">
        <v>1200</v>
      </c>
      <c r="G67" s="81" t="n">
        <v>1</v>
      </c>
      <c r="H67" s="81" t="n">
        <v>1200</v>
      </c>
      <c r="I67" s="24" t="n">
        <f aca="false">IF(G67="","—",IFERROR(E67-G67,""))</f>
        <v>0</v>
      </c>
      <c r="J67" s="24" t="n">
        <f aca="false">IF(H67="","—",IFERROR(F67-H67,""))</f>
        <v>0</v>
      </c>
      <c r="K67" s="94"/>
      <c r="L67" s="94"/>
      <c r="M67" s="103" t="str">
        <f aca="false">IFERROR(L67/K67,"—")</f>
        <v>—</v>
      </c>
      <c r="N67" s="94"/>
      <c r="O67" s="81"/>
    </row>
    <row r="68" customFormat="false" ht="12.75" hidden="false" customHeight="true" outlineLevel="0" collapsed="false">
      <c r="B68" s="76" t="s">
        <v>80</v>
      </c>
      <c r="C68" s="27" t="s">
        <v>73</v>
      </c>
      <c r="D68" s="76" t="s">
        <v>78</v>
      </c>
      <c r="E68" s="29" t="n">
        <v>1</v>
      </c>
      <c r="F68" s="29" t="n">
        <v>1126</v>
      </c>
      <c r="G68" s="78" t="n">
        <v>1</v>
      </c>
      <c r="H68" s="78" t="n">
        <v>1126</v>
      </c>
      <c r="I68" s="29" t="n">
        <f aca="false">IF(G68="","—",IFERROR(E68-G68,""))</f>
        <v>0</v>
      </c>
      <c r="J68" s="29" t="n">
        <f aca="false">IF(H68="","—",IFERROR(F68-H68,""))</f>
        <v>0</v>
      </c>
      <c r="K68" s="94"/>
      <c r="L68" s="94"/>
      <c r="M68" s="102" t="str">
        <f aca="false">IFERROR(L68/K68,"—")</f>
        <v>—</v>
      </c>
      <c r="N68" s="94"/>
      <c r="O68" s="78"/>
    </row>
    <row r="69" customFormat="false" ht="12.75" hidden="false" customHeight="true" outlineLevel="0" collapsed="false">
      <c r="B69" s="79" t="s">
        <v>81</v>
      </c>
      <c r="C69" s="22" t="s">
        <v>73</v>
      </c>
      <c r="D69" s="79" t="s">
        <v>78</v>
      </c>
      <c r="E69" s="24" t="n">
        <v>1</v>
      </c>
      <c r="F69" s="24" t="n">
        <v>645</v>
      </c>
      <c r="G69" s="81" t="n">
        <v>1</v>
      </c>
      <c r="H69" s="81" t="n">
        <v>645</v>
      </c>
      <c r="I69" s="24" t="n">
        <f aca="false">IF(G69="","—",IFERROR(E69-G69,""))</f>
        <v>0</v>
      </c>
      <c r="J69" s="24" t="n">
        <f aca="false">IF(H69="","—",IFERROR(F69-H69,""))</f>
        <v>0</v>
      </c>
      <c r="K69" s="94"/>
      <c r="L69" s="94"/>
      <c r="M69" s="103" t="str">
        <f aca="false">IFERROR(L69/K69,"—")</f>
        <v>—</v>
      </c>
      <c r="N69" s="94"/>
      <c r="O69" s="81"/>
    </row>
    <row r="70" customFormat="false" ht="12.75" hidden="false" customHeight="true" outlineLevel="0" collapsed="false">
      <c r="B70" s="76" t="s">
        <v>82</v>
      </c>
      <c r="C70" s="27" t="s">
        <v>73</v>
      </c>
      <c r="D70" s="76" t="s">
        <v>78</v>
      </c>
      <c r="E70" s="29" t="n">
        <v>1</v>
      </c>
      <c r="F70" s="29" t="n">
        <v>645</v>
      </c>
      <c r="G70" s="78" t="n">
        <v>1</v>
      </c>
      <c r="H70" s="78" t="n">
        <v>645</v>
      </c>
      <c r="I70" s="29" t="n">
        <f aca="false">IF(G70="","—",IFERROR(E70-G70,""))</f>
        <v>0</v>
      </c>
      <c r="J70" s="29" t="n">
        <f aca="false">IF(H70="","—",IFERROR(F70-H70,""))</f>
        <v>0</v>
      </c>
      <c r="K70" s="94"/>
      <c r="L70" s="94"/>
      <c r="M70" s="102" t="str">
        <f aca="false">IFERROR(L70/K70,"—")</f>
        <v>—</v>
      </c>
      <c r="N70" s="94"/>
      <c r="O70" s="78"/>
    </row>
    <row r="71" customFormat="false" ht="12.75" hidden="false" customHeight="true" outlineLevel="0" collapsed="false">
      <c r="B71" s="79" t="s">
        <v>107</v>
      </c>
      <c r="C71" s="22" t="s">
        <v>105</v>
      </c>
      <c r="D71" s="79" t="s">
        <v>63</v>
      </c>
      <c r="E71" s="24" t="n">
        <v>1</v>
      </c>
      <c r="F71" s="24" t="n">
        <v>494</v>
      </c>
      <c r="G71" s="81" t="n">
        <v>1</v>
      </c>
      <c r="H71" s="81" t="n">
        <v>494</v>
      </c>
      <c r="I71" s="24" t="n">
        <f aca="false">IF(G71="","—",IFERROR(E71-G71,""))</f>
        <v>0</v>
      </c>
      <c r="J71" s="24" t="n">
        <f aca="false">IF(H71="","—",IFERROR(F71-H71,""))</f>
        <v>0</v>
      </c>
      <c r="K71" s="94"/>
      <c r="L71" s="94"/>
      <c r="M71" s="103" t="str">
        <f aca="false">IFERROR(L71/K71,"—")</f>
        <v>—</v>
      </c>
      <c r="N71" s="94"/>
      <c r="O71" s="81"/>
    </row>
    <row r="72" customFormat="false" ht="6" hidden="false" customHeight="true" outlineLevel="0" collapsed="false"/>
    <row r="73" customFormat="false" ht="15.75" hidden="false" customHeight="true" outlineLevel="0" collapsed="false">
      <c r="B73" s="99" t="s">
        <v>649</v>
      </c>
      <c r="C73" s="99"/>
      <c r="D73" s="99"/>
      <c r="E73" s="100"/>
      <c r="F73" s="100"/>
      <c r="G73" s="100"/>
      <c r="H73" s="100"/>
      <c r="I73" s="100"/>
      <c r="J73" s="100"/>
      <c r="K73" s="101" t="n">
        <f aca="false">SUM(K74:K75)</f>
        <v>0</v>
      </c>
      <c r="L73" s="100"/>
      <c r="M73" s="100"/>
      <c r="N73" s="101" t="n">
        <f aca="false">SUM(N74:N75)</f>
        <v>0</v>
      </c>
      <c r="O73" s="100"/>
    </row>
    <row r="74" customFormat="false" ht="12.75" hidden="false" customHeight="true" outlineLevel="0" collapsed="false">
      <c r="B74" s="76" t="s">
        <v>156</v>
      </c>
      <c r="C74" s="27" t="s">
        <v>153</v>
      </c>
      <c r="D74" s="76" t="s">
        <v>157</v>
      </c>
      <c r="E74" s="29" t="n">
        <v>2</v>
      </c>
      <c r="F74" s="29" t="n">
        <v>48000</v>
      </c>
      <c r="G74" s="78" t="n">
        <v>2</v>
      </c>
      <c r="H74" s="78" t="n">
        <v>48000</v>
      </c>
      <c r="I74" s="29" t="n">
        <f aca="false">IF(G74="","—",IFERROR(E74-G74,""))</f>
        <v>0</v>
      </c>
      <c r="J74" s="29" t="n">
        <f aca="false">IF(H74="","—",IFERROR(F74-H74,""))</f>
        <v>0</v>
      </c>
      <c r="K74" s="94"/>
      <c r="L74" s="94"/>
      <c r="M74" s="102" t="str">
        <f aca="false">IFERROR(L74/K74,"—")</f>
        <v>—</v>
      </c>
      <c r="N74" s="94"/>
      <c r="O74" s="78"/>
    </row>
    <row r="75" customFormat="false" ht="12.75" hidden="false" customHeight="true" outlineLevel="0" collapsed="false">
      <c r="B75" s="79" t="s">
        <v>159</v>
      </c>
      <c r="C75" s="22" t="s">
        <v>153</v>
      </c>
      <c r="D75" s="79" t="s">
        <v>157</v>
      </c>
      <c r="E75" s="24" t="n">
        <v>1</v>
      </c>
      <c r="F75" s="24" t="n">
        <v>22150</v>
      </c>
      <c r="G75" s="81" t="n">
        <v>1</v>
      </c>
      <c r="H75" s="81" t="n">
        <v>22150</v>
      </c>
      <c r="I75" s="24" t="n">
        <f aca="false">IF(G75="","—",IFERROR(E75-G75,""))</f>
        <v>0</v>
      </c>
      <c r="J75" s="24" t="n">
        <f aca="false">IF(H75="","—",IFERROR(F75-H75,""))</f>
        <v>0</v>
      </c>
      <c r="K75" s="94"/>
      <c r="L75" s="94"/>
      <c r="M75" s="103" t="str">
        <f aca="false">IFERROR(L75/K75,"—")</f>
        <v>—</v>
      </c>
      <c r="N75" s="94"/>
      <c r="O75" s="81"/>
    </row>
    <row r="76" customFormat="false" ht="6" hidden="false" customHeight="true" outlineLevel="0" collapsed="false"/>
    <row r="77" customFormat="false" ht="15.75" hidden="false" customHeight="true" outlineLevel="0" collapsed="false">
      <c r="B77" s="99" t="s">
        <v>650</v>
      </c>
      <c r="C77" s="99"/>
      <c r="D77" s="99"/>
      <c r="E77" s="100"/>
      <c r="F77" s="100"/>
      <c r="G77" s="100"/>
      <c r="H77" s="100"/>
      <c r="I77" s="100"/>
      <c r="J77" s="100"/>
      <c r="K77" s="101" t="n">
        <f aca="false">SUM(K78)</f>
        <v>0</v>
      </c>
      <c r="L77" s="100"/>
      <c r="M77" s="100"/>
      <c r="N77" s="101" t="n">
        <f aca="false">SUM(N78)</f>
        <v>0</v>
      </c>
      <c r="O77" s="100"/>
    </row>
    <row r="78" customFormat="false" ht="12.75" hidden="false" customHeight="true" outlineLevel="0" collapsed="false">
      <c r="B78" s="76" t="s">
        <v>70</v>
      </c>
      <c r="C78" s="27" t="s">
        <v>66</v>
      </c>
      <c r="D78" s="76" t="s">
        <v>68</v>
      </c>
      <c r="E78" s="29" t="n">
        <v>1</v>
      </c>
      <c r="F78" s="29" t="n">
        <v>2200</v>
      </c>
      <c r="G78" s="78" t="n">
        <v>1</v>
      </c>
      <c r="H78" s="78" t="n">
        <v>2200</v>
      </c>
      <c r="I78" s="29" t="n">
        <f aca="false">IF(G78="","—",IFERROR(E78-G78,""))</f>
        <v>0</v>
      </c>
      <c r="J78" s="29" t="n">
        <f aca="false">IF(H78="","—",IFERROR(F78-H78,""))</f>
        <v>0</v>
      </c>
      <c r="K78" s="94"/>
      <c r="L78" s="94"/>
      <c r="M78" s="102" t="str">
        <f aca="false">IFERROR(L78/K78,"—")</f>
        <v>—</v>
      </c>
      <c r="N78" s="94"/>
      <c r="O78" s="78"/>
    </row>
    <row r="79" customFormat="false" ht="6" hidden="false" customHeight="true" outlineLevel="0" collapsed="false"/>
    <row r="80" customFormat="false" ht="15.75" hidden="false" customHeight="true" outlineLevel="0" collapsed="false">
      <c r="B80" s="104" t="s">
        <v>651</v>
      </c>
      <c r="C80" s="104"/>
      <c r="D80" s="104"/>
      <c r="E80" s="100"/>
      <c r="F80" s="100"/>
      <c r="G80" s="100"/>
      <c r="H80" s="100"/>
      <c r="I80" s="100"/>
      <c r="J80" s="100"/>
      <c r="K80" s="101" t="n">
        <f aca="false">SUM(K81)</f>
        <v>0</v>
      </c>
      <c r="L80" s="100"/>
      <c r="M80" s="100"/>
      <c r="N80" s="101" t="n">
        <f aca="false">SUM(N81)</f>
        <v>0</v>
      </c>
      <c r="O80" s="100"/>
    </row>
    <row r="81" customFormat="false" ht="12.75" hidden="false" customHeight="true" outlineLevel="0" collapsed="false">
      <c r="B81" s="58" t="s">
        <v>74</v>
      </c>
      <c r="C81" s="58" t="s">
        <v>73</v>
      </c>
      <c r="D81" s="58" t="s">
        <v>75</v>
      </c>
      <c r="E81" s="20" t="n">
        <v>113</v>
      </c>
      <c r="F81" s="20" t="n">
        <v>22600</v>
      </c>
      <c r="G81" s="60" t="n">
        <v>113</v>
      </c>
      <c r="H81" s="60" t="n">
        <v>22600</v>
      </c>
      <c r="I81" s="20" t="n">
        <f aca="false">IF(G81="","—",IFERROR(E81-G81,""))</f>
        <v>0</v>
      </c>
      <c r="J81" s="20" t="n">
        <f aca="false">IF(H81="","—",IFERROR(F81-H81,""))</f>
        <v>0</v>
      </c>
      <c r="K81" s="94"/>
      <c r="L81" s="94"/>
      <c r="M81" s="105" t="str">
        <f aca="false">IFERROR(L81/K81,"—")</f>
        <v>—</v>
      </c>
      <c r="N81" s="94"/>
      <c r="O81" s="60"/>
    </row>
    <row r="82" customFormat="false" ht="6" hidden="false" customHeight="true" outlineLevel="0" collapsed="false"/>
    <row r="83" customFormat="false" ht="15" hidden="false" customHeight="false" outlineLevel="0" collapsed="false">
      <c r="B83" s="106" t="s">
        <v>21</v>
      </c>
      <c r="C83" s="106"/>
      <c r="D83" s="106"/>
      <c r="E83" s="35" t="n">
        <v>248</v>
      </c>
      <c r="F83" s="35" t="n">
        <v>1433909</v>
      </c>
      <c r="G83" s="37" t="n">
        <v>248</v>
      </c>
      <c r="H83" s="37" t="n">
        <v>1433909</v>
      </c>
      <c r="I83" s="37"/>
      <c r="J83" s="37"/>
      <c r="K83" s="37"/>
      <c r="L83" s="37"/>
      <c r="M83" s="37"/>
      <c r="N83" s="37"/>
      <c r="O83" s="37"/>
    </row>
    <row r="84" customFormat="false" ht="15" hidden="false" customHeight="false" outlineLevel="0" collapsed="false"/>
    <row r="85" customFormat="false" ht="13.5" hidden="false" customHeight="true" outlineLevel="0" collapsed="false">
      <c r="B85" s="107" t="s">
        <v>652</v>
      </c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</row>
    <row r="86" customFormat="false" ht="13.5" hidden="false" customHeight="true" outlineLevel="0" collapsed="false">
      <c r="B86" s="107" t="s">
        <v>653</v>
      </c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</row>
    <row r="87" customFormat="false" ht="13.5" hidden="false" customHeight="true" outlineLevel="0" collapsed="false">
      <c r="B87" s="108" t="s">
        <v>654</v>
      </c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</row>
    <row r="88" customFormat="false" ht="13.5" hidden="false" customHeight="true" outlineLevel="0" collapsed="false">
      <c r="B88" s="108" t="s">
        <v>655</v>
      </c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</row>
    <row r="89" customFormat="false" ht="15" hidden="false" customHeight="false" outlineLevel="0" collapsed="false"/>
    <row r="90" customFormat="false" ht="15" hidden="false" customHeight="false" outlineLevel="0" collapsed="false">
      <c r="B90" s="52" t="s">
        <v>656</v>
      </c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</row>
  </sheetData>
  <mergeCells count="16">
    <mergeCell ref="B2:O2"/>
    <mergeCell ref="B3:O3"/>
    <mergeCell ref="B5:O5"/>
    <mergeCell ref="B6:O6"/>
    <mergeCell ref="B9:D9"/>
    <mergeCell ref="B51:D51"/>
    <mergeCell ref="B57:D57"/>
    <mergeCell ref="B73:D73"/>
    <mergeCell ref="B77:D77"/>
    <mergeCell ref="B80:D80"/>
    <mergeCell ref="B83:D83"/>
    <mergeCell ref="B85:O85"/>
    <mergeCell ref="B86:O86"/>
    <mergeCell ref="B87:O87"/>
    <mergeCell ref="B88:O88"/>
    <mergeCell ref="B90:O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2026-03-12T03:53:00Z</dcterms:created>
  <dc:creator>openpyxl</dc:creator>
  <dc:description/>
  <dc:language>en-US</dc:language>
  <cp:lastModifiedBy>miaworkbook</cp:lastModifiedBy>
  <dcterms:modified xsi:type="dcterms:W3CDTF">2026-03-13T03:42:13Z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735927D48760DA9D0982B26932F7D865_42</vt:lpwstr>
  </property>
  <property fmtid="{D5CDD505-2E9C-101B-9397-08002B2CF9AE}" pid="3" name="KSOProductBuildVer">
    <vt:lpwstr>2052-7.2.1.8947</vt:lpwstr>
  </property>
</Properties>
</file>