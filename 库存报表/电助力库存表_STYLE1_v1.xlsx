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车架库存" sheetId="2" state="visible" r:id="rId4"/>
    <sheet name="零部件库存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批注</author>
  </authors>
  <commentList>
    <comment ref="C12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C15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C21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C22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C24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C35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C37" authorId="0">
      <text>
        <r>
          <rPr>
            <sz val="10"/>
            <rFont val="DejaVu Sans"/>
            <family val="2"/>
          </rPr>
          <t xml:space="preserve">展厅展示车 — 非可售库存，应独立追踪「在展状态」。</t>
        </r>
      </text>
    </comment>
    <comment ref="H14" authorId="0">
      <text>
        <r>
          <rPr>
            <sz val="10"/>
            <rFont val="DejaVu Sans"/>
            <family val="2"/>
          </rPr>
          <t xml:space="preserve">⚠ 装车已交付</t>
        </r>
        <r>
          <rPr>
            <sz val="10"/>
            <rFont val="Arial"/>
            <family val="2"/>
          </rPr>
          <t xml:space="preserve">(4) &gt; </t>
        </r>
        <r>
          <rPr>
            <sz val="10"/>
            <rFont val="DejaVu Sans"/>
            <family val="2"/>
          </rPr>
          <t xml:space="preserve">出库</t>
        </r>
        <r>
          <rPr>
            <sz val="10"/>
            <rFont val="Arial"/>
            <family val="2"/>
          </rPr>
          <t xml:space="preserve">(3)</t>
        </r>
        <r>
          <rPr>
            <sz val="10"/>
            <rFont val="DejaVu Sans"/>
            <family val="2"/>
          </rPr>
          <t xml:space="preserve">，逻辑矛盾，请核查出库单。</t>
        </r>
      </text>
    </comment>
    <comment ref="L56" authorId="0">
      <text>
        <r>
          <rPr>
            <sz val="10"/>
            <rFont val="DejaVu Sans"/>
            <family val="2"/>
          </rPr>
          <t xml:space="preserve">⚠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台，数量偏大，需确认是否有匹配订单。</t>
        </r>
      </text>
    </comment>
    <comment ref="L60" authorId="0">
      <text>
        <r>
          <rPr>
            <sz val="10"/>
            <rFont val="DejaVu Sans"/>
            <family val="2"/>
          </rPr>
          <t xml:space="preserve">⚠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台，数量偏大，需确认是否有匹配订单。</t>
        </r>
      </text>
    </comment>
    <comment ref="L64" authorId="0">
      <text>
        <r>
          <rPr>
            <sz val="10"/>
            <rFont val="DejaVu Sans"/>
            <family val="2"/>
          </rPr>
          <t xml:space="preserve">⚠ 补土升级库存 </t>
        </r>
        <r>
          <rPr>
            <sz val="10"/>
            <rFont val="Arial"/>
            <family val="2"/>
          </rPr>
          <t xml:space="preserve">27 </t>
        </r>
        <r>
          <rPr>
            <sz val="10"/>
            <rFont val="DejaVu Sans"/>
            <family val="2"/>
          </rPr>
          <t xml:space="preserve">台，数量偏大，需确认是否有匹配订单。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批注</author>
  </authors>
  <commentList>
    <comment ref="G5" authorId="0">
      <text>
        <r>
          <rPr>
            <sz val="10"/>
            <rFont val="DejaVu Sans"/>
            <family val="2"/>
          </rPr>
          <t xml:space="preserve">⚠ 电机 </t>
        </r>
        <r>
          <rPr>
            <sz val="10"/>
            <rFont val="Arial"/>
            <family val="2"/>
          </rPr>
          <t xml:space="preserve">M820 Pro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8" authorId="0">
      <text>
        <r>
          <rPr>
            <sz val="10"/>
            <rFont val="DejaVu Sans"/>
            <family val="2"/>
          </rPr>
          <t xml:space="preserve">⚠ 充电器 </t>
        </r>
        <r>
          <rPr>
            <sz val="10"/>
            <rFont val="Arial"/>
            <family val="2"/>
          </rPr>
          <t xml:space="preserve">6A</t>
        </r>
        <r>
          <rPr>
            <sz val="10"/>
            <rFont val="DejaVu Sans"/>
            <family val="2"/>
          </rPr>
          <t xml:space="preserve">快充 成本未录入。库存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0" authorId="0">
      <text>
        <r>
          <rPr>
            <sz val="10"/>
            <rFont val="DejaVu Sans"/>
            <family val="2"/>
          </rPr>
          <t xml:space="preserve">⚠ 威狐</t>
        </r>
        <r>
          <rPr>
            <sz val="10"/>
            <rFont val="Arial"/>
            <family val="2"/>
          </rPr>
          <t xml:space="preserve">DM08C&amp;RM05 </t>
        </r>
        <r>
          <rPr>
            <sz val="10"/>
            <rFont val="DejaVu Sans"/>
            <family val="2"/>
          </rPr>
          <t xml:space="preserve">弯把仪表 成本未录入。库存</t>
        </r>
        <r>
          <rPr>
            <sz val="10"/>
            <rFont val="Arial"/>
            <family val="2"/>
          </rPr>
          <t xml:space="preserve">161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1" authorId="0">
      <text>
        <r>
          <rPr>
            <sz val="10"/>
            <rFont val="DejaVu Sans"/>
            <family val="2"/>
          </rPr>
          <t xml:space="preserve">⚠ 威狐</t>
        </r>
        <r>
          <rPr>
            <sz val="10"/>
            <rFont val="Arial"/>
            <family val="2"/>
          </rPr>
          <t xml:space="preserve">DM08C&amp;RM01 </t>
        </r>
        <r>
          <rPr>
            <sz val="10"/>
            <rFont val="DejaVu Sans"/>
            <family val="2"/>
          </rPr>
          <t xml:space="preserve">平把仪表 成本未录入。库存</t>
        </r>
        <r>
          <rPr>
            <sz val="10"/>
            <rFont val="Arial"/>
            <family val="2"/>
          </rPr>
          <t xml:space="preserve">22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2" authorId="0">
      <text>
        <r>
          <rPr>
            <sz val="10"/>
            <rFont val="DejaVu Sans"/>
            <family val="2"/>
          </rPr>
          <t xml:space="preserve">⚠ 直把电变指拨 成本未录入。库存</t>
        </r>
        <r>
          <rPr>
            <sz val="10"/>
            <rFont val="Arial"/>
            <family val="2"/>
          </rPr>
          <t xml:space="preserve">16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8" authorId="0">
      <text>
        <r>
          <rPr>
            <sz val="10"/>
            <rFont val="DejaVu Sans"/>
            <family val="2"/>
          </rPr>
          <t xml:space="preserve">⚠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铝 </t>
        </r>
        <r>
          <rPr>
            <sz val="10"/>
            <rFont val="Arial"/>
            <family val="2"/>
          </rPr>
          <t xml:space="preserve">160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18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19" authorId="0">
      <text>
        <r>
          <rPr>
            <sz val="10"/>
            <rFont val="DejaVu Sans"/>
            <family val="2"/>
          </rPr>
          <t xml:space="preserve">⚠ 旧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碳 </t>
        </r>
        <r>
          <rPr>
            <sz val="10"/>
            <rFont val="Arial"/>
            <family val="2"/>
          </rPr>
          <t xml:space="preserve">165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17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2" authorId="0">
      <text>
        <r>
          <rPr>
            <sz val="10"/>
            <rFont val="DejaVu Sans"/>
            <family val="2"/>
          </rPr>
          <t xml:space="preserve">⚠ 旧 曲柄 </t>
        </r>
        <r>
          <rPr>
            <sz val="10"/>
            <rFont val="Arial"/>
            <family val="2"/>
          </rPr>
          <t xml:space="preserve">M820 </t>
        </r>
        <r>
          <rPr>
            <sz val="10"/>
            <rFont val="DejaVu Sans"/>
            <family val="2"/>
          </rPr>
          <t xml:space="preserve">碳 </t>
        </r>
        <r>
          <rPr>
            <sz val="10"/>
            <rFont val="Arial"/>
            <family val="2"/>
          </rPr>
          <t xml:space="preserve">170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7" authorId="0">
      <text>
        <r>
          <rPr>
            <sz val="10"/>
            <rFont val="DejaVu Sans"/>
            <family val="2"/>
          </rPr>
          <t xml:space="preserve">⚠ 弯把 星尘 </t>
        </r>
        <r>
          <rPr>
            <sz val="10"/>
            <rFont val="Arial"/>
            <family val="2"/>
          </rPr>
          <t xml:space="preserve">420-100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28" authorId="0">
      <text>
        <r>
          <rPr>
            <sz val="10"/>
            <rFont val="DejaVu Sans"/>
            <family val="2"/>
          </rPr>
          <t xml:space="preserve">⚠ 弯把 星尘 </t>
        </r>
        <r>
          <rPr>
            <sz val="10"/>
            <rFont val="Arial"/>
            <family val="2"/>
          </rPr>
          <t xml:space="preserve">400-90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6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30" authorId="0">
      <text>
        <r>
          <rPr>
            <sz val="10"/>
            <rFont val="DejaVu Sans"/>
            <family val="2"/>
          </rPr>
          <t xml:space="preserve">⚠ 弯把 星尘 </t>
        </r>
        <r>
          <rPr>
            <sz val="10"/>
            <rFont val="Arial"/>
            <family val="2"/>
          </rPr>
          <t xml:space="preserve">380-80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5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31" authorId="0">
      <text>
        <r>
          <rPr>
            <sz val="10"/>
            <rFont val="DejaVu Sans"/>
            <family val="2"/>
          </rPr>
          <t xml:space="preserve">⚠ 弯把 新星尘（粉） </t>
        </r>
        <r>
          <rPr>
            <sz val="10"/>
            <rFont val="Arial"/>
            <family val="2"/>
          </rPr>
          <t xml:space="preserve">400-90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  <comment ref="G32" authorId="0">
      <text>
        <r>
          <rPr>
            <sz val="10"/>
            <rFont val="DejaVu Sans"/>
            <family val="2"/>
          </rPr>
          <t xml:space="preserve">⚠ 弯把 新星尘（粉） </t>
        </r>
        <r>
          <rPr>
            <sz val="10"/>
            <rFont val="Arial"/>
            <family val="2"/>
          </rPr>
          <t xml:space="preserve">380-80 </t>
        </r>
        <r>
          <rPr>
            <sz val="10"/>
            <rFont val="DejaVu Sans"/>
            <family val="2"/>
          </rPr>
          <t xml:space="preserve">成本未录入。库存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DejaVu Sans"/>
            <family val="2"/>
          </rPr>
          <t xml:space="preserve">件，无法计入</t>
        </r>
        <r>
          <rPr>
            <sz val="10"/>
            <rFont val="Arial"/>
            <family val="2"/>
          </rPr>
          <t xml:space="preserve">BOM</t>
        </r>
        <r>
          <rPr>
            <sz val="10"/>
            <rFont val="DejaVu Sans"/>
            <family val="2"/>
          </rPr>
          <t xml:space="preserve">。请在飞书零部件</t>
        </r>
        <r>
          <rPr>
            <sz val="10"/>
            <rFont val="Arial"/>
            <family val="2"/>
          </rPr>
          <t xml:space="preserve">SKU</t>
        </r>
        <r>
          <rPr>
            <sz val="10"/>
            <rFont val="DejaVu Sans"/>
            <family val="2"/>
          </rPr>
          <t xml:space="preserve">表「成本」字段补录。</t>
        </r>
      </text>
    </comment>
  </commentList>
</comments>
</file>

<file path=xl/sharedStrings.xml><?xml version="1.0" encoding="utf-8"?>
<sst xmlns="http://schemas.openxmlformats.org/spreadsheetml/2006/main" count="547" uniqueCount="128">
  <si>
    <t xml:space="preserve">电助力库存总览</t>
  </si>
  <si>
    <r>
      <rPr>
        <i val="true"/>
        <sz val="9"/>
        <color rgb="FF555555"/>
        <rFont val="DejaVu Sans"/>
        <family val="2"/>
      </rPr>
      <t xml:space="preserve">宇宙销售统计中心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DejaVu Sans"/>
        <family val="2"/>
      </rPr>
      <t xml:space="preserve">截至 </t>
    </r>
    <r>
      <rPr>
        <i val="true"/>
        <sz val="9"/>
        <color rgb="FF555555"/>
        <rFont val="Arial"/>
        <family val="0"/>
        <charset val="1"/>
      </rPr>
      <t xml:space="preserve">2026-03-11</t>
    </r>
  </si>
  <si>
    <r>
      <rPr>
        <sz val="9"/>
        <color rgb="FF555555"/>
        <rFont val="Arial"/>
        <family val="0"/>
        <charset val="1"/>
      </rPr>
      <t xml:space="preserve">VAPOR SL </t>
    </r>
    <r>
      <rPr>
        <sz val="9"/>
        <color rgb="FF555555"/>
        <rFont val="DejaVu Sans"/>
        <family val="2"/>
      </rPr>
      <t xml:space="preserve">碳纤维车架库存</t>
    </r>
  </si>
  <si>
    <r>
      <rPr>
        <sz val="9"/>
        <color rgb="FF555555"/>
        <rFont val="Arial"/>
        <family val="0"/>
        <charset val="1"/>
      </rPr>
      <t xml:space="preserve">VAPOR </t>
    </r>
    <r>
      <rPr>
        <sz val="9"/>
        <color rgb="FF555555"/>
        <rFont val="DejaVu Sans"/>
        <family val="2"/>
      </rPr>
      <t xml:space="preserve">铝合金车架库存</t>
    </r>
  </si>
  <si>
    <r>
      <rPr>
        <sz val="9"/>
        <color rgb="FF555555"/>
        <rFont val="DejaVu Sans"/>
        <family val="2"/>
      </rPr>
      <t xml:space="preserve">零部件有库存 </t>
    </r>
    <r>
      <rPr>
        <sz val="9"/>
        <color rgb="FF555555"/>
        <rFont val="Arial"/>
        <family val="0"/>
        <charset val="1"/>
      </rPr>
      <t xml:space="preserve">SKU</t>
    </r>
  </si>
  <si>
    <t xml:space="preserve">台</t>
  </si>
  <si>
    <t xml:space="preserve">种</t>
  </si>
  <si>
    <r>
      <rPr>
        <b val="true"/>
        <sz val="11"/>
        <color rgb="FF111111"/>
        <rFont val="DejaVu Sans"/>
        <family val="2"/>
      </rPr>
      <t xml:space="preserve">⚠  数据质量问题  </t>
    </r>
    <r>
      <rPr>
        <b val="true"/>
        <sz val="11"/>
        <color rgb="FF111111"/>
        <rFont val="Times New Roman"/>
        <family val="0"/>
        <charset val="1"/>
      </rPr>
      <t xml:space="preserve">·  </t>
    </r>
    <r>
      <rPr>
        <b val="true"/>
        <sz val="11"/>
        <color rgb="FF111111"/>
        <rFont val="DejaVu Sans"/>
        <family val="2"/>
      </rPr>
      <t xml:space="preserve">共 </t>
    </r>
    <r>
      <rPr>
        <b val="true"/>
        <sz val="11"/>
        <color rgb="FF111111"/>
        <rFont val="Times New Roman"/>
        <family val="0"/>
        <charset val="1"/>
      </rPr>
      <t xml:space="preserve">7 </t>
    </r>
    <r>
      <rPr>
        <b val="true"/>
        <sz val="11"/>
        <color rgb="FF111111"/>
        <rFont val="DejaVu Sans"/>
        <family val="2"/>
      </rPr>
      <t xml:space="preserve">项</t>
    </r>
  </si>
  <si>
    <t xml:space="preserve">#</t>
  </si>
  <si>
    <t xml:space="preserve">问题类型</t>
  </si>
  <si>
    <t xml:space="preserve">详细说明</t>
  </si>
  <si>
    <t xml:space="preserve">1</t>
  </si>
  <si>
    <t xml:space="preserve">库存字段命名混乱</t>
  </si>
  <si>
    <r>
      <rPr>
        <sz val="9"/>
        <color rgb="FF555555"/>
        <rFont val="DejaVu Sans"/>
        <family val="2"/>
      </rPr>
      <t xml:space="preserve">「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DejaVu Sans"/>
        <family val="2"/>
      </rPr>
      <t xml:space="preserve">铝车架库存数量」列同时含</t>
    </r>
    <r>
      <rPr>
        <sz val="9"/>
        <color rgb="FF555555"/>
        <rFont val="Arial"/>
        <family val="0"/>
        <charset val="1"/>
      </rPr>
      <t xml:space="preserve">SL/</t>
    </r>
    <r>
      <rPr>
        <sz val="9"/>
        <color rgb="FF555555"/>
        <rFont val="DejaVu Sans"/>
        <family val="2"/>
      </rPr>
      <t xml:space="preserve">铝两类，公式逻辑不同：</t>
    </r>
    <r>
      <rPr>
        <sz val="9"/>
        <color rgb="FF555555"/>
        <rFont val="Arial"/>
        <family val="0"/>
        <charset val="1"/>
      </rPr>
      <t xml:space="preserve">SL</t>
    </r>
    <r>
      <rPr>
        <sz val="9"/>
        <color rgb="FF555555"/>
        <rFont val="DejaVu Sans"/>
        <family val="2"/>
      </rPr>
      <t xml:space="preserve">该列仅含期初</t>
    </r>
    <r>
      <rPr>
        <sz val="9"/>
        <color rgb="FF555555"/>
        <rFont val="Arial"/>
        <family val="0"/>
        <charset val="1"/>
      </rPr>
      <t xml:space="preserve">+</t>
    </r>
    <r>
      <rPr>
        <sz val="9"/>
        <color rgb="FF555555"/>
        <rFont val="DejaVu Sans"/>
        <family val="2"/>
      </rPr>
      <t xml:space="preserve">入库（未扣出库），正确值在「【新】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DejaVu Sans"/>
        <family val="2"/>
      </rPr>
      <t xml:space="preserve">车架库存」。铝车相反。建议统一命名和公式。</t>
    </r>
  </si>
  <si>
    <t xml:space="preserve">2</t>
  </si>
  <si>
    <r>
      <rPr>
        <b val="true"/>
        <sz val="9"/>
        <color rgb="FF111111"/>
        <rFont val="Arial"/>
        <family val="0"/>
        <charset val="1"/>
      </rPr>
      <t xml:space="preserve">VAPOR SL</t>
    </r>
    <r>
      <rPr>
        <b val="true"/>
        <sz val="9"/>
        <color rgb="FF111111"/>
        <rFont val="DejaVu Sans"/>
        <family val="2"/>
      </rPr>
      <t xml:space="preserve">夜空</t>
    </r>
    <r>
      <rPr>
        <b val="true"/>
        <sz val="9"/>
        <color rgb="FF111111"/>
        <rFont val="Arial"/>
        <family val="0"/>
        <charset val="1"/>
      </rPr>
      <t xml:space="preserve">S</t>
    </r>
    <r>
      <rPr>
        <b val="true"/>
        <sz val="9"/>
        <color rgb="FF111111"/>
        <rFont val="DejaVu Sans"/>
        <family val="2"/>
      </rPr>
      <t xml:space="preserve">装车数异常</t>
    </r>
  </si>
  <si>
    <r>
      <rPr>
        <sz val="9"/>
        <color rgb="FF555555"/>
        <rFont val="DejaVu Sans"/>
        <family val="2"/>
      </rPr>
      <t xml:space="preserve">装车已交付</t>
    </r>
    <r>
      <rPr>
        <sz val="9"/>
        <color rgb="FF555555"/>
        <rFont val="Arial"/>
        <family val="0"/>
        <charset val="1"/>
      </rPr>
      <t xml:space="preserve">(4) &gt; </t>
    </r>
    <r>
      <rPr>
        <sz val="9"/>
        <color rgb="FF555555"/>
        <rFont val="DejaVu Sans"/>
        <family val="2"/>
      </rPr>
      <t xml:space="preserve">出库数量</t>
    </r>
    <r>
      <rPr>
        <sz val="9"/>
        <color rgb="FF555555"/>
        <rFont val="Arial"/>
        <family val="0"/>
        <charset val="1"/>
      </rPr>
      <t xml:space="preserve">(3)</t>
    </r>
    <r>
      <rPr>
        <sz val="9"/>
        <color rgb="FF555555"/>
        <rFont val="DejaVu Sans"/>
        <family val="2"/>
      </rPr>
      <t xml:space="preserve">，逻辑矛盾。可能出库单漏登记或装车重复记录。</t>
    </r>
  </si>
  <si>
    <t xml:space="preserve">3</t>
  </si>
  <si>
    <t xml:space="preserve">重复记录已删除</t>
  </si>
  <si>
    <r>
      <rPr>
        <sz val="9"/>
        <color rgb="FF555555"/>
        <rFont val="DejaVu Sans"/>
        <family val="2"/>
      </rPr>
      <t xml:space="preserve">「</t>
    </r>
    <r>
      <rPr>
        <sz val="9"/>
        <color rgb="FF555555"/>
        <rFont val="Arial"/>
        <family val="0"/>
        <charset val="1"/>
      </rPr>
      <t xml:space="preserve">VAPOR</t>
    </r>
    <r>
      <rPr>
        <sz val="9"/>
        <color rgb="FF555555"/>
        <rFont val="DejaVu Sans"/>
        <family val="2"/>
      </rPr>
      <t xml:space="preserve">恒星</t>
    </r>
    <r>
      <rPr>
        <sz val="9"/>
        <color rgb="FF555555"/>
        <rFont val="Arial"/>
        <family val="0"/>
        <charset val="1"/>
      </rPr>
      <t xml:space="preserve">XXL</t>
    </r>
    <r>
      <rPr>
        <sz val="9"/>
        <color rgb="FF555555"/>
        <rFont val="DejaVu Sans"/>
        <family val="2"/>
      </rPr>
      <t xml:space="preserve">补土升级车架」在库存中心出现</t>
    </r>
    <r>
      <rPr>
        <sz val="9"/>
        <color rgb="FF555555"/>
        <rFont val="Arial"/>
        <family val="0"/>
        <charset val="1"/>
      </rPr>
      <t xml:space="preserve">2</t>
    </r>
    <r>
      <rPr>
        <sz val="9"/>
        <color rgb="FF555555"/>
        <rFont val="DejaVu Sans"/>
        <family val="2"/>
      </rPr>
      <t xml:space="preserve">次（行</t>
    </r>
    <r>
      <rPr>
        <sz val="9"/>
        <color rgb="FF555555"/>
        <rFont val="Arial"/>
        <family val="0"/>
        <charset val="1"/>
      </rPr>
      <t xml:space="preserve">122</t>
    </r>
    <r>
      <rPr>
        <sz val="9"/>
        <color rgb="FF555555"/>
        <rFont val="DejaVu Sans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127</t>
    </r>
    <r>
      <rPr>
        <sz val="9"/>
        <color rgb="FF555555"/>
        <rFont val="DejaVu Sans"/>
        <family val="2"/>
      </rPr>
      <t xml:space="preserve">），本表已去重，请在飞书原表修复。</t>
    </r>
  </si>
  <si>
    <t xml:space="preserve">4</t>
  </si>
  <si>
    <r>
      <rPr>
        <b val="true"/>
        <sz val="9"/>
        <color rgb="FF111111"/>
        <rFont val="DejaVu Sans"/>
        <family val="2"/>
      </rPr>
      <t xml:space="preserve">电机</t>
    </r>
    <r>
      <rPr>
        <b val="true"/>
        <sz val="9"/>
        <color rgb="FF111111"/>
        <rFont val="Arial"/>
        <family val="0"/>
        <charset val="1"/>
      </rPr>
      <t xml:space="preserve">M820 Pro</t>
    </r>
    <r>
      <rPr>
        <b val="true"/>
        <sz val="9"/>
        <color rgb="FF111111"/>
        <rFont val="DejaVu Sans"/>
        <family val="2"/>
      </rPr>
      <t xml:space="preserve">成本缺失</t>
    </r>
  </si>
  <si>
    <r>
      <rPr>
        <sz val="9"/>
        <color rgb="FF555555"/>
        <rFont val="DejaVu Sans"/>
        <family val="2"/>
      </rPr>
      <t xml:space="preserve">电机是最贵核心零部件（估计</t>
    </r>
    <r>
      <rPr>
        <sz val="9"/>
        <color rgb="FF555555"/>
        <rFont val="Arial"/>
        <family val="0"/>
        <charset val="1"/>
      </rPr>
      <t xml:space="preserve">¥2,000+</t>
    </r>
    <r>
      <rPr>
        <sz val="9"/>
        <color rgb="FF555555"/>
        <rFont val="DejaVu Sans"/>
        <family val="2"/>
      </rPr>
      <t xml:space="preserve">），成本字段空置，导致无法计算完整</t>
    </r>
    <r>
      <rPr>
        <sz val="9"/>
        <color rgb="FF555555"/>
        <rFont val="Arial"/>
        <family val="0"/>
        <charset val="1"/>
      </rPr>
      <t xml:space="preserve">BOM</t>
    </r>
    <r>
      <rPr>
        <sz val="9"/>
        <color rgb="FF555555"/>
        <rFont val="DejaVu Sans"/>
        <family val="2"/>
      </rPr>
      <t xml:space="preserve">。</t>
    </r>
  </si>
  <si>
    <t xml:space="preserve">5</t>
  </si>
  <si>
    <t xml:space="preserve">「旧曲柄」库存未清零</t>
  </si>
  <si>
    <r>
      <rPr>
        <sz val="9"/>
        <color rgb="FF555555"/>
        <rFont val="DejaVu Sans"/>
        <family val="2"/>
      </rPr>
      <t xml:space="preserve">旧曲柄</t>
    </r>
    <r>
      <rPr>
        <sz val="9"/>
        <color rgb="FF555555"/>
        <rFont val="Arial"/>
        <family val="0"/>
        <charset val="1"/>
      </rPr>
      <t xml:space="preserve">M820</t>
    </r>
    <r>
      <rPr>
        <sz val="9"/>
        <color rgb="FF555555"/>
        <rFont val="DejaVu Sans"/>
        <family val="2"/>
      </rPr>
      <t xml:space="preserve">碳</t>
    </r>
    <r>
      <rPr>
        <sz val="9"/>
        <color rgb="FF555555"/>
        <rFont val="Arial"/>
        <family val="0"/>
        <charset val="1"/>
      </rPr>
      <t xml:space="preserve">165</t>
    </r>
    <r>
      <rPr>
        <sz val="9"/>
        <color rgb="FF555555"/>
        <rFont val="DejaVu Sans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17</t>
    </r>
    <r>
      <rPr>
        <sz val="9"/>
        <color rgb="FF555555"/>
        <rFont val="DejaVu Sans"/>
        <family val="2"/>
      </rPr>
      <t xml:space="preserve">件）</t>
    </r>
    <r>
      <rPr>
        <sz val="9"/>
        <color rgb="FF555555"/>
        <rFont val="Arial"/>
        <family val="0"/>
        <charset val="1"/>
      </rPr>
      <t xml:space="preserve">+</t>
    </r>
    <r>
      <rPr>
        <sz val="9"/>
        <color rgb="FF555555"/>
        <rFont val="DejaVu Sans"/>
        <family val="2"/>
      </rPr>
      <t xml:space="preserve">旧曲柄</t>
    </r>
    <r>
      <rPr>
        <sz val="9"/>
        <color rgb="FF555555"/>
        <rFont val="Arial"/>
        <family val="0"/>
        <charset val="1"/>
      </rPr>
      <t xml:space="preserve">M820</t>
    </r>
    <r>
      <rPr>
        <sz val="9"/>
        <color rgb="FF555555"/>
        <rFont val="DejaVu Sans"/>
        <family val="2"/>
      </rPr>
      <t xml:space="preserve">碳</t>
    </r>
    <r>
      <rPr>
        <sz val="9"/>
        <color rgb="FF555555"/>
        <rFont val="Arial"/>
        <family val="0"/>
        <charset val="1"/>
      </rPr>
      <t xml:space="preserve">170</t>
    </r>
    <r>
      <rPr>
        <sz val="9"/>
        <color rgb="FF555555"/>
        <rFont val="DejaVu Sans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DejaVu Sans"/>
        <family val="2"/>
      </rPr>
      <t xml:space="preserve">件），已退役</t>
    </r>
    <r>
      <rPr>
        <sz val="9"/>
        <color rgb="FF555555"/>
        <rFont val="Arial"/>
        <family val="0"/>
        <charset val="1"/>
      </rPr>
      <t xml:space="preserve">SKU</t>
    </r>
    <r>
      <rPr>
        <sz val="9"/>
        <color rgb="FF555555"/>
        <rFont val="DejaVu Sans"/>
        <family val="2"/>
      </rPr>
      <t xml:space="preserve">仍有库存，需盘点确认。</t>
    </r>
  </si>
  <si>
    <t xml:space="preserve">6</t>
  </si>
  <si>
    <r>
      <rPr>
        <b val="true"/>
        <sz val="9"/>
        <color rgb="FF111111"/>
        <rFont val="DejaVu Sans"/>
        <family val="2"/>
      </rPr>
      <t xml:space="preserve">展厅整车（</t>
    </r>
    <r>
      <rPr>
        <b val="true"/>
        <sz val="9"/>
        <color rgb="FF111111"/>
        <rFont val="Arial"/>
        <family val="0"/>
        <charset val="1"/>
      </rPr>
      <t xml:space="preserve">6</t>
    </r>
    <r>
      <rPr>
        <b val="true"/>
        <sz val="9"/>
        <color rgb="FF111111"/>
        <rFont val="DejaVu Sans"/>
        <family val="2"/>
      </rPr>
      <t xml:space="preserve">台）混入车架库存</t>
    </r>
  </si>
  <si>
    <r>
      <rPr>
        <sz val="9"/>
        <color rgb="FF555555"/>
        <rFont val="Arial"/>
        <family val="0"/>
        <charset val="1"/>
      </rPr>
      <t xml:space="preserve">6</t>
    </r>
    <r>
      <rPr>
        <sz val="9"/>
        <color rgb="FF555555"/>
        <rFont val="DejaVu Sans"/>
        <family val="2"/>
      </rPr>
      <t xml:space="preserve">台展厅整车混在车架库存中，虚增可售数量，应独立建「在展状态」追踪。</t>
    </r>
  </si>
  <si>
    <t xml:space="preserve">7</t>
  </si>
  <si>
    <t xml:space="preserve">铝车补土升级版积压</t>
  </si>
  <si>
    <r>
      <rPr>
        <sz val="9"/>
        <color rgb="FF555555"/>
        <rFont val="DejaVu Sans"/>
        <family val="2"/>
      </rPr>
      <t xml:space="preserve">夜空</t>
    </r>
    <r>
      <rPr>
        <sz val="9"/>
        <color rgb="FF555555"/>
        <rFont val="Arial"/>
        <family val="0"/>
        <charset val="1"/>
      </rPr>
      <t xml:space="preserve">M/</t>
    </r>
    <r>
      <rPr>
        <sz val="9"/>
        <color rgb="FF555555"/>
        <rFont val="DejaVu Sans"/>
        <family val="2"/>
      </rPr>
      <t xml:space="preserve">威尼斯蓝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DejaVu Sans"/>
        <family val="2"/>
      </rPr>
      <t xml:space="preserve">各</t>
    </r>
    <r>
      <rPr>
        <sz val="9"/>
        <color rgb="FF555555"/>
        <rFont val="Arial"/>
        <family val="0"/>
        <charset val="1"/>
      </rPr>
      <t xml:space="preserve">27</t>
    </r>
    <r>
      <rPr>
        <sz val="9"/>
        <color rgb="FF555555"/>
        <rFont val="DejaVu Sans"/>
        <family val="2"/>
      </rPr>
      <t xml:space="preserve">台、月光</t>
    </r>
    <r>
      <rPr>
        <sz val="9"/>
        <color rgb="FF555555"/>
        <rFont val="Arial"/>
        <family val="0"/>
        <charset val="1"/>
      </rPr>
      <t xml:space="preserve">M 18</t>
    </r>
    <r>
      <rPr>
        <sz val="9"/>
        <color rgb="FF555555"/>
        <rFont val="DejaVu Sans"/>
        <family val="2"/>
      </rPr>
      <t xml:space="preserve">台等，合计超</t>
    </r>
    <r>
      <rPr>
        <sz val="9"/>
        <color rgb="FF555555"/>
        <rFont val="Arial"/>
        <family val="0"/>
        <charset val="1"/>
      </rPr>
      <t xml:space="preserve">100</t>
    </r>
    <r>
      <rPr>
        <sz val="9"/>
        <color rgb="FF555555"/>
        <rFont val="DejaVu Sans"/>
        <family val="2"/>
      </rPr>
      <t xml:space="preserve">台，需确认是否有对应订单。</t>
    </r>
  </si>
  <si>
    <r>
      <rPr>
        <i val="true"/>
        <sz val="8"/>
        <color rgb="FF888888"/>
        <rFont val="DejaVu Sans"/>
        <family val="2"/>
      </rPr>
      <t xml:space="preserve">数据来源：宇宙销售统计中心 </t>
    </r>
    <r>
      <rPr>
        <i val="true"/>
        <sz val="8"/>
        <color rgb="FF888888"/>
        <rFont val="Arial"/>
        <family val="0"/>
        <charset val="1"/>
      </rPr>
      <t xml:space="preserve">· ⭕️ 2026 </t>
    </r>
    <r>
      <rPr>
        <i val="true"/>
        <sz val="8"/>
        <color rgb="FF888888"/>
        <rFont val="DejaVu Sans"/>
        <family val="2"/>
      </rPr>
      <t xml:space="preserve">电助力库存中心 </t>
    </r>
    <r>
      <rPr>
        <i val="true"/>
        <sz val="8"/>
        <color rgb="FF888888"/>
        <rFont val="Arial"/>
        <family val="0"/>
        <charset val="1"/>
      </rPr>
      <t xml:space="preserve">· </t>
    </r>
    <r>
      <rPr>
        <i val="true"/>
        <sz val="8"/>
        <color rgb="FF888888"/>
        <rFont val="DejaVu Sans"/>
        <family val="2"/>
      </rPr>
      <t xml:space="preserve">截至 </t>
    </r>
    <r>
      <rPr>
        <i val="true"/>
        <sz val="8"/>
        <color rgb="FF888888"/>
        <rFont val="Arial"/>
        <family val="0"/>
        <charset val="1"/>
      </rPr>
      <t xml:space="preserve">2026-03-11</t>
    </r>
  </si>
  <si>
    <r>
      <rPr>
        <b val="true"/>
        <sz val="14"/>
        <color rgb="FFFFFFFF"/>
        <rFont val="DejaVu Sans"/>
        <family val="2"/>
      </rPr>
      <t xml:space="preserve">电助力车架库存  </t>
    </r>
    <r>
      <rPr>
        <b val="true"/>
        <sz val="14"/>
        <color rgb="FFFFFFFF"/>
        <rFont val="Times New Roman"/>
        <family val="0"/>
        <charset val="1"/>
      </rPr>
      <t xml:space="preserve">·  VAPOR SL </t>
    </r>
    <r>
      <rPr>
        <b val="true"/>
        <sz val="14"/>
        <color rgb="FFFFFFFF"/>
        <rFont val="DejaVu Sans"/>
        <family val="2"/>
      </rPr>
      <t xml:space="preserve">碳纤维 </t>
    </r>
    <r>
      <rPr>
        <b val="true"/>
        <sz val="14"/>
        <color rgb="FFFFFFFF"/>
        <rFont val="Times New Roman"/>
        <family val="0"/>
        <charset val="1"/>
      </rPr>
      <t xml:space="preserve">&amp; VAPOR </t>
    </r>
    <r>
      <rPr>
        <b val="true"/>
        <sz val="14"/>
        <color rgb="FFFFFFFF"/>
        <rFont val="DejaVu Sans"/>
        <family val="2"/>
      </rPr>
      <t xml:space="preserve">铝合金</t>
    </r>
  </si>
  <si>
    <r>
      <rPr>
        <i val="true"/>
        <sz val="9"/>
        <color rgb="FF555555"/>
        <rFont val="Arial"/>
        <family val="0"/>
        <charset val="1"/>
      </rPr>
      <t xml:space="preserve">SL</t>
    </r>
    <r>
      <rPr>
        <i val="true"/>
        <sz val="9"/>
        <color rgb="FF555555"/>
        <rFont val="DejaVu Sans"/>
        <family val="2"/>
      </rPr>
      <t xml:space="preserve">碳纤维 </t>
    </r>
    <r>
      <rPr>
        <i val="true"/>
        <sz val="9"/>
        <color rgb="FF555555"/>
        <rFont val="Arial"/>
        <family val="0"/>
        <charset val="1"/>
      </rPr>
      <t xml:space="preserve">63 </t>
    </r>
    <r>
      <rPr>
        <i val="true"/>
        <sz val="9"/>
        <color rgb="FF555555"/>
        <rFont val="DejaVu Sans"/>
        <family val="2"/>
      </rPr>
      <t xml:space="preserve">台  </t>
    </r>
    <r>
      <rPr>
        <i val="true"/>
        <sz val="9"/>
        <color rgb="FF555555"/>
        <rFont val="Arial"/>
        <family val="0"/>
        <charset val="1"/>
      </rPr>
      <t xml:space="preserve">·  </t>
    </r>
    <r>
      <rPr>
        <i val="true"/>
        <sz val="9"/>
        <color rgb="FF555555"/>
        <rFont val="DejaVu Sans"/>
        <family val="2"/>
      </rPr>
      <t xml:space="preserve">铝合金 </t>
    </r>
    <r>
      <rPr>
        <i val="true"/>
        <sz val="9"/>
        <color rgb="FF555555"/>
        <rFont val="Arial"/>
        <family val="0"/>
        <charset val="1"/>
      </rPr>
      <t xml:space="preserve">205 </t>
    </r>
    <r>
      <rPr>
        <i val="true"/>
        <sz val="9"/>
        <color rgb="FF555555"/>
        <rFont val="DejaVu Sans"/>
        <family val="2"/>
      </rPr>
      <t xml:space="preserve">台  </t>
    </r>
    <r>
      <rPr>
        <i val="true"/>
        <sz val="9"/>
        <color rgb="FF555555"/>
        <rFont val="Arial"/>
        <family val="0"/>
        <charset val="1"/>
      </rPr>
      <t xml:space="preserve">·  </t>
    </r>
    <r>
      <rPr>
        <i val="true"/>
        <sz val="9"/>
        <color rgb="FF555555"/>
        <rFont val="DejaVu Sans"/>
        <family val="2"/>
      </rPr>
      <t xml:space="preserve">合计 </t>
    </r>
    <r>
      <rPr>
        <i val="true"/>
        <sz val="9"/>
        <color rgb="FF555555"/>
        <rFont val="Arial"/>
        <family val="0"/>
        <charset val="1"/>
      </rPr>
      <t xml:space="preserve">268 </t>
    </r>
    <r>
      <rPr>
        <i val="true"/>
        <sz val="9"/>
        <color rgb="FF555555"/>
        <rFont val="DejaVu Sans"/>
        <family val="2"/>
      </rPr>
      <t xml:space="preserve">台  </t>
    </r>
    <r>
      <rPr>
        <i val="true"/>
        <sz val="9"/>
        <color rgb="FF555555"/>
        <rFont val="Arial"/>
        <family val="0"/>
        <charset val="1"/>
      </rPr>
      <t xml:space="preserve">·  </t>
    </r>
    <r>
      <rPr>
        <i val="true"/>
        <sz val="9"/>
        <color rgb="FF555555"/>
        <rFont val="DejaVu Sans"/>
        <family val="2"/>
      </rPr>
      <t xml:space="preserve">截至 </t>
    </r>
    <r>
      <rPr>
        <i val="true"/>
        <sz val="9"/>
        <color rgb="FF555555"/>
        <rFont val="Arial"/>
        <family val="0"/>
        <charset val="1"/>
      </rPr>
      <t xml:space="preserve">2026-03-11</t>
    </r>
  </si>
  <si>
    <t xml:space="preserve">颜色</t>
  </si>
  <si>
    <t xml:space="preserve">尺码</t>
  </si>
  <si>
    <t xml:space="preserve">备注</t>
  </si>
  <si>
    <t xml:space="preserve">品类</t>
  </si>
  <si>
    <t xml:space="preserve">期初数量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</si>
  <si>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DejaVu Sans"/>
        <family val="2"/>
      </rPr>
      <t xml:space="preserve">入库</t>
    </r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</si>
  <si>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DejaVu Sans"/>
        <family val="2"/>
      </rPr>
      <t xml:space="preserve">出库</t>
    </r>
  </si>
  <si>
    <t xml:space="preserve">装车已交付</t>
  </si>
  <si>
    <t xml:space="preserve">已装车待交付</t>
  </si>
  <si>
    <t xml:space="preserve">装车中</t>
  </si>
  <si>
    <t xml:space="preserve">异常出库</t>
  </si>
  <si>
    <t xml:space="preserve">当前库存</t>
  </si>
  <si>
    <r>
      <rPr>
        <b val="true"/>
        <sz val="11"/>
        <color rgb="FF111111"/>
        <rFont val="Times New Roman"/>
        <family val="0"/>
        <charset val="1"/>
      </rPr>
      <t xml:space="preserve">VAPOR SL · </t>
    </r>
    <r>
      <rPr>
        <b val="true"/>
        <sz val="11"/>
        <color rgb="FF111111"/>
        <rFont val="DejaVu Sans"/>
        <family val="2"/>
      </rPr>
      <t xml:space="preserve">碳纤维车架  </t>
    </r>
    <r>
      <rPr>
        <b val="true"/>
        <sz val="11"/>
        <color rgb="FF111111"/>
        <rFont val="Times New Roman"/>
        <family val="0"/>
        <charset val="1"/>
      </rPr>
      <t xml:space="preserve">·  37 </t>
    </r>
    <r>
      <rPr>
        <b val="true"/>
        <sz val="11"/>
        <color rgb="FF111111"/>
        <rFont val="DejaVu Sans"/>
        <family val="2"/>
      </rPr>
      <t xml:space="preserve">种 </t>
    </r>
    <r>
      <rPr>
        <b val="true"/>
        <sz val="11"/>
        <color rgb="FF111111"/>
        <rFont val="Times New Roman"/>
        <family val="0"/>
        <charset val="1"/>
      </rPr>
      <t xml:space="preserve">SKU  ·  </t>
    </r>
    <r>
      <rPr>
        <b val="true"/>
        <sz val="11"/>
        <color rgb="FF111111"/>
        <rFont val="DejaVu Sans"/>
        <family val="2"/>
      </rPr>
      <t xml:space="preserve">库存 </t>
    </r>
    <r>
      <rPr>
        <b val="true"/>
        <sz val="11"/>
        <color rgb="FF111111"/>
        <rFont val="Times New Roman"/>
        <family val="0"/>
        <charset val="1"/>
      </rPr>
      <t xml:space="preserve">63 </t>
    </r>
    <r>
      <rPr>
        <b val="true"/>
        <sz val="11"/>
        <color rgb="FF111111"/>
        <rFont val="DejaVu Sans"/>
        <family val="2"/>
      </rPr>
      <t xml:space="preserve">台</t>
    </r>
  </si>
  <si>
    <r>
      <rPr>
        <i val="true"/>
        <sz val="8"/>
        <color rgb="FF888888"/>
        <rFont val="DejaVu Sans"/>
        <family val="2"/>
      </rPr>
      <t xml:space="preserve">  说明：灰色文字 </t>
    </r>
    <r>
      <rPr>
        <i val="true"/>
        <sz val="8"/>
        <color rgb="FF888888"/>
        <rFont val="Arial"/>
        <family val="0"/>
        <charset val="1"/>
      </rPr>
      <t xml:space="preserve">= </t>
    </r>
    <r>
      <rPr>
        <i val="true"/>
        <sz val="8"/>
        <color rgb="FF888888"/>
        <rFont val="DejaVu Sans"/>
        <family val="2"/>
      </rPr>
      <t xml:space="preserve">零库存  </t>
    </r>
    <r>
      <rPr>
        <i val="true"/>
        <sz val="8"/>
        <color rgb="FF888888"/>
        <rFont val="Arial"/>
        <family val="0"/>
        <charset val="1"/>
      </rPr>
      <t xml:space="preserve">·  </t>
    </r>
    <r>
      <rPr>
        <i val="true"/>
        <sz val="8"/>
        <color rgb="FF888888"/>
        <rFont val="DejaVu Sans"/>
        <family val="2"/>
      </rPr>
      <t xml:space="preserve">勃艮第红数字 </t>
    </r>
    <r>
      <rPr>
        <i val="true"/>
        <sz val="8"/>
        <color rgb="FF888888"/>
        <rFont val="Arial"/>
        <family val="0"/>
        <charset val="1"/>
      </rPr>
      <t xml:space="preserve">= </t>
    </r>
    <r>
      <rPr>
        <i val="true"/>
        <sz val="8"/>
        <color rgb="FF888888"/>
        <rFont val="DejaVu Sans"/>
        <family val="2"/>
      </rPr>
      <t xml:space="preserve">有异常出库  </t>
    </r>
    <r>
      <rPr>
        <i val="true"/>
        <sz val="8"/>
        <color rgb="FF888888"/>
        <rFont val="Arial"/>
        <family val="0"/>
        <charset val="1"/>
      </rPr>
      <t xml:space="preserve">·  </t>
    </r>
    <r>
      <rPr>
        <i val="true"/>
        <sz val="8"/>
        <color rgb="FF888888"/>
        <rFont val="DejaVu Sans"/>
        <family val="2"/>
      </rPr>
      <t xml:space="preserve">展厅 </t>
    </r>
    <r>
      <rPr>
        <i val="true"/>
        <sz val="8"/>
        <color rgb="FF888888"/>
        <rFont val="Arial"/>
        <family val="0"/>
        <charset val="1"/>
      </rPr>
      <t xml:space="preserve">= </t>
    </r>
    <r>
      <rPr>
        <i val="true"/>
        <sz val="8"/>
        <color rgb="FF888888"/>
        <rFont val="DejaVu Sans"/>
        <family val="2"/>
      </rPr>
      <t xml:space="preserve">展示车（不计可售）  </t>
    </r>
    <r>
      <rPr>
        <i val="true"/>
        <sz val="8"/>
        <color rgb="FF888888"/>
        <rFont val="Arial"/>
        <family val="0"/>
        <charset val="1"/>
      </rPr>
      <t xml:space="preserve">·  ★ = </t>
    </r>
    <r>
      <rPr>
        <i val="true"/>
        <sz val="8"/>
        <color rgb="FF888888"/>
        <rFont val="DejaVu Sans"/>
        <family val="2"/>
      </rPr>
      <t xml:space="preserve">补土升级版</t>
    </r>
  </si>
  <si>
    <t xml:space="preserve">M</t>
  </si>
  <si>
    <t xml:space="preserve">定制款</t>
  </si>
  <si>
    <t xml:space="preserve">车架</t>
  </si>
  <si>
    <t xml:space="preserve">XL</t>
  </si>
  <si>
    <t xml:space="preserve">冰川</t>
  </si>
  <si>
    <t xml:space="preserve">S</t>
  </si>
  <si>
    <t xml:space="preserve">L</t>
  </si>
  <si>
    <t xml:space="preserve">展厅展示</t>
  </si>
  <si>
    <t xml:space="preserve">整车</t>
  </si>
  <si>
    <t xml:space="preserve">夜空</t>
  </si>
  <si>
    <t xml:space="preserve">恒星</t>
  </si>
  <si>
    <r>
      <rPr>
        <sz val="10"/>
        <color rgb="FF111111"/>
        <rFont val="DejaVu Sans"/>
        <family val="2"/>
      </rPr>
      <t xml:space="preserve">新星尘 </t>
    </r>
    <r>
      <rPr>
        <sz val="10"/>
        <color rgb="FF111111"/>
        <rFont val="Arial"/>
        <family val="0"/>
        <charset val="1"/>
      </rPr>
      <t xml:space="preserve">(</t>
    </r>
    <r>
      <rPr>
        <sz val="10"/>
        <color rgb="FF111111"/>
        <rFont val="DejaVu Sans"/>
        <family val="2"/>
      </rPr>
      <t xml:space="preserve">粉</t>
    </r>
    <r>
      <rPr>
        <sz val="10"/>
        <color rgb="FF111111"/>
        <rFont val="Arial"/>
        <family val="0"/>
        <charset val="1"/>
      </rPr>
      <t xml:space="preserve">)</t>
    </r>
  </si>
  <si>
    <r>
      <rPr>
        <sz val="10"/>
        <color rgb="FFAAAAAA"/>
        <rFont val="DejaVu Sans"/>
        <family val="2"/>
      </rPr>
      <t xml:space="preserve">新星尘 </t>
    </r>
    <r>
      <rPr>
        <sz val="10"/>
        <color rgb="FFAAAAAA"/>
        <rFont val="Arial"/>
        <family val="0"/>
        <charset val="1"/>
      </rPr>
      <t xml:space="preserve">(</t>
    </r>
    <r>
      <rPr>
        <sz val="10"/>
        <color rgb="FFAAAAAA"/>
        <rFont val="DejaVu Sans"/>
        <family val="2"/>
      </rPr>
      <t xml:space="preserve">粉</t>
    </r>
    <r>
      <rPr>
        <sz val="10"/>
        <color rgb="FFAAAAAA"/>
        <rFont val="Arial"/>
        <family val="0"/>
        <charset val="1"/>
      </rPr>
      <t xml:space="preserve">)</t>
    </r>
  </si>
  <si>
    <t xml:space="preserve">星尘</t>
  </si>
  <si>
    <t xml:space="preserve">月光</t>
  </si>
  <si>
    <t xml:space="preserve">海洋</t>
  </si>
  <si>
    <r>
      <rPr>
        <b val="true"/>
        <sz val="10"/>
        <color rgb="FF111111"/>
        <rFont val="Arial"/>
        <family val="0"/>
        <charset val="1"/>
      </rPr>
      <t xml:space="preserve">SL </t>
    </r>
    <r>
      <rPr>
        <b val="true"/>
        <sz val="10"/>
        <color rgb="FF111111"/>
        <rFont val="DejaVu Sans"/>
        <family val="2"/>
      </rPr>
      <t xml:space="preserve">小计</t>
    </r>
  </si>
  <si>
    <r>
      <rPr>
        <b val="true"/>
        <sz val="11"/>
        <color rgb="FF111111"/>
        <rFont val="Times New Roman"/>
        <family val="0"/>
        <charset val="1"/>
      </rPr>
      <t xml:space="preserve">VAPOR · </t>
    </r>
    <r>
      <rPr>
        <b val="true"/>
        <sz val="11"/>
        <color rgb="FF111111"/>
        <rFont val="DejaVu Sans"/>
        <family val="2"/>
      </rPr>
      <t xml:space="preserve">铝合金车架  </t>
    </r>
    <r>
      <rPr>
        <b val="true"/>
        <sz val="11"/>
        <color rgb="FF111111"/>
        <rFont val="Times New Roman"/>
        <family val="0"/>
        <charset val="1"/>
      </rPr>
      <t xml:space="preserve">·  34 </t>
    </r>
    <r>
      <rPr>
        <b val="true"/>
        <sz val="11"/>
        <color rgb="FF111111"/>
        <rFont val="DejaVu Sans"/>
        <family val="2"/>
      </rPr>
      <t xml:space="preserve">种 </t>
    </r>
    <r>
      <rPr>
        <b val="true"/>
        <sz val="11"/>
        <color rgb="FF111111"/>
        <rFont val="Times New Roman"/>
        <family val="0"/>
        <charset val="1"/>
      </rPr>
      <t xml:space="preserve">SKU</t>
    </r>
    <r>
      <rPr>
        <b val="true"/>
        <sz val="11"/>
        <color rgb="FF111111"/>
        <rFont val="DejaVu Sans"/>
        <family val="2"/>
      </rPr>
      <t xml:space="preserve">（含活动记录）  </t>
    </r>
    <r>
      <rPr>
        <b val="true"/>
        <sz val="11"/>
        <color rgb="FF111111"/>
        <rFont val="Times New Roman"/>
        <family val="0"/>
        <charset val="1"/>
      </rPr>
      <t xml:space="preserve">·  </t>
    </r>
    <r>
      <rPr>
        <b val="true"/>
        <sz val="11"/>
        <color rgb="FF111111"/>
        <rFont val="DejaVu Sans"/>
        <family val="2"/>
      </rPr>
      <t xml:space="preserve">库存 </t>
    </r>
    <r>
      <rPr>
        <b val="true"/>
        <sz val="11"/>
        <color rgb="FF111111"/>
        <rFont val="Times New Roman"/>
        <family val="0"/>
        <charset val="1"/>
      </rPr>
      <t xml:space="preserve">205 </t>
    </r>
    <r>
      <rPr>
        <b val="true"/>
        <sz val="11"/>
        <color rgb="FF111111"/>
        <rFont val="DejaVu Sans"/>
        <family val="2"/>
      </rPr>
      <t xml:space="preserve">台</t>
    </r>
  </si>
  <si>
    <r>
      <rPr>
        <i val="true"/>
        <sz val="8"/>
        <color rgb="FF888888"/>
        <rFont val="DejaVu Sans"/>
        <family val="2"/>
      </rPr>
      <t xml:space="preserve">  说明：装车相关列不适用（铝车为贸易制，无装车工艺），以「—」显示  </t>
    </r>
    <r>
      <rPr>
        <i val="true"/>
        <sz val="8"/>
        <color rgb="FF888888"/>
        <rFont val="Arial"/>
        <family val="0"/>
        <charset val="1"/>
      </rPr>
      <t xml:space="preserve">·  </t>
    </r>
    <r>
      <rPr>
        <i val="true"/>
        <sz val="8"/>
        <color rgb="FF888888"/>
        <rFont val="DejaVu Sans"/>
        <family val="2"/>
      </rPr>
      <t xml:space="preserve">勃艮第红 </t>
    </r>
    <r>
      <rPr>
        <i val="true"/>
        <sz val="8"/>
        <color rgb="FF888888"/>
        <rFont val="Arial"/>
        <family val="0"/>
        <charset val="1"/>
      </rPr>
      <t xml:space="preserve">= </t>
    </r>
    <r>
      <rPr>
        <i val="true"/>
        <sz val="8"/>
        <color rgb="FF888888"/>
        <rFont val="DejaVu Sans"/>
        <family val="2"/>
      </rPr>
      <t xml:space="preserve">补土升级库存≥</t>
    </r>
    <r>
      <rPr>
        <i val="true"/>
        <sz val="8"/>
        <color rgb="FF888888"/>
        <rFont val="Arial"/>
        <family val="0"/>
        <charset val="1"/>
      </rPr>
      <t xml:space="preserve">20</t>
    </r>
    <r>
      <rPr>
        <i val="true"/>
        <sz val="8"/>
        <color rgb="FF888888"/>
        <rFont val="DejaVu Sans"/>
        <family val="2"/>
      </rPr>
      <t xml:space="preserve">台（关注积压风险）</t>
    </r>
  </si>
  <si>
    <t xml:space="preserve">冰川 ★</t>
  </si>
  <si>
    <t xml:space="preserve">补土升级</t>
  </si>
  <si>
    <t xml:space="preserve">—</t>
  </si>
  <si>
    <t xml:space="preserve">夜空 ★</t>
  </si>
  <si>
    <t xml:space="preserve">威尼斯蓝 ★</t>
  </si>
  <si>
    <t xml:space="preserve">恒星 ★</t>
  </si>
  <si>
    <t xml:space="preserve">XXL</t>
  </si>
  <si>
    <t xml:space="preserve">月光 ★</t>
  </si>
  <si>
    <t xml:space="preserve">雨林</t>
  </si>
  <si>
    <t xml:space="preserve">雪山</t>
  </si>
  <si>
    <t xml:space="preserve">铝车 小计</t>
  </si>
  <si>
    <r>
      <rPr>
        <b val="true"/>
        <sz val="11"/>
        <color rgb="FF111111"/>
        <rFont val="DejaVu Sans"/>
        <family val="2"/>
      </rPr>
      <t xml:space="preserve">总计（碳 </t>
    </r>
    <r>
      <rPr>
        <b val="true"/>
        <sz val="11"/>
        <color rgb="FF111111"/>
        <rFont val="Times New Roman"/>
        <family val="0"/>
        <charset val="1"/>
      </rPr>
      <t xml:space="preserve">+ </t>
    </r>
    <r>
      <rPr>
        <b val="true"/>
        <sz val="11"/>
        <color rgb="FF111111"/>
        <rFont val="DejaVu Sans"/>
        <family val="2"/>
      </rPr>
      <t xml:space="preserve">铝）</t>
    </r>
  </si>
  <si>
    <t xml:space="preserve">电助力零部件库存</t>
  </si>
  <si>
    <r>
      <rPr>
        <i val="true"/>
        <sz val="9"/>
        <color rgb="FF555555"/>
        <rFont val="DejaVu Sans"/>
        <family val="2"/>
      </rPr>
      <t xml:space="preserve">有库存：</t>
    </r>
    <r>
      <rPr>
        <i val="true"/>
        <sz val="9"/>
        <color rgb="FF555555"/>
        <rFont val="Arial"/>
        <family val="0"/>
        <charset val="1"/>
      </rPr>
      <t xml:space="preserve">27 </t>
    </r>
    <r>
      <rPr>
        <i val="true"/>
        <sz val="9"/>
        <color rgb="FF555555"/>
        <rFont val="DejaVu Sans"/>
        <family val="2"/>
      </rPr>
      <t xml:space="preserve">种  </t>
    </r>
    <r>
      <rPr>
        <i val="true"/>
        <sz val="9"/>
        <color rgb="FF555555"/>
        <rFont val="Arial"/>
        <family val="0"/>
        <charset val="1"/>
      </rPr>
      <t xml:space="preserve">·  </t>
    </r>
    <r>
      <rPr>
        <i val="true"/>
        <sz val="9"/>
        <color rgb="FF555555"/>
        <rFont val="DejaVu Sans"/>
        <family val="2"/>
      </rPr>
      <t xml:space="preserve">成本缺失：</t>
    </r>
    <r>
      <rPr>
        <i val="true"/>
        <sz val="9"/>
        <color rgb="FF555555"/>
        <rFont val="Arial"/>
        <family val="0"/>
        <charset val="1"/>
      </rPr>
      <t xml:space="preserve">13 </t>
    </r>
    <r>
      <rPr>
        <i val="true"/>
        <sz val="9"/>
        <color rgb="FF555555"/>
        <rFont val="DejaVu Sans"/>
        <family val="2"/>
      </rPr>
      <t xml:space="preserve">种（以勃艮第红标注）  </t>
    </r>
    <r>
      <rPr>
        <i val="true"/>
        <sz val="9"/>
        <color rgb="FF555555"/>
        <rFont val="Arial"/>
        <family val="0"/>
        <charset val="1"/>
      </rPr>
      <t xml:space="preserve">·  VAPOR SL / </t>
    </r>
    <r>
      <rPr>
        <i val="true"/>
        <sz val="9"/>
        <color rgb="FF555555"/>
        <rFont val="DejaVu Sans"/>
        <family val="2"/>
      </rPr>
      <t xml:space="preserve">铝车共用同一零部件池</t>
    </r>
  </si>
  <si>
    <t xml:space="preserve">零部件名称</t>
  </si>
  <si>
    <t xml:space="preserve">分类</t>
  </si>
  <si>
    <t xml:space="preserve">单价成本</t>
  </si>
  <si>
    <r>
      <rPr>
        <b val="true"/>
        <sz val="10"/>
        <color rgb="FFFFFFFF"/>
        <rFont val="DejaVu Sans"/>
        <family val="2"/>
      </rPr>
      <t xml:space="preserve">库存价值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</si>
  <si>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sz val="10"/>
        <color rgb="FF8B1A1A"/>
        <rFont val="DejaVu Sans"/>
        <family val="2"/>
      </rPr>
      <t xml:space="preserve">电机 </t>
    </r>
    <r>
      <rPr>
        <sz val="10"/>
        <color rgb="FF8B1A1A"/>
        <rFont val="Arial"/>
        <family val="0"/>
        <charset val="1"/>
      </rPr>
      <t xml:space="preserve">M820 Pro</t>
    </r>
  </si>
  <si>
    <t xml:space="preserve">电机</t>
  </si>
  <si>
    <r>
      <rPr>
        <i val="true"/>
        <sz val="9"/>
        <color rgb="FF888888"/>
        <rFont val="DejaVu Sans"/>
        <family val="2"/>
      </rPr>
      <t xml:space="preserve">⚠ 成本未录入，</t>
    </r>
    <r>
      <rPr>
        <i val="true"/>
        <sz val="9"/>
        <color rgb="FF888888"/>
        <rFont val="Arial"/>
        <family val="0"/>
        <charset val="1"/>
      </rPr>
      <t xml:space="preserve">BOM </t>
    </r>
    <r>
      <rPr>
        <i val="true"/>
        <sz val="9"/>
        <color rgb="FF888888"/>
        <rFont val="DejaVu Sans"/>
        <family val="2"/>
      </rPr>
      <t xml:space="preserve">计算不完整</t>
    </r>
  </si>
  <si>
    <r>
      <rPr>
        <sz val="10"/>
        <color rgb="FF111111"/>
        <rFont val="DejaVu Sans"/>
        <family val="2"/>
      </rPr>
      <t xml:space="preserve">电池 </t>
    </r>
    <r>
      <rPr>
        <sz val="10"/>
        <color rgb="FF111111"/>
        <rFont val="Arial"/>
        <family val="0"/>
        <charset val="1"/>
      </rPr>
      <t xml:space="preserve">342Wh  </t>
    </r>
    <r>
      <rPr>
        <sz val="10"/>
        <color rgb="FF111111"/>
        <rFont val="DejaVu Sans"/>
        <family val="2"/>
      </rPr>
      <t xml:space="preserve">巨龙</t>
    </r>
  </si>
  <si>
    <t xml:space="preserve">电池</t>
  </si>
  <si>
    <r>
      <rPr>
        <sz val="10"/>
        <color rgb="FF111111"/>
        <rFont val="DejaVu Sans"/>
        <family val="2"/>
      </rPr>
      <t xml:space="preserve">电池 </t>
    </r>
    <r>
      <rPr>
        <sz val="10"/>
        <color rgb="FF111111"/>
        <rFont val="Arial"/>
        <family val="0"/>
        <charset val="1"/>
      </rPr>
      <t xml:space="preserve">417Wh</t>
    </r>
  </si>
  <si>
    <r>
      <rPr>
        <sz val="10"/>
        <color rgb="FF8B1A1A"/>
        <rFont val="DejaVu Sans"/>
        <family val="2"/>
      </rPr>
      <t xml:space="preserve">充电器 </t>
    </r>
    <r>
      <rPr>
        <sz val="10"/>
        <color rgb="FF8B1A1A"/>
        <rFont val="Arial"/>
        <family val="0"/>
        <charset val="1"/>
      </rPr>
      <t xml:space="preserve">6A</t>
    </r>
    <r>
      <rPr>
        <sz val="10"/>
        <color rgb="FF8B1A1A"/>
        <rFont val="DejaVu Sans"/>
        <family val="2"/>
      </rPr>
      <t xml:space="preserve">快充</t>
    </r>
  </si>
  <si>
    <t xml:space="preserve">充电器</t>
  </si>
  <si>
    <r>
      <rPr>
        <sz val="10"/>
        <color rgb="FFAAAAAA"/>
        <rFont val="DejaVu Sans"/>
        <family val="2"/>
      </rPr>
      <t xml:space="preserve">充电器 </t>
    </r>
    <r>
      <rPr>
        <sz val="10"/>
        <color rgb="FFAAAAAA"/>
        <rFont val="Arial"/>
        <family val="0"/>
        <charset val="1"/>
      </rPr>
      <t xml:space="preserve">4A</t>
    </r>
    <r>
      <rPr>
        <sz val="10"/>
        <color rgb="FFAAAAAA"/>
        <rFont val="DejaVu Sans"/>
        <family val="2"/>
      </rPr>
      <t xml:space="preserve">快充</t>
    </r>
  </si>
  <si>
    <r>
      <rPr>
        <sz val="10"/>
        <color rgb="FF8B1A1A"/>
        <rFont val="DejaVu Sans"/>
        <family val="2"/>
      </rPr>
      <t xml:space="preserve">威狐</t>
    </r>
    <r>
      <rPr>
        <sz val="10"/>
        <color rgb="FF8B1A1A"/>
        <rFont val="Arial"/>
        <family val="0"/>
        <charset val="1"/>
      </rPr>
      <t xml:space="preserve">DM08C&amp;RM05 </t>
    </r>
    <r>
      <rPr>
        <sz val="10"/>
        <color rgb="FF8B1A1A"/>
        <rFont val="DejaVu Sans"/>
        <family val="2"/>
      </rPr>
      <t xml:space="preserve">弯把仪表</t>
    </r>
  </si>
  <si>
    <t xml:space="preserve">仪表</t>
  </si>
  <si>
    <r>
      <rPr>
        <sz val="10"/>
        <color rgb="FF8B1A1A"/>
        <rFont val="DejaVu Sans"/>
        <family val="2"/>
      </rPr>
      <t xml:space="preserve">威狐</t>
    </r>
    <r>
      <rPr>
        <sz val="10"/>
        <color rgb="FF8B1A1A"/>
        <rFont val="Arial"/>
        <family val="0"/>
        <charset val="1"/>
      </rPr>
      <t xml:space="preserve">DM08C&amp;RM01 </t>
    </r>
    <r>
      <rPr>
        <sz val="10"/>
        <color rgb="FF8B1A1A"/>
        <rFont val="DejaVu Sans"/>
        <family val="2"/>
      </rPr>
      <t xml:space="preserve">平把仪表</t>
    </r>
  </si>
  <si>
    <t xml:space="preserve">直把电变指拨</t>
  </si>
  <si>
    <t xml:space="preserve">套件组</t>
  </si>
  <si>
    <r>
      <rPr>
        <sz val="10"/>
        <color rgb="FF111111"/>
        <rFont val="DejaVu Sans"/>
        <family val="2"/>
      </rPr>
      <t xml:space="preserve">盘片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铝合金 </t>
    </r>
    <r>
      <rPr>
        <sz val="10"/>
        <color rgb="FF111111"/>
        <rFont val="Arial"/>
        <family val="0"/>
        <charset val="1"/>
      </rPr>
      <t xml:space="preserve">44T</t>
    </r>
  </si>
  <si>
    <t xml:space="preserve">盘片</t>
  </si>
  <si>
    <r>
      <rPr>
        <sz val="10"/>
        <color rgb="FF111111"/>
        <rFont val="DejaVu Sans"/>
        <family val="2"/>
      </rPr>
      <t xml:space="preserve">盘片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碳纤维 </t>
    </r>
    <r>
      <rPr>
        <sz val="10"/>
        <color rgb="FF111111"/>
        <rFont val="Arial"/>
        <family val="0"/>
        <charset val="1"/>
      </rPr>
      <t xml:space="preserve">48T</t>
    </r>
  </si>
  <si>
    <r>
      <rPr>
        <sz val="10"/>
        <color rgb="FF111111"/>
        <rFont val="DejaVu Sans"/>
        <family val="2"/>
      </rPr>
      <t xml:space="preserve">曲柄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铝 </t>
    </r>
    <r>
      <rPr>
        <sz val="10"/>
        <color rgb="FF111111"/>
        <rFont val="Arial"/>
        <family val="0"/>
        <charset val="1"/>
      </rPr>
      <t xml:space="preserve">170</t>
    </r>
  </si>
  <si>
    <t xml:space="preserve">曲柄</t>
  </si>
  <si>
    <r>
      <rPr>
        <sz val="10"/>
        <color rgb="FF111111"/>
        <rFont val="DejaVu Sans"/>
        <family val="2"/>
      </rPr>
      <t xml:space="preserve">曲柄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铝 </t>
    </r>
    <r>
      <rPr>
        <sz val="10"/>
        <color rgb="FF111111"/>
        <rFont val="Arial"/>
        <family val="0"/>
        <charset val="1"/>
      </rPr>
      <t xml:space="preserve">165</t>
    </r>
  </si>
  <si>
    <r>
      <rPr>
        <sz val="10"/>
        <color rgb="FF111111"/>
        <rFont val="DejaVu Sans"/>
        <family val="2"/>
      </rPr>
      <t xml:space="preserve">曲柄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碳 </t>
    </r>
    <r>
      <rPr>
        <sz val="10"/>
        <color rgb="FF111111"/>
        <rFont val="Arial"/>
        <family val="0"/>
        <charset val="1"/>
      </rPr>
      <t xml:space="preserve">170</t>
    </r>
  </si>
  <si>
    <r>
      <rPr>
        <sz val="10"/>
        <color rgb="FF8B1A1A"/>
        <rFont val="DejaVu Sans"/>
        <family val="2"/>
      </rPr>
      <t xml:space="preserve">曲柄 </t>
    </r>
    <r>
      <rPr>
        <sz val="10"/>
        <color rgb="FF8B1A1A"/>
        <rFont val="Arial"/>
        <family val="0"/>
        <charset val="1"/>
      </rPr>
      <t xml:space="preserve">M820 </t>
    </r>
    <r>
      <rPr>
        <sz val="10"/>
        <color rgb="FF8B1A1A"/>
        <rFont val="DejaVu Sans"/>
        <family val="2"/>
      </rPr>
      <t xml:space="preserve">铝 </t>
    </r>
    <r>
      <rPr>
        <sz val="10"/>
        <color rgb="FF8B1A1A"/>
        <rFont val="Arial"/>
        <family val="0"/>
        <charset val="1"/>
      </rPr>
      <t xml:space="preserve">160</t>
    </r>
  </si>
  <si>
    <r>
      <rPr>
        <sz val="10"/>
        <color rgb="FF8B1A1A"/>
        <rFont val="DejaVu Sans"/>
        <family val="2"/>
      </rPr>
      <t xml:space="preserve">旧 曲柄 </t>
    </r>
    <r>
      <rPr>
        <sz val="10"/>
        <color rgb="FF8B1A1A"/>
        <rFont val="Arial"/>
        <family val="0"/>
        <charset val="1"/>
      </rPr>
      <t xml:space="preserve">M820 </t>
    </r>
    <r>
      <rPr>
        <sz val="10"/>
        <color rgb="FF8B1A1A"/>
        <rFont val="DejaVu Sans"/>
        <family val="2"/>
      </rPr>
      <t xml:space="preserve">碳 </t>
    </r>
    <r>
      <rPr>
        <sz val="10"/>
        <color rgb="FF8B1A1A"/>
        <rFont val="Arial"/>
        <family val="0"/>
        <charset val="1"/>
      </rPr>
      <t xml:space="preserve">165</t>
    </r>
  </si>
  <si>
    <r>
      <rPr>
        <i val="true"/>
        <sz val="9"/>
        <color rgb="FF888888"/>
        <rFont val="DejaVu Sans"/>
        <family val="2"/>
      </rPr>
      <t xml:space="preserve">退役 </t>
    </r>
    <r>
      <rPr>
        <i val="true"/>
        <sz val="9"/>
        <color rgb="FF888888"/>
        <rFont val="Arial"/>
        <family val="0"/>
        <charset val="1"/>
      </rPr>
      <t xml:space="preserve">SKU</t>
    </r>
    <r>
      <rPr>
        <i val="true"/>
        <sz val="9"/>
        <color rgb="FF888888"/>
        <rFont val="DejaVu Sans"/>
        <family val="2"/>
      </rPr>
      <t xml:space="preserve">，请盘点确认</t>
    </r>
  </si>
  <si>
    <r>
      <rPr>
        <sz val="10"/>
        <color rgb="FF111111"/>
        <rFont val="DejaVu Sans"/>
        <family val="2"/>
      </rPr>
      <t xml:space="preserve">曲柄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碳 </t>
    </r>
    <r>
      <rPr>
        <sz val="10"/>
        <color rgb="FF111111"/>
        <rFont val="Arial"/>
        <family val="0"/>
        <charset val="1"/>
      </rPr>
      <t xml:space="preserve">165</t>
    </r>
  </si>
  <si>
    <r>
      <rPr>
        <sz val="10"/>
        <color rgb="FF111111"/>
        <rFont val="DejaVu Sans"/>
        <family val="2"/>
      </rPr>
      <t xml:space="preserve">曲柄 </t>
    </r>
    <r>
      <rPr>
        <sz val="10"/>
        <color rgb="FF111111"/>
        <rFont val="Arial"/>
        <family val="0"/>
        <charset val="1"/>
      </rPr>
      <t xml:space="preserve">M820 </t>
    </r>
    <r>
      <rPr>
        <sz val="10"/>
        <color rgb="FF111111"/>
        <rFont val="DejaVu Sans"/>
        <family val="2"/>
      </rPr>
      <t xml:space="preserve">碳 </t>
    </r>
    <r>
      <rPr>
        <sz val="10"/>
        <color rgb="FF111111"/>
        <rFont val="Arial"/>
        <family val="0"/>
        <charset val="1"/>
      </rPr>
      <t xml:space="preserve">172.5</t>
    </r>
  </si>
  <si>
    <r>
      <rPr>
        <sz val="10"/>
        <color rgb="FF8B1A1A"/>
        <rFont val="DejaVu Sans"/>
        <family val="2"/>
      </rPr>
      <t xml:space="preserve">旧 曲柄 </t>
    </r>
    <r>
      <rPr>
        <sz val="10"/>
        <color rgb="FF8B1A1A"/>
        <rFont val="Arial"/>
        <family val="0"/>
        <charset val="1"/>
      </rPr>
      <t xml:space="preserve">M820 </t>
    </r>
    <r>
      <rPr>
        <sz val="10"/>
        <color rgb="FF8B1A1A"/>
        <rFont val="DejaVu Sans"/>
        <family val="2"/>
      </rPr>
      <t xml:space="preserve">碳 </t>
    </r>
    <r>
      <rPr>
        <sz val="10"/>
        <color rgb="FF8B1A1A"/>
        <rFont val="Arial"/>
        <family val="0"/>
        <charset val="1"/>
      </rPr>
      <t xml:space="preserve">170</t>
    </r>
  </si>
  <si>
    <r>
      <rPr>
        <sz val="10"/>
        <color rgb="FF111111"/>
        <rFont val="DejaVu Sans"/>
        <family val="2"/>
      </rPr>
      <t xml:space="preserve">座管 </t>
    </r>
    <r>
      <rPr>
        <sz val="10"/>
        <color rgb="FF111111"/>
        <rFont val="Arial"/>
        <family val="0"/>
        <charset val="1"/>
      </rPr>
      <t xml:space="preserve">Illusion</t>
    </r>
  </si>
  <si>
    <t xml:space="preserve">座管</t>
  </si>
  <si>
    <t xml:space="preserve">碳纤维 平把</t>
  </si>
  <si>
    <t xml:space="preserve">车把一体把</t>
  </si>
  <si>
    <r>
      <rPr>
        <sz val="10"/>
        <color rgb="FF111111"/>
        <rFont val="DejaVu Sans"/>
        <family val="2"/>
      </rPr>
      <t xml:space="preserve">弯把 </t>
    </r>
    <r>
      <rPr>
        <sz val="10"/>
        <color rgb="FF111111"/>
        <rFont val="Arial"/>
        <family val="0"/>
        <charset val="1"/>
      </rPr>
      <t xml:space="preserve">400-90</t>
    </r>
  </si>
  <si>
    <r>
      <rPr>
        <sz val="10"/>
        <color rgb="FF111111"/>
        <rFont val="DejaVu Sans"/>
        <family val="2"/>
      </rPr>
      <t xml:space="preserve">弯把 </t>
    </r>
    <r>
      <rPr>
        <sz val="10"/>
        <color rgb="FF111111"/>
        <rFont val="Arial"/>
        <family val="0"/>
        <charset val="1"/>
      </rPr>
      <t xml:space="preserve">380-80</t>
    </r>
  </si>
  <si>
    <r>
      <rPr>
        <sz val="10"/>
        <color rgb="FF8B1A1A"/>
        <rFont val="DejaVu Sans"/>
        <family val="2"/>
      </rPr>
      <t xml:space="preserve">弯把 星尘 </t>
    </r>
    <r>
      <rPr>
        <sz val="10"/>
        <color rgb="FF8B1A1A"/>
        <rFont val="Arial"/>
        <family val="0"/>
        <charset val="1"/>
      </rPr>
      <t xml:space="preserve">420-100</t>
    </r>
  </si>
  <si>
    <r>
      <rPr>
        <sz val="10"/>
        <color rgb="FF8B1A1A"/>
        <rFont val="DejaVu Sans"/>
        <family val="2"/>
      </rPr>
      <t xml:space="preserve">弯把 星尘 </t>
    </r>
    <r>
      <rPr>
        <sz val="10"/>
        <color rgb="FF8B1A1A"/>
        <rFont val="Arial"/>
        <family val="0"/>
        <charset val="1"/>
      </rPr>
      <t xml:space="preserve">400-90</t>
    </r>
  </si>
  <si>
    <r>
      <rPr>
        <sz val="10"/>
        <color rgb="FF111111"/>
        <rFont val="DejaVu Sans"/>
        <family val="2"/>
      </rPr>
      <t xml:space="preserve">弯把 </t>
    </r>
    <r>
      <rPr>
        <sz val="10"/>
        <color rgb="FF111111"/>
        <rFont val="Arial"/>
        <family val="0"/>
        <charset val="1"/>
      </rPr>
      <t xml:space="preserve">420-100</t>
    </r>
  </si>
  <si>
    <r>
      <rPr>
        <sz val="10"/>
        <color rgb="FF8B1A1A"/>
        <rFont val="DejaVu Sans"/>
        <family val="2"/>
      </rPr>
      <t xml:space="preserve">弯把 星尘 </t>
    </r>
    <r>
      <rPr>
        <sz val="10"/>
        <color rgb="FF8B1A1A"/>
        <rFont val="Arial"/>
        <family val="0"/>
        <charset val="1"/>
      </rPr>
      <t xml:space="preserve">380-80</t>
    </r>
  </si>
  <si>
    <r>
      <rPr>
        <sz val="10"/>
        <color rgb="FF8B1A1A"/>
        <rFont val="DejaVu Sans"/>
        <family val="2"/>
      </rPr>
      <t xml:space="preserve">弯把 新星尘（粉） </t>
    </r>
    <r>
      <rPr>
        <sz val="10"/>
        <color rgb="FF8B1A1A"/>
        <rFont val="Arial"/>
        <family val="0"/>
        <charset val="1"/>
      </rPr>
      <t xml:space="preserve">400-90</t>
    </r>
  </si>
  <si>
    <r>
      <rPr>
        <sz val="10"/>
        <color rgb="FF8B1A1A"/>
        <rFont val="DejaVu Sans"/>
        <family val="2"/>
      </rPr>
      <t xml:space="preserve">弯把 新星尘（粉） </t>
    </r>
    <r>
      <rPr>
        <sz val="10"/>
        <color rgb="FF8B1A1A"/>
        <rFont val="Arial"/>
        <family val="0"/>
        <charset val="1"/>
      </rPr>
      <t xml:space="preserve">380-80</t>
    </r>
  </si>
  <si>
    <r>
      <rPr>
        <sz val="10"/>
        <color rgb="FFAAAAAA"/>
        <rFont val="DejaVu Sans"/>
        <family val="2"/>
      </rPr>
      <t xml:space="preserve">弯把 新星尘（粉） </t>
    </r>
    <r>
      <rPr>
        <sz val="10"/>
        <color rgb="FFAAAAAA"/>
        <rFont val="Arial"/>
        <family val="0"/>
        <charset val="1"/>
      </rPr>
      <t xml:space="preserve">420-100</t>
    </r>
  </si>
  <si>
    <t xml:space="preserve">合　计</t>
  </si>
  <si>
    <r>
      <rPr>
        <i val="true"/>
        <sz val="8"/>
        <color rgb="FF888888"/>
        <rFont val="DejaVu Sans"/>
        <family val="2"/>
      </rPr>
      <t xml:space="preserve">数据来源：宇宙销售统计中心 </t>
    </r>
    <r>
      <rPr>
        <i val="true"/>
        <sz val="8"/>
        <color rgb="FF888888"/>
        <rFont val="Arial"/>
        <family val="0"/>
        <charset val="1"/>
      </rPr>
      <t xml:space="preserve">· ⭕️ 2026 </t>
    </r>
    <r>
      <rPr>
        <i val="true"/>
        <sz val="8"/>
        <color rgb="FF888888"/>
        <rFont val="DejaVu Sans"/>
        <family val="2"/>
      </rPr>
      <t xml:space="preserve">电助力零部件</t>
    </r>
    <r>
      <rPr>
        <i val="true"/>
        <sz val="8"/>
        <color rgb="FF888888"/>
        <rFont val="Arial"/>
        <family val="0"/>
        <charset val="1"/>
      </rPr>
      <t xml:space="preserve">SKU + </t>
    </r>
    <r>
      <rPr>
        <i val="true"/>
        <sz val="8"/>
        <color rgb="FF888888"/>
        <rFont val="DejaVu Sans"/>
        <family val="2"/>
      </rPr>
      <t xml:space="preserve">电助力库存中心 </t>
    </r>
    <r>
      <rPr>
        <i val="true"/>
        <sz val="8"/>
        <color rgb="FF888888"/>
        <rFont val="Arial"/>
        <family val="0"/>
        <charset val="1"/>
      </rPr>
      <t xml:space="preserve">· </t>
    </r>
    <r>
      <rPr>
        <i val="true"/>
        <sz val="8"/>
        <color rgb="FF888888"/>
        <rFont val="DejaVu Sans"/>
        <family val="2"/>
      </rPr>
      <t xml:space="preserve">截至 </t>
    </r>
    <r>
      <rPr>
        <i val="true"/>
        <sz val="8"/>
        <color rgb="FF888888"/>
        <rFont val="Arial"/>
        <family val="0"/>
        <charset val="1"/>
      </rPr>
      <t xml:space="preserve">2026-03-11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</si>
</sst>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¥#,##0.00"/>
    <numFmt numFmtId="167" formatCode="\¥#,##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i val="true"/>
      <sz val="9"/>
      <color rgb="FF555555"/>
      <name val="DejaVu Sans"/>
      <family val="2"/>
    </font>
    <font>
      <i val="true"/>
      <sz val="9"/>
      <color rgb="FF555555"/>
      <name val="Arial"/>
      <family val="0"/>
      <charset val="1"/>
    </font>
    <font>
      <sz val="9"/>
      <color rgb="FF555555"/>
      <name val="Arial"/>
      <family val="0"/>
      <charset val="1"/>
    </font>
    <font>
      <sz val="9"/>
      <color rgb="FF555555"/>
      <name val="DejaVu Sans"/>
      <family val="2"/>
    </font>
    <font>
      <b val="true"/>
      <sz val="22"/>
      <color rgb="FF111111"/>
      <name val="Calibri"/>
      <family val="0"/>
      <charset val="1"/>
    </font>
    <font>
      <b val="true"/>
      <sz val="11"/>
      <color rgb="FF111111"/>
      <name val="DejaVu Sans"/>
      <family val="2"/>
    </font>
    <font>
      <b val="true"/>
      <sz val="11"/>
      <color rgb="FF111111"/>
      <name val="Times New Roman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8B1A1A"/>
      <name val="Calibri"/>
      <family val="0"/>
      <charset val="1"/>
    </font>
    <font>
      <b val="true"/>
      <sz val="9"/>
      <color rgb="FF111111"/>
      <name val="DejaVu Sans"/>
      <family val="2"/>
    </font>
    <font>
      <b val="true"/>
      <sz val="9"/>
      <color rgb="FF111111"/>
      <name val="Arial"/>
      <family val="0"/>
      <charset val="1"/>
    </font>
    <font>
      <i val="true"/>
      <sz val="8"/>
      <color rgb="FF888888"/>
      <name val="DejaVu Sans"/>
      <family val="2"/>
    </font>
    <font>
      <i val="true"/>
      <sz val="8"/>
      <color rgb="FF888888"/>
      <name val="Arial"/>
      <family val="0"/>
      <charset val="1"/>
    </font>
    <font>
      <b val="true"/>
      <sz val="14"/>
      <color rgb="FFFFFFFF"/>
      <name val="Times New Roman"/>
      <family val="0"/>
      <charset val="1"/>
    </font>
    <font>
      <sz val="10"/>
      <color rgb="FFAAAAAA"/>
      <name val="Arial"/>
      <family val="0"/>
      <charset val="1"/>
    </font>
    <font>
      <sz val="10"/>
      <color rgb="FFAAAAAA"/>
      <name val="DejaVu Sans"/>
      <family val="2"/>
    </font>
    <font>
      <sz val="9"/>
      <color rgb="FFAAAAAA"/>
      <name val="Calibri"/>
      <family val="0"/>
      <charset val="1"/>
    </font>
    <font>
      <sz val="10"/>
      <color rgb="FF111111"/>
      <name val="DejaVu Sans"/>
      <family val="2"/>
    </font>
    <font>
      <sz val="10"/>
      <color rgb="FF111111"/>
      <name val="Arial"/>
      <family val="0"/>
      <charset val="1"/>
    </font>
    <font>
      <sz val="10"/>
      <color rgb="FF111111"/>
      <name val="Calibri"/>
      <family val="0"/>
      <charset val="1"/>
    </font>
    <font>
      <b val="true"/>
      <sz val="10"/>
      <color rgb="FF111111"/>
      <name val="Calibri"/>
      <family val="0"/>
      <charset val="1"/>
    </font>
    <font>
      <b val="true"/>
      <sz val="10"/>
      <color rgb="FF111111"/>
      <name val="Arial"/>
      <family val="0"/>
      <charset val="1"/>
    </font>
    <font>
      <b val="true"/>
      <sz val="10"/>
      <color rgb="FF111111"/>
      <name val="DejaVu Sans"/>
      <family val="2"/>
    </font>
    <font>
      <sz val="9"/>
      <color rgb="FFCCCCCC"/>
      <name val="Arial"/>
      <family val="0"/>
      <charset val="1"/>
    </font>
    <font>
      <b val="true"/>
      <sz val="11"/>
      <color rgb="FF111111"/>
      <name val="Calibri"/>
      <family val="0"/>
      <charset val="1"/>
    </font>
    <font>
      <sz val="10"/>
      <name val="DejaVu Sans"/>
      <family val="2"/>
    </font>
    <font>
      <sz val="10"/>
      <name val="Arial"/>
      <family val="2"/>
    </font>
    <font>
      <sz val="10"/>
      <color rgb="FF8B1A1A"/>
      <name val="DejaVu Sans"/>
      <family val="2"/>
    </font>
    <font>
      <sz val="10"/>
      <color rgb="FF8B1A1A"/>
      <name val="Arial"/>
      <family val="0"/>
      <charset val="1"/>
    </font>
    <font>
      <sz val="9"/>
      <color rgb="FFCCCCCC"/>
      <name val="Calibri"/>
      <family val="0"/>
      <charset val="1"/>
    </font>
    <font>
      <i val="true"/>
      <sz val="9"/>
      <color rgb="FF888888"/>
      <name val="DejaVu Sans"/>
      <family val="2"/>
    </font>
    <font>
      <i val="true"/>
      <sz val="9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AF9F6"/>
        <bgColor rgb="FFF5F5F5"/>
      </patternFill>
    </fill>
    <fill>
      <patternFill patternType="solid">
        <fgColor rgb="FFFFFFFF"/>
        <bgColor rgb="FFFAF9F6"/>
      </patternFill>
    </fill>
    <fill>
      <patternFill patternType="solid">
        <fgColor rgb="FFF5F5F5"/>
        <bgColor rgb="FFFAF9F6"/>
      </patternFill>
    </fill>
    <fill>
      <patternFill patternType="solid">
        <fgColor rgb="FFF0EFEC"/>
        <bgColor rgb="FFF5F5F5"/>
      </patternFill>
    </fill>
    <fill>
      <patternFill patternType="solid">
        <fgColor rgb="FFE8E8E8"/>
        <bgColor rgb="FFF0EFE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 style="thin">
        <color rgb="FFCCCCCC"/>
      </top>
      <bottom style="medium">
        <color rgb="FF111111"/>
      </bottom>
      <diagonal/>
    </border>
    <border diagonalUp="false" diagonalDown="false">
      <left/>
      <right/>
      <top style="medium">
        <color rgb="FF111111"/>
      </top>
      <bottom style="medium">
        <color rgb="FF111111"/>
      </bottom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/>
      <right/>
      <top style="thin">
        <color rgb="FFCCCCCC"/>
      </top>
      <bottom/>
      <diagonal/>
    </border>
    <border diagonalUp="false" diagonalDown="false">
      <left/>
      <right/>
      <top style="medium">
        <color rgb="FF111111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0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7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AF9F6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EFEC"/>
      <rgbColor rgb="FFE8E8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111111"/>
      <rgbColor rgb="FF33330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2" hidden="false" customHeight="true" outlineLevel="0" collapsed="false"/>
    <row r="5" customFormat="false" ht="18" hidden="false" customHeight="true" outlineLevel="0" collapsed="false">
      <c r="A5" s="4" t="s">
        <v>2</v>
      </c>
      <c r="B5" s="4"/>
      <c r="C5" s="4" t="s">
        <v>3</v>
      </c>
      <c r="D5" s="4"/>
      <c r="E5" s="5" t="s">
        <v>4</v>
      </c>
      <c r="F5" s="5"/>
    </row>
    <row r="6" customFormat="false" ht="33.75" hidden="false" customHeight="true" outlineLevel="0" collapsed="false">
      <c r="A6" s="6" t="n">
        <v>63</v>
      </c>
      <c r="B6" s="6"/>
      <c r="C6" s="6" t="n">
        <v>205</v>
      </c>
      <c r="D6" s="6"/>
      <c r="E6" s="6" t="n">
        <v>27</v>
      </c>
      <c r="F6" s="6"/>
    </row>
    <row r="7" customFormat="false" ht="15.75" hidden="false" customHeight="true" outlineLevel="0" collapsed="false">
      <c r="A7" s="7" t="s">
        <v>5</v>
      </c>
      <c r="B7" s="7"/>
      <c r="C7" s="7" t="s">
        <v>5</v>
      </c>
      <c r="D7" s="7"/>
      <c r="E7" s="7" t="s">
        <v>6</v>
      </c>
      <c r="F7" s="7"/>
    </row>
    <row r="8" customFormat="false" ht="9.75" hidden="false" customHeight="true" outlineLevel="0" collapsed="false"/>
    <row r="9" customFormat="false" ht="21.75" hidden="false" customHeight="true" outlineLevel="0" collapsed="false">
      <c r="A9" s="8" t="s">
        <v>7</v>
      </c>
      <c r="B9" s="8"/>
      <c r="C9" s="8"/>
      <c r="D9" s="8"/>
      <c r="E9" s="8"/>
      <c r="F9" s="8"/>
      <c r="G9" s="8"/>
      <c r="H9" s="8"/>
    </row>
    <row r="10" customFormat="false" ht="25.5" hidden="false" customHeight="true" outlineLevel="0" collapsed="false">
      <c r="A10" s="9" t="s">
        <v>8</v>
      </c>
      <c r="B10" s="10" t="s">
        <v>9</v>
      </c>
      <c r="C10" s="10" t="s">
        <v>10</v>
      </c>
      <c r="D10" s="10"/>
      <c r="E10" s="10"/>
      <c r="F10" s="10"/>
      <c r="G10" s="10"/>
      <c r="H10" s="10"/>
    </row>
    <row r="11" customFormat="false" ht="30" hidden="false" customHeight="true" outlineLevel="0" collapsed="false">
      <c r="A11" s="11" t="s">
        <v>11</v>
      </c>
      <c r="B11" s="12" t="s">
        <v>12</v>
      </c>
      <c r="C11" s="13" t="s">
        <v>13</v>
      </c>
      <c r="D11" s="13"/>
      <c r="E11" s="13"/>
      <c r="F11" s="13"/>
      <c r="G11" s="13"/>
      <c r="H11" s="13"/>
    </row>
    <row r="12" customFormat="false" ht="30" hidden="false" customHeight="true" outlineLevel="0" collapsed="false">
      <c r="A12" s="14" t="s">
        <v>14</v>
      </c>
      <c r="B12" s="15" t="s">
        <v>15</v>
      </c>
      <c r="C12" s="16" t="s">
        <v>16</v>
      </c>
      <c r="D12" s="16"/>
      <c r="E12" s="16"/>
      <c r="F12" s="16"/>
      <c r="G12" s="16"/>
      <c r="H12" s="16"/>
    </row>
    <row r="13" customFormat="false" ht="30" hidden="false" customHeight="true" outlineLevel="0" collapsed="false">
      <c r="A13" s="11" t="s">
        <v>17</v>
      </c>
      <c r="B13" s="12" t="s">
        <v>18</v>
      </c>
      <c r="C13" s="13" t="s">
        <v>19</v>
      </c>
      <c r="D13" s="13"/>
      <c r="E13" s="13"/>
      <c r="F13" s="13"/>
      <c r="G13" s="13"/>
      <c r="H13" s="13"/>
    </row>
    <row r="14" customFormat="false" ht="30" hidden="false" customHeight="true" outlineLevel="0" collapsed="false">
      <c r="A14" s="14" t="s">
        <v>20</v>
      </c>
      <c r="B14" s="17" t="s">
        <v>21</v>
      </c>
      <c r="C14" s="16" t="s">
        <v>22</v>
      </c>
      <c r="D14" s="16"/>
      <c r="E14" s="16"/>
      <c r="F14" s="16"/>
      <c r="G14" s="16"/>
      <c r="H14" s="16"/>
    </row>
    <row r="15" customFormat="false" ht="30" hidden="false" customHeight="true" outlineLevel="0" collapsed="false">
      <c r="A15" s="11" t="s">
        <v>23</v>
      </c>
      <c r="B15" s="12" t="s">
        <v>24</v>
      </c>
      <c r="C15" s="13" t="s">
        <v>25</v>
      </c>
      <c r="D15" s="13"/>
      <c r="E15" s="13"/>
      <c r="F15" s="13"/>
      <c r="G15" s="13"/>
      <c r="H15" s="13"/>
    </row>
    <row r="16" customFormat="false" ht="30" hidden="false" customHeight="true" outlineLevel="0" collapsed="false">
      <c r="A16" s="14" t="s">
        <v>26</v>
      </c>
      <c r="B16" s="17" t="s">
        <v>27</v>
      </c>
      <c r="C16" s="18" t="s">
        <v>28</v>
      </c>
      <c r="D16" s="18"/>
      <c r="E16" s="18"/>
      <c r="F16" s="18"/>
      <c r="G16" s="18"/>
      <c r="H16" s="18"/>
    </row>
    <row r="17" customFormat="false" ht="30" hidden="false" customHeight="true" outlineLevel="0" collapsed="false">
      <c r="A17" s="11" t="s">
        <v>29</v>
      </c>
      <c r="B17" s="12" t="s">
        <v>30</v>
      </c>
      <c r="C17" s="13" t="s">
        <v>31</v>
      </c>
      <c r="D17" s="13"/>
      <c r="E17" s="13"/>
      <c r="F17" s="13"/>
      <c r="G17" s="13"/>
      <c r="H17" s="13"/>
    </row>
    <row r="19" customFormat="false" ht="13.5" hidden="false" customHeight="true" outlineLevel="0" collapsed="false">
      <c r="A19" s="19" t="s">
        <v>32</v>
      </c>
      <c r="B19" s="19"/>
      <c r="C19" s="19"/>
      <c r="D19" s="19"/>
      <c r="E19" s="19"/>
      <c r="F19" s="19"/>
      <c r="G19" s="19"/>
      <c r="H19" s="19"/>
    </row>
  </sheetData>
  <mergeCells count="21">
    <mergeCell ref="A1:H1"/>
    <mergeCell ref="A2:H2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9:H9"/>
    <mergeCell ref="C10:H10"/>
    <mergeCell ref="C11:H11"/>
    <mergeCell ref="C12:H12"/>
    <mergeCell ref="C13:H13"/>
    <mergeCell ref="C14:H14"/>
    <mergeCell ref="C15:H15"/>
    <mergeCell ref="C16:H16"/>
    <mergeCell ref="C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L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0" t="s">
        <v>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25.5" hidden="false" customHeight="true" outlineLevel="0" collapsed="false">
      <c r="A4" s="10" t="s">
        <v>35</v>
      </c>
      <c r="B4" s="10" t="s">
        <v>36</v>
      </c>
      <c r="C4" s="10" t="s">
        <v>37</v>
      </c>
      <c r="D4" s="10" t="s">
        <v>38</v>
      </c>
      <c r="E4" s="10" t="s">
        <v>39</v>
      </c>
      <c r="F4" s="9" t="s">
        <v>40</v>
      </c>
      <c r="G4" s="9" t="s">
        <v>41</v>
      </c>
      <c r="H4" s="10" t="s">
        <v>42</v>
      </c>
      <c r="I4" s="10" t="s">
        <v>43</v>
      </c>
      <c r="J4" s="10" t="s">
        <v>44</v>
      </c>
      <c r="K4" s="10" t="s">
        <v>45</v>
      </c>
      <c r="L4" s="10" t="s">
        <v>46</v>
      </c>
    </row>
    <row r="5" customFormat="false" ht="18" hidden="false" customHeight="true" outlineLevel="0" collapsed="false">
      <c r="A5" s="21" t="s">
        <v>47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customFormat="false" ht="12.75" hidden="false" customHeight="true" outlineLevel="0" collapsed="false">
      <c r="A6" s="22" t="s">
        <v>48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</row>
    <row r="7" customFormat="false" ht="19.5" hidden="false" customHeight="true" outlineLevel="0" collapsed="false">
      <c r="A7" s="23"/>
      <c r="B7" s="23" t="s">
        <v>49</v>
      </c>
      <c r="C7" s="24" t="s">
        <v>50</v>
      </c>
      <c r="D7" s="24" t="s">
        <v>51</v>
      </c>
      <c r="E7" s="25" t="n">
        <v>0</v>
      </c>
      <c r="F7" s="25" t="n">
        <v>1</v>
      </c>
      <c r="G7" s="25" t="n">
        <v>1</v>
      </c>
      <c r="H7" s="25" t="n">
        <v>1</v>
      </c>
      <c r="I7" s="25" t="n">
        <v>0</v>
      </c>
      <c r="J7" s="25" t="n">
        <v>0</v>
      </c>
      <c r="K7" s="25" t="n">
        <v>1</v>
      </c>
      <c r="L7" s="25" t="n">
        <v>0</v>
      </c>
    </row>
    <row r="8" customFormat="false" ht="19.5" hidden="false" customHeight="true" outlineLevel="0" collapsed="false">
      <c r="A8" s="26"/>
      <c r="B8" s="26" t="s">
        <v>52</v>
      </c>
      <c r="C8" s="27" t="s">
        <v>50</v>
      </c>
      <c r="D8" s="27" t="s">
        <v>51</v>
      </c>
      <c r="E8" s="28" t="n">
        <v>0</v>
      </c>
      <c r="F8" s="28" t="n">
        <v>1</v>
      </c>
      <c r="G8" s="28" t="n">
        <v>1</v>
      </c>
      <c r="H8" s="28" t="n">
        <v>1</v>
      </c>
      <c r="I8" s="28" t="n">
        <v>0</v>
      </c>
      <c r="J8" s="28" t="n">
        <v>0</v>
      </c>
      <c r="K8" s="28" t="n">
        <v>1</v>
      </c>
      <c r="L8" s="28" t="n">
        <v>0</v>
      </c>
    </row>
    <row r="9" customFormat="false" ht="19.5" hidden="false" customHeight="true" outlineLevel="0" collapsed="false">
      <c r="A9" s="24" t="s">
        <v>53</v>
      </c>
      <c r="B9" s="23" t="s">
        <v>54</v>
      </c>
      <c r="C9" s="23"/>
      <c r="D9" s="24" t="s">
        <v>51</v>
      </c>
      <c r="E9" s="25" t="n">
        <v>0</v>
      </c>
      <c r="F9" s="25" t="n">
        <v>3</v>
      </c>
      <c r="G9" s="25" t="n">
        <v>3</v>
      </c>
      <c r="H9" s="25" t="n">
        <v>2</v>
      </c>
      <c r="I9" s="25" t="n">
        <v>1</v>
      </c>
      <c r="J9" s="25" t="n">
        <v>0</v>
      </c>
      <c r="K9" s="25" t="n">
        <v>3</v>
      </c>
      <c r="L9" s="25" t="n">
        <v>0</v>
      </c>
    </row>
    <row r="10" customFormat="false" ht="19.5" hidden="false" customHeight="true" outlineLevel="0" collapsed="false">
      <c r="A10" s="27" t="s">
        <v>53</v>
      </c>
      <c r="B10" s="26" t="s">
        <v>49</v>
      </c>
      <c r="C10" s="26"/>
      <c r="D10" s="27" t="s">
        <v>51</v>
      </c>
      <c r="E10" s="28" t="n">
        <v>4</v>
      </c>
      <c r="F10" s="28" t="n">
        <v>4</v>
      </c>
      <c r="G10" s="28" t="n">
        <v>8</v>
      </c>
      <c r="H10" s="28" t="n">
        <v>8</v>
      </c>
      <c r="I10" s="28" t="n">
        <v>0</v>
      </c>
      <c r="J10" s="28" t="n">
        <v>0</v>
      </c>
      <c r="K10" s="28" t="n">
        <v>8</v>
      </c>
      <c r="L10" s="28" t="n">
        <v>0</v>
      </c>
    </row>
    <row r="11" customFormat="false" ht="19.5" hidden="false" customHeight="true" outlineLevel="0" collapsed="false">
      <c r="A11" s="29" t="s">
        <v>53</v>
      </c>
      <c r="B11" s="30" t="s">
        <v>55</v>
      </c>
      <c r="C11" s="29"/>
      <c r="D11" s="29" t="s">
        <v>51</v>
      </c>
      <c r="E11" s="31" t="n">
        <v>2</v>
      </c>
      <c r="F11" s="31" t="n">
        <v>5</v>
      </c>
      <c r="G11" s="31" t="n">
        <v>4</v>
      </c>
      <c r="H11" s="31" t="n">
        <v>4</v>
      </c>
      <c r="I11" s="31" t="n">
        <v>0</v>
      </c>
      <c r="J11" s="31" t="n">
        <v>0</v>
      </c>
      <c r="K11" s="31" t="n">
        <v>4</v>
      </c>
      <c r="L11" s="31" t="n">
        <v>3</v>
      </c>
    </row>
    <row r="12" customFormat="false" ht="19.5" hidden="false" customHeight="true" outlineLevel="0" collapsed="false">
      <c r="A12" s="32" t="s">
        <v>53</v>
      </c>
      <c r="B12" s="33" t="s">
        <v>55</v>
      </c>
      <c r="C12" s="32" t="s">
        <v>56</v>
      </c>
      <c r="D12" s="32" t="s">
        <v>57</v>
      </c>
      <c r="E12" s="34" t="n">
        <v>0</v>
      </c>
      <c r="F12" s="34" t="n">
        <v>1</v>
      </c>
      <c r="G12" s="34" t="n">
        <v>0</v>
      </c>
      <c r="H12" s="34" t="n">
        <v>0</v>
      </c>
      <c r="I12" s="34" t="n">
        <v>1</v>
      </c>
      <c r="J12" s="34" t="n">
        <v>0</v>
      </c>
      <c r="K12" s="34" t="n">
        <v>0</v>
      </c>
      <c r="L12" s="35" t="n">
        <v>1</v>
      </c>
    </row>
    <row r="13" customFormat="false" ht="19.5" hidden="false" customHeight="true" outlineLevel="0" collapsed="false">
      <c r="A13" s="29" t="s">
        <v>53</v>
      </c>
      <c r="B13" s="30" t="s">
        <v>52</v>
      </c>
      <c r="C13" s="29"/>
      <c r="D13" s="29" t="s">
        <v>51</v>
      </c>
      <c r="E13" s="31" t="n">
        <v>0</v>
      </c>
      <c r="F13" s="31" t="n">
        <v>2</v>
      </c>
      <c r="G13" s="31" t="n">
        <v>1</v>
      </c>
      <c r="H13" s="31" t="n">
        <v>1</v>
      </c>
      <c r="I13" s="31" t="n">
        <v>0</v>
      </c>
      <c r="J13" s="31" t="n">
        <v>0</v>
      </c>
      <c r="K13" s="31" t="n">
        <v>1</v>
      </c>
      <c r="L13" s="31" t="n">
        <v>1</v>
      </c>
    </row>
    <row r="14" customFormat="false" ht="19.5" hidden="false" customHeight="true" outlineLevel="0" collapsed="false">
      <c r="A14" s="32" t="s">
        <v>58</v>
      </c>
      <c r="B14" s="33" t="s">
        <v>54</v>
      </c>
      <c r="C14" s="32"/>
      <c r="D14" s="32" t="s">
        <v>51</v>
      </c>
      <c r="E14" s="36" t="n">
        <v>2</v>
      </c>
      <c r="F14" s="36" t="n">
        <v>4</v>
      </c>
      <c r="G14" s="36" t="n">
        <v>3</v>
      </c>
      <c r="H14" s="36" t="n">
        <v>4</v>
      </c>
      <c r="I14" s="36" t="n">
        <v>0</v>
      </c>
      <c r="J14" s="36" t="n">
        <v>0</v>
      </c>
      <c r="K14" s="36" t="n">
        <v>3</v>
      </c>
      <c r="L14" s="36" t="n">
        <v>3</v>
      </c>
    </row>
    <row r="15" customFormat="false" ht="19.5" hidden="false" customHeight="true" outlineLevel="0" collapsed="false">
      <c r="A15" s="24" t="s">
        <v>58</v>
      </c>
      <c r="B15" s="23" t="s">
        <v>54</v>
      </c>
      <c r="C15" s="24" t="s">
        <v>56</v>
      </c>
      <c r="D15" s="24" t="s">
        <v>57</v>
      </c>
      <c r="E15" s="25" t="n">
        <v>0</v>
      </c>
      <c r="F15" s="25" t="n">
        <v>1</v>
      </c>
      <c r="G15" s="25" t="n">
        <v>1</v>
      </c>
      <c r="H15" s="25" t="n">
        <v>0</v>
      </c>
      <c r="I15" s="25" t="n">
        <v>0</v>
      </c>
      <c r="J15" s="25" t="n">
        <v>0</v>
      </c>
      <c r="K15" s="25" t="n">
        <v>1</v>
      </c>
      <c r="L15" s="25" t="n">
        <v>0</v>
      </c>
    </row>
    <row r="16" customFormat="false" ht="19.5" hidden="false" customHeight="true" outlineLevel="0" collapsed="false">
      <c r="A16" s="32" t="s">
        <v>58</v>
      </c>
      <c r="B16" s="33" t="s">
        <v>49</v>
      </c>
      <c r="C16" s="32"/>
      <c r="D16" s="32" t="s">
        <v>51</v>
      </c>
      <c r="E16" s="36" t="n">
        <v>0</v>
      </c>
      <c r="F16" s="36" t="n">
        <v>6</v>
      </c>
      <c r="G16" s="36" t="n">
        <v>3</v>
      </c>
      <c r="H16" s="36" t="n">
        <v>3</v>
      </c>
      <c r="I16" s="36" t="n">
        <v>0</v>
      </c>
      <c r="J16" s="36" t="n">
        <v>0</v>
      </c>
      <c r="K16" s="36" t="n">
        <v>3</v>
      </c>
      <c r="L16" s="36" t="n">
        <v>3</v>
      </c>
    </row>
    <row r="17" customFormat="false" ht="19.5" hidden="false" customHeight="true" outlineLevel="0" collapsed="false">
      <c r="A17" s="29" t="s">
        <v>58</v>
      </c>
      <c r="B17" s="30" t="s">
        <v>55</v>
      </c>
      <c r="C17" s="29"/>
      <c r="D17" s="29" t="s">
        <v>51</v>
      </c>
      <c r="E17" s="31" t="n">
        <v>0</v>
      </c>
      <c r="F17" s="31" t="n">
        <v>5</v>
      </c>
      <c r="G17" s="31" t="n">
        <v>3</v>
      </c>
      <c r="H17" s="31" t="n">
        <v>3</v>
      </c>
      <c r="I17" s="31" t="n">
        <v>0</v>
      </c>
      <c r="J17" s="31" t="n">
        <v>0</v>
      </c>
      <c r="K17" s="31" t="n">
        <v>3</v>
      </c>
      <c r="L17" s="31" t="n">
        <v>2</v>
      </c>
    </row>
    <row r="18" customFormat="false" ht="19.5" hidden="false" customHeight="true" outlineLevel="0" collapsed="false">
      <c r="A18" s="32" t="s">
        <v>58</v>
      </c>
      <c r="B18" s="33" t="s">
        <v>52</v>
      </c>
      <c r="C18" s="32"/>
      <c r="D18" s="32" t="s">
        <v>51</v>
      </c>
      <c r="E18" s="36" t="n">
        <v>0</v>
      </c>
      <c r="F18" s="36" t="n">
        <v>2</v>
      </c>
      <c r="G18" s="36" t="n">
        <v>1</v>
      </c>
      <c r="H18" s="36" t="n">
        <v>1</v>
      </c>
      <c r="I18" s="36" t="n">
        <v>0</v>
      </c>
      <c r="J18" s="36" t="n">
        <v>0</v>
      </c>
      <c r="K18" s="36" t="n">
        <v>1</v>
      </c>
      <c r="L18" s="36" t="n">
        <v>1</v>
      </c>
    </row>
    <row r="19" customFormat="false" ht="19.5" hidden="false" customHeight="true" outlineLevel="0" collapsed="false">
      <c r="A19" s="29" t="s">
        <v>59</v>
      </c>
      <c r="B19" s="30" t="s">
        <v>54</v>
      </c>
      <c r="C19" s="29"/>
      <c r="D19" s="29" t="s">
        <v>51</v>
      </c>
      <c r="E19" s="37" t="n">
        <v>0</v>
      </c>
      <c r="F19" s="37" t="n">
        <v>2</v>
      </c>
      <c r="G19" s="37" t="n">
        <v>0</v>
      </c>
      <c r="H19" s="37" t="n">
        <v>0</v>
      </c>
      <c r="I19" s="37" t="n">
        <v>0</v>
      </c>
      <c r="J19" s="37" t="n">
        <v>0</v>
      </c>
      <c r="K19" s="37" t="n">
        <v>0</v>
      </c>
      <c r="L19" s="38" t="n">
        <v>2</v>
      </c>
    </row>
    <row r="20" customFormat="false" ht="19.5" hidden="false" customHeight="true" outlineLevel="0" collapsed="false">
      <c r="A20" s="32" t="s">
        <v>59</v>
      </c>
      <c r="B20" s="33" t="s">
        <v>49</v>
      </c>
      <c r="C20" s="32"/>
      <c r="D20" s="32" t="s">
        <v>51</v>
      </c>
      <c r="E20" s="36" t="n">
        <v>1</v>
      </c>
      <c r="F20" s="36" t="n">
        <v>6</v>
      </c>
      <c r="G20" s="36" t="n">
        <v>4</v>
      </c>
      <c r="H20" s="36" t="n">
        <v>3</v>
      </c>
      <c r="I20" s="36" t="n">
        <v>0</v>
      </c>
      <c r="J20" s="36" t="n">
        <v>0</v>
      </c>
      <c r="K20" s="36" t="n">
        <v>4</v>
      </c>
      <c r="L20" s="36" t="n">
        <v>3</v>
      </c>
    </row>
    <row r="21" customFormat="false" ht="19.5" hidden="false" customHeight="true" outlineLevel="0" collapsed="false">
      <c r="A21" s="24" t="s">
        <v>59</v>
      </c>
      <c r="B21" s="23" t="s">
        <v>49</v>
      </c>
      <c r="C21" s="24" t="s">
        <v>56</v>
      </c>
      <c r="D21" s="24" t="s">
        <v>57</v>
      </c>
      <c r="E21" s="25" t="n">
        <v>0</v>
      </c>
      <c r="F21" s="25" t="n">
        <v>1</v>
      </c>
      <c r="G21" s="25" t="n">
        <v>1</v>
      </c>
      <c r="H21" s="25" t="n">
        <v>1</v>
      </c>
      <c r="I21" s="25" t="n">
        <v>0</v>
      </c>
      <c r="J21" s="25" t="n">
        <v>0</v>
      </c>
      <c r="K21" s="25" t="n">
        <v>1</v>
      </c>
      <c r="L21" s="25" t="n">
        <v>0</v>
      </c>
    </row>
    <row r="22" customFormat="false" ht="19.5" hidden="false" customHeight="true" outlineLevel="0" collapsed="false">
      <c r="A22" s="32" t="s">
        <v>59</v>
      </c>
      <c r="B22" s="33" t="s">
        <v>49</v>
      </c>
      <c r="C22" s="32" t="s">
        <v>56</v>
      </c>
      <c r="D22" s="32" t="s">
        <v>57</v>
      </c>
      <c r="E22" s="34" t="n">
        <v>0</v>
      </c>
      <c r="F22" s="34" t="n">
        <v>1</v>
      </c>
      <c r="G22" s="34" t="n">
        <v>0</v>
      </c>
      <c r="H22" s="34" t="n">
        <v>0</v>
      </c>
      <c r="I22" s="34" t="n">
        <v>0</v>
      </c>
      <c r="J22" s="34" t="n">
        <v>0</v>
      </c>
      <c r="K22" s="34" t="n">
        <v>0</v>
      </c>
      <c r="L22" s="35" t="n">
        <v>1</v>
      </c>
    </row>
    <row r="23" customFormat="false" ht="19.5" hidden="false" customHeight="true" outlineLevel="0" collapsed="false">
      <c r="A23" s="29" t="s">
        <v>59</v>
      </c>
      <c r="B23" s="30" t="s">
        <v>55</v>
      </c>
      <c r="C23" s="29"/>
      <c r="D23" s="29" t="s">
        <v>51</v>
      </c>
      <c r="E23" s="31" t="n">
        <v>2</v>
      </c>
      <c r="F23" s="31" t="n">
        <v>2</v>
      </c>
      <c r="G23" s="31" t="n">
        <v>1</v>
      </c>
      <c r="H23" s="31" t="n">
        <v>1</v>
      </c>
      <c r="I23" s="31" t="n">
        <v>0</v>
      </c>
      <c r="J23" s="31" t="n">
        <v>0</v>
      </c>
      <c r="K23" s="31" t="n">
        <v>1</v>
      </c>
      <c r="L23" s="31" t="n">
        <v>3</v>
      </c>
    </row>
    <row r="24" customFormat="false" ht="19.5" hidden="false" customHeight="true" outlineLevel="0" collapsed="false">
      <c r="A24" s="32" t="s">
        <v>59</v>
      </c>
      <c r="B24" s="33" t="s">
        <v>55</v>
      </c>
      <c r="C24" s="32" t="s">
        <v>56</v>
      </c>
      <c r="D24" s="32" t="s">
        <v>57</v>
      </c>
      <c r="E24" s="34" t="n">
        <v>0</v>
      </c>
      <c r="F24" s="34" t="n">
        <v>1</v>
      </c>
      <c r="G24" s="34" t="n">
        <v>0</v>
      </c>
      <c r="H24" s="34" t="n">
        <v>0</v>
      </c>
      <c r="I24" s="34" t="n">
        <v>0</v>
      </c>
      <c r="J24" s="34" t="n">
        <v>0</v>
      </c>
      <c r="K24" s="34" t="n">
        <v>0</v>
      </c>
      <c r="L24" s="35" t="n">
        <v>1</v>
      </c>
    </row>
    <row r="25" customFormat="false" ht="19.5" hidden="false" customHeight="true" outlineLevel="0" collapsed="false">
      <c r="A25" s="24" t="s">
        <v>59</v>
      </c>
      <c r="B25" s="23" t="s">
        <v>52</v>
      </c>
      <c r="C25" s="23"/>
      <c r="D25" s="24" t="s">
        <v>51</v>
      </c>
      <c r="E25" s="25" t="n">
        <v>2</v>
      </c>
      <c r="F25" s="25" t="n">
        <v>1</v>
      </c>
      <c r="G25" s="25" t="n">
        <v>3</v>
      </c>
      <c r="H25" s="25" t="n">
        <v>3</v>
      </c>
      <c r="I25" s="25" t="n">
        <v>0</v>
      </c>
      <c r="J25" s="25" t="n">
        <v>0</v>
      </c>
      <c r="K25" s="25" t="n">
        <v>3</v>
      </c>
      <c r="L25" s="25" t="n">
        <v>0</v>
      </c>
    </row>
    <row r="26" customFormat="false" ht="19.5" hidden="false" customHeight="true" outlineLevel="0" collapsed="false">
      <c r="A26" s="32" t="s">
        <v>60</v>
      </c>
      <c r="B26" s="33" t="s">
        <v>54</v>
      </c>
      <c r="C26" s="32"/>
      <c r="D26" s="32" t="s">
        <v>51</v>
      </c>
      <c r="E26" s="36" t="n">
        <v>0</v>
      </c>
      <c r="F26" s="36" t="n">
        <v>4</v>
      </c>
      <c r="G26" s="36" t="n">
        <v>3</v>
      </c>
      <c r="H26" s="36" t="n">
        <v>3</v>
      </c>
      <c r="I26" s="36" t="n">
        <v>0</v>
      </c>
      <c r="J26" s="36" t="n">
        <v>0</v>
      </c>
      <c r="K26" s="36" t="n">
        <v>3</v>
      </c>
      <c r="L26" s="36" t="n">
        <v>1</v>
      </c>
    </row>
    <row r="27" customFormat="false" ht="19.5" hidden="false" customHeight="true" outlineLevel="0" collapsed="false">
      <c r="A27" s="29" t="s">
        <v>60</v>
      </c>
      <c r="B27" s="30" t="s">
        <v>49</v>
      </c>
      <c r="C27" s="29"/>
      <c r="D27" s="29" t="s">
        <v>51</v>
      </c>
      <c r="E27" s="31" t="n">
        <v>0</v>
      </c>
      <c r="F27" s="31" t="n">
        <v>5</v>
      </c>
      <c r="G27" s="31" t="n">
        <v>1</v>
      </c>
      <c r="H27" s="31" t="n">
        <v>1</v>
      </c>
      <c r="I27" s="31" t="n">
        <v>0</v>
      </c>
      <c r="J27" s="31" t="n">
        <v>0</v>
      </c>
      <c r="K27" s="31" t="n">
        <v>1</v>
      </c>
      <c r="L27" s="31" t="n">
        <v>4</v>
      </c>
    </row>
    <row r="28" customFormat="false" ht="19.5" hidden="false" customHeight="true" outlineLevel="0" collapsed="false">
      <c r="A28" s="27" t="s">
        <v>61</v>
      </c>
      <c r="B28" s="26" t="s">
        <v>55</v>
      </c>
      <c r="C28" s="26"/>
      <c r="D28" s="27" t="s">
        <v>51</v>
      </c>
      <c r="E28" s="28" t="n">
        <v>0</v>
      </c>
      <c r="F28" s="28" t="n">
        <v>2</v>
      </c>
      <c r="G28" s="28" t="n">
        <v>2</v>
      </c>
      <c r="H28" s="28" t="n">
        <v>2</v>
      </c>
      <c r="I28" s="28" t="n">
        <v>0</v>
      </c>
      <c r="J28" s="28" t="n">
        <v>0</v>
      </c>
      <c r="K28" s="28" t="n">
        <v>2</v>
      </c>
      <c r="L28" s="28" t="n">
        <v>0</v>
      </c>
    </row>
    <row r="29" customFormat="false" ht="19.5" hidden="false" customHeight="true" outlineLevel="0" collapsed="false">
      <c r="A29" s="24" t="s">
        <v>61</v>
      </c>
      <c r="B29" s="23" t="s">
        <v>52</v>
      </c>
      <c r="C29" s="23"/>
      <c r="D29" s="24" t="s">
        <v>51</v>
      </c>
      <c r="E29" s="25" t="n">
        <v>0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0</v>
      </c>
      <c r="K29" s="25" t="n">
        <v>0</v>
      </c>
      <c r="L29" s="25" t="n">
        <v>0</v>
      </c>
    </row>
    <row r="30" customFormat="false" ht="19.5" hidden="false" customHeight="true" outlineLevel="0" collapsed="false">
      <c r="A30" s="32" t="s">
        <v>62</v>
      </c>
      <c r="B30" s="33" t="s">
        <v>54</v>
      </c>
      <c r="C30" s="32"/>
      <c r="D30" s="32" t="s">
        <v>51</v>
      </c>
      <c r="E30" s="36" t="n">
        <v>1</v>
      </c>
      <c r="F30" s="36" t="n">
        <v>2</v>
      </c>
      <c r="G30" s="36" t="n">
        <v>1</v>
      </c>
      <c r="H30" s="36" t="n">
        <v>1</v>
      </c>
      <c r="I30" s="36" t="n">
        <v>0</v>
      </c>
      <c r="J30" s="36" t="n">
        <v>0</v>
      </c>
      <c r="K30" s="36" t="n">
        <v>1</v>
      </c>
      <c r="L30" s="36" t="n">
        <v>2</v>
      </c>
    </row>
    <row r="31" customFormat="false" ht="19.5" hidden="false" customHeight="true" outlineLevel="0" collapsed="false">
      <c r="A31" s="29" t="s">
        <v>62</v>
      </c>
      <c r="B31" s="30" t="s">
        <v>49</v>
      </c>
      <c r="C31" s="29"/>
      <c r="D31" s="29" t="s">
        <v>51</v>
      </c>
      <c r="E31" s="31" t="n">
        <v>2</v>
      </c>
      <c r="F31" s="31" t="n">
        <v>9</v>
      </c>
      <c r="G31" s="31" t="n">
        <v>3</v>
      </c>
      <c r="H31" s="31" t="n">
        <v>1</v>
      </c>
      <c r="I31" s="31" t="n">
        <v>2</v>
      </c>
      <c r="J31" s="31" t="n">
        <v>0</v>
      </c>
      <c r="K31" s="31" t="n">
        <v>3</v>
      </c>
      <c r="L31" s="31" t="n">
        <v>8</v>
      </c>
    </row>
    <row r="32" customFormat="false" ht="19.5" hidden="false" customHeight="true" outlineLevel="0" collapsed="false">
      <c r="A32" s="32" t="s">
        <v>62</v>
      </c>
      <c r="B32" s="33" t="s">
        <v>55</v>
      </c>
      <c r="C32" s="32"/>
      <c r="D32" s="32" t="s">
        <v>51</v>
      </c>
      <c r="E32" s="34" t="n">
        <v>0</v>
      </c>
      <c r="F32" s="34" t="n">
        <v>4</v>
      </c>
      <c r="G32" s="34" t="n">
        <v>0</v>
      </c>
      <c r="H32" s="34" t="n">
        <v>0</v>
      </c>
      <c r="I32" s="34" t="n">
        <v>0</v>
      </c>
      <c r="J32" s="34" t="n">
        <v>0</v>
      </c>
      <c r="K32" s="34" t="n">
        <v>0</v>
      </c>
      <c r="L32" s="35" t="n">
        <v>4</v>
      </c>
    </row>
    <row r="33" customFormat="false" ht="19.5" hidden="false" customHeight="true" outlineLevel="0" collapsed="false">
      <c r="A33" s="29" t="s">
        <v>62</v>
      </c>
      <c r="B33" s="30" t="s">
        <v>52</v>
      </c>
      <c r="C33" s="29"/>
      <c r="D33" s="29" t="s">
        <v>51</v>
      </c>
      <c r="E33" s="37" t="n">
        <v>0</v>
      </c>
      <c r="F33" s="37" t="n">
        <v>1</v>
      </c>
      <c r="G33" s="37" t="n">
        <v>0</v>
      </c>
      <c r="H33" s="37" t="n">
        <v>0</v>
      </c>
      <c r="I33" s="37" t="n">
        <v>0</v>
      </c>
      <c r="J33" s="37" t="n">
        <v>0</v>
      </c>
      <c r="K33" s="37" t="n">
        <v>0</v>
      </c>
      <c r="L33" s="38" t="n">
        <v>1</v>
      </c>
    </row>
    <row r="34" customFormat="false" ht="19.5" hidden="false" customHeight="true" outlineLevel="0" collapsed="false">
      <c r="A34" s="27" t="s">
        <v>63</v>
      </c>
      <c r="B34" s="26" t="s">
        <v>54</v>
      </c>
      <c r="C34" s="26"/>
      <c r="D34" s="27" t="s">
        <v>51</v>
      </c>
      <c r="E34" s="28" t="n">
        <v>3</v>
      </c>
      <c r="F34" s="28" t="n">
        <v>1</v>
      </c>
      <c r="G34" s="28" t="n">
        <v>4</v>
      </c>
      <c r="H34" s="28" t="n">
        <v>2</v>
      </c>
      <c r="I34" s="28" t="n">
        <v>0</v>
      </c>
      <c r="J34" s="28" t="n">
        <v>0</v>
      </c>
      <c r="K34" s="28" t="n">
        <v>4</v>
      </c>
      <c r="L34" s="28" t="n">
        <v>0</v>
      </c>
    </row>
    <row r="35" customFormat="false" ht="19.5" hidden="false" customHeight="true" outlineLevel="0" collapsed="false">
      <c r="A35" s="29" t="s">
        <v>63</v>
      </c>
      <c r="B35" s="30" t="s">
        <v>54</v>
      </c>
      <c r="C35" s="29" t="s">
        <v>56</v>
      </c>
      <c r="D35" s="29" t="s">
        <v>57</v>
      </c>
      <c r="E35" s="31" t="n">
        <v>0</v>
      </c>
      <c r="F35" s="31" t="n">
        <v>2</v>
      </c>
      <c r="G35" s="31" t="n">
        <v>1</v>
      </c>
      <c r="H35" s="31" t="n">
        <v>1</v>
      </c>
      <c r="I35" s="31" t="n">
        <v>0</v>
      </c>
      <c r="J35" s="31" t="n">
        <v>0</v>
      </c>
      <c r="K35" s="31" t="n">
        <v>1</v>
      </c>
      <c r="L35" s="31" t="n">
        <v>1</v>
      </c>
    </row>
    <row r="36" customFormat="false" ht="19.5" hidden="false" customHeight="true" outlineLevel="0" collapsed="false">
      <c r="A36" s="27" t="s">
        <v>63</v>
      </c>
      <c r="B36" s="26" t="s">
        <v>49</v>
      </c>
      <c r="C36" s="26"/>
      <c r="D36" s="27" t="s">
        <v>51</v>
      </c>
      <c r="E36" s="28" t="n">
        <v>3</v>
      </c>
      <c r="F36" s="28" t="n">
        <v>3</v>
      </c>
      <c r="G36" s="28" t="n">
        <v>6</v>
      </c>
      <c r="H36" s="28" t="n">
        <v>5</v>
      </c>
      <c r="I36" s="28" t="n">
        <v>0</v>
      </c>
      <c r="J36" s="28" t="n">
        <v>0</v>
      </c>
      <c r="K36" s="28" t="n">
        <v>6</v>
      </c>
      <c r="L36" s="28" t="n">
        <v>0</v>
      </c>
    </row>
    <row r="37" customFormat="false" ht="19.5" hidden="false" customHeight="true" outlineLevel="0" collapsed="false">
      <c r="A37" s="29" t="s">
        <v>63</v>
      </c>
      <c r="B37" s="30" t="s">
        <v>49</v>
      </c>
      <c r="C37" s="29" t="s">
        <v>56</v>
      </c>
      <c r="D37" s="29" t="s">
        <v>57</v>
      </c>
      <c r="E37" s="37" t="n">
        <v>0</v>
      </c>
      <c r="F37" s="37" t="n">
        <v>1</v>
      </c>
      <c r="G37" s="37" t="n">
        <v>0</v>
      </c>
      <c r="H37" s="37" t="n">
        <v>0</v>
      </c>
      <c r="I37" s="37" t="n">
        <v>0</v>
      </c>
      <c r="J37" s="37" t="n">
        <v>0</v>
      </c>
      <c r="K37" s="37" t="n">
        <v>0</v>
      </c>
      <c r="L37" s="38" t="n">
        <v>1</v>
      </c>
    </row>
    <row r="38" customFormat="false" ht="19.5" hidden="false" customHeight="true" outlineLevel="0" collapsed="false">
      <c r="A38" s="32" t="s">
        <v>63</v>
      </c>
      <c r="B38" s="33" t="s">
        <v>55</v>
      </c>
      <c r="C38" s="32"/>
      <c r="D38" s="32" t="s">
        <v>51</v>
      </c>
      <c r="E38" s="36" t="n">
        <v>0</v>
      </c>
      <c r="F38" s="36" t="n">
        <v>9</v>
      </c>
      <c r="G38" s="36" t="n">
        <v>4</v>
      </c>
      <c r="H38" s="36" t="n">
        <v>3</v>
      </c>
      <c r="I38" s="36" t="n">
        <v>0</v>
      </c>
      <c r="J38" s="36" t="n">
        <v>0</v>
      </c>
      <c r="K38" s="36" t="n">
        <v>4</v>
      </c>
      <c r="L38" s="36" t="n">
        <v>5</v>
      </c>
    </row>
    <row r="39" customFormat="false" ht="19.5" hidden="false" customHeight="true" outlineLevel="0" collapsed="false">
      <c r="A39" s="29" t="s">
        <v>63</v>
      </c>
      <c r="B39" s="30" t="s">
        <v>52</v>
      </c>
      <c r="C39" s="29"/>
      <c r="D39" s="29" t="s">
        <v>51</v>
      </c>
      <c r="E39" s="37" t="n">
        <v>0</v>
      </c>
      <c r="F39" s="37" t="n">
        <v>1</v>
      </c>
      <c r="G39" s="37" t="n">
        <v>0</v>
      </c>
      <c r="H39" s="37" t="n">
        <v>0</v>
      </c>
      <c r="I39" s="37" t="n">
        <v>0</v>
      </c>
      <c r="J39" s="37" t="n">
        <v>0</v>
      </c>
      <c r="K39" s="37" t="n">
        <v>0</v>
      </c>
      <c r="L39" s="38" t="n">
        <v>1</v>
      </c>
    </row>
    <row r="40" customFormat="false" ht="19.5" hidden="false" customHeight="true" outlineLevel="0" collapsed="false">
      <c r="A40" s="27" t="s">
        <v>64</v>
      </c>
      <c r="B40" s="26" t="s">
        <v>54</v>
      </c>
      <c r="C40" s="26"/>
      <c r="D40" s="27" t="s">
        <v>51</v>
      </c>
      <c r="E40" s="28" t="n">
        <v>0</v>
      </c>
      <c r="F40" s="28" t="n">
        <v>0</v>
      </c>
      <c r="G40" s="28" t="n">
        <v>0</v>
      </c>
      <c r="H40" s="28" t="n">
        <v>0</v>
      </c>
      <c r="I40" s="28" t="n">
        <v>0</v>
      </c>
      <c r="J40" s="28" t="n">
        <v>0</v>
      </c>
      <c r="K40" s="28" t="n">
        <v>0</v>
      </c>
      <c r="L40" s="28" t="n">
        <v>0</v>
      </c>
    </row>
    <row r="41" customFormat="false" ht="19.5" hidden="false" customHeight="true" outlineLevel="0" collapsed="false">
      <c r="A41" s="29" t="s">
        <v>64</v>
      </c>
      <c r="B41" s="30" t="s">
        <v>49</v>
      </c>
      <c r="C41" s="29"/>
      <c r="D41" s="29" t="s">
        <v>51</v>
      </c>
      <c r="E41" s="31" t="n">
        <v>3</v>
      </c>
      <c r="F41" s="31" t="n">
        <v>3</v>
      </c>
      <c r="G41" s="31" t="n">
        <v>1</v>
      </c>
      <c r="H41" s="31" t="n">
        <v>1</v>
      </c>
      <c r="I41" s="31" t="n">
        <v>0</v>
      </c>
      <c r="J41" s="31" t="n">
        <v>0</v>
      </c>
      <c r="K41" s="31" t="n">
        <v>1</v>
      </c>
      <c r="L41" s="31" t="n">
        <v>5</v>
      </c>
    </row>
    <row r="42" customFormat="false" ht="19.5" hidden="false" customHeight="true" outlineLevel="0" collapsed="false">
      <c r="A42" s="32" t="s">
        <v>64</v>
      </c>
      <c r="B42" s="33" t="s">
        <v>55</v>
      </c>
      <c r="C42" s="32"/>
      <c r="D42" s="32" t="s">
        <v>51</v>
      </c>
      <c r="E42" s="34" t="n">
        <v>1</v>
      </c>
      <c r="F42" s="34" t="n">
        <v>4</v>
      </c>
      <c r="G42" s="34" t="n">
        <v>0</v>
      </c>
      <c r="H42" s="34" t="n">
        <v>0</v>
      </c>
      <c r="I42" s="34" t="n">
        <v>0</v>
      </c>
      <c r="J42" s="34" t="n">
        <v>0</v>
      </c>
      <c r="K42" s="34" t="n">
        <v>0</v>
      </c>
      <c r="L42" s="35" t="n">
        <v>5</v>
      </c>
    </row>
    <row r="43" customFormat="false" ht="19.5" hidden="false" customHeight="true" outlineLevel="0" collapsed="false">
      <c r="A43" s="29" t="s">
        <v>64</v>
      </c>
      <c r="B43" s="30" t="s">
        <v>52</v>
      </c>
      <c r="C43" s="29"/>
      <c r="D43" s="29" t="s">
        <v>51</v>
      </c>
      <c r="E43" s="37" t="n">
        <v>0</v>
      </c>
      <c r="F43" s="37" t="n">
        <v>1</v>
      </c>
      <c r="G43" s="37" t="n">
        <v>0</v>
      </c>
      <c r="H43" s="37" t="n">
        <v>1</v>
      </c>
      <c r="I43" s="37" t="n">
        <v>0</v>
      </c>
      <c r="J43" s="37" t="n">
        <v>0</v>
      </c>
      <c r="K43" s="37" t="n">
        <v>0</v>
      </c>
      <c r="L43" s="38" t="n">
        <v>1</v>
      </c>
    </row>
    <row r="44" customFormat="false" ht="21.75" hidden="false" customHeight="true" outlineLevel="0" collapsed="false">
      <c r="A44" s="39" t="s">
        <v>65</v>
      </c>
      <c r="B44" s="40"/>
      <c r="C44" s="40"/>
      <c r="D44" s="40"/>
      <c r="E44" s="41" t="n">
        <f aca="false">SUM(E7:E43)</f>
        <v>26</v>
      </c>
      <c r="F44" s="41" t="n">
        <f aca="false">SUM(F7:F43)</f>
        <v>101</v>
      </c>
      <c r="G44" s="41" t="n">
        <f aca="false">SUM(G7:G43)</f>
        <v>64</v>
      </c>
      <c r="H44" s="40"/>
      <c r="I44" s="40"/>
      <c r="J44" s="40"/>
      <c r="K44" s="40"/>
      <c r="L44" s="41" t="n">
        <f aca="false">SUM(L7:L43)</f>
        <v>63</v>
      </c>
    </row>
    <row r="45" customFormat="false" ht="7.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customFormat="false" ht="18" hidden="false" customHeight="true" outlineLevel="0" collapsed="false">
      <c r="A46" s="21" t="s">
        <v>66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</row>
    <row r="47" customFormat="false" ht="12.75" hidden="false" customHeight="true" outlineLevel="0" collapsed="false">
      <c r="A47" s="22" t="s">
        <v>67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8" customFormat="false" ht="19.5" hidden="false" customHeight="true" outlineLevel="0" collapsed="false">
      <c r="A48" s="24" t="s">
        <v>68</v>
      </c>
      <c r="B48" s="23" t="s">
        <v>54</v>
      </c>
      <c r="C48" s="24" t="s">
        <v>69</v>
      </c>
      <c r="D48" s="24" t="s">
        <v>51</v>
      </c>
      <c r="E48" s="43" t="s">
        <v>70</v>
      </c>
      <c r="F48" s="25" t="n">
        <v>2</v>
      </c>
      <c r="G48" s="25" t="n">
        <v>2</v>
      </c>
      <c r="H48" s="43" t="s">
        <v>70</v>
      </c>
      <c r="I48" s="43" t="s">
        <v>70</v>
      </c>
      <c r="J48" s="43" t="s">
        <v>70</v>
      </c>
      <c r="K48" s="43" t="s">
        <v>70</v>
      </c>
      <c r="L48" s="25" t="n">
        <v>0</v>
      </c>
    </row>
    <row r="49" customFormat="false" ht="19.5" hidden="false" customHeight="true" outlineLevel="0" collapsed="false">
      <c r="A49" s="32" t="s">
        <v>53</v>
      </c>
      <c r="B49" s="33" t="s">
        <v>49</v>
      </c>
      <c r="C49" s="32"/>
      <c r="D49" s="32" t="s">
        <v>51</v>
      </c>
      <c r="E49" s="44" t="s">
        <v>70</v>
      </c>
      <c r="F49" s="34" t="n">
        <v>11</v>
      </c>
      <c r="G49" s="34" t="n">
        <v>3</v>
      </c>
      <c r="H49" s="44" t="s">
        <v>70</v>
      </c>
      <c r="I49" s="44" t="s">
        <v>70</v>
      </c>
      <c r="J49" s="44" t="s">
        <v>70</v>
      </c>
      <c r="K49" s="44" t="s">
        <v>70</v>
      </c>
      <c r="L49" s="35" t="n">
        <v>8</v>
      </c>
    </row>
    <row r="50" customFormat="false" ht="19.5" hidden="false" customHeight="true" outlineLevel="0" collapsed="false">
      <c r="A50" s="29" t="s">
        <v>53</v>
      </c>
      <c r="B50" s="30" t="s">
        <v>55</v>
      </c>
      <c r="C50" s="29"/>
      <c r="D50" s="29" t="s">
        <v>51</v>
      </c>
      <c r="E50" s="43" t="s">
        <v>70</v>
      </c>
      <c r="F50" s="37" t="n">
        <v>4</v>
      </c>
      <c r="G50" s="37" t="n">
        <v>1</v>
      </c>
      <c r="H50" s="43" t="s">
        <v>70</v>
      </c>
      <c r="I50" s="43" t="s">
        <v>70</v>
      </c>
      <c r="J50" s="43" t="s">
        <v>70</v>
      </c>
      <c r="K50" s="43" t="s">
        <v>70</v>
      </c>
      <c r="L50" s="38" t="n">
        <v>3</v>
      </c>
    </row>
    <row r="51" customFormat="false" ht="19.5" hidden="false" customHeight="true" outlineLevel="0" collapsed="false">
      <c r="A51" s="32" t="s">
        <v>68</v>
      </c>
      <c r="B51" s="33" t="s">
        <v>55</v>
      </c>
      <c r="C51" s="32" t="s">
        <v>69</v>
      </c>
      <c r="D51" s="32" t="s">
        <v>51</v>
      </c>
      <c r="E51" s="44" t="s">
        <v>70</v>
      </c>
      <c r="F51" s="34" t="n">
        <v>3</v>
      </c>
      <c r="G51" s="34" t="n">
        <v>0</v>
      </c>
      <c r="H51" s="44" t="s">
        <v>70</v>
      </c>
      <c r="I51" s="44" t="s">
        <v>70</v>
      </c>
      <c r="J51" s="44" t="s">
        <v>70</v>
      </c>
      <c r="K51" s="44" t="s">
        <v>70</v>
      </c>
      <c r="L51" s="35" t="n">
        <v>3</v>
      </c>
    </row>
    <row r="52" customFormat="false" ht="19.5" hidden="false" customHeight="true" outlineLevel="0" collapsed="false">
      <c r="A52" s="29" t="s">
        <v>53</v>
      </c>
      <c r="B52" s="30" t="s">
        <v>52</v>
      </c>
      <c r="C52" s="29"/>
      <c r="D52" s="29" t="s">
        <v>51</v>
      </c>
      <c r="E52" s="43" t="s">
        <v>70</v>
      </c>
      <c r="F52" s="37" t="n">
        <v>2</v>
      </c>
      <c r="G52" s="37" t="n">
        <v>0</v>
      </c>
      <c r="H52" s="43" t="s">
        <v>70</v>
      </c>
      <c r="I52" s="43" t="s">
        <v>70</v>
      </c>
      <c r="J52" s="43" t="s">
        <v>70</v>
      </c>
      <c r="K52" s="43" t="s">
        <v>70</v>
      </c>
      <c r="L52" s="38" t="n">
        <v>2</v>
      </c>
    </row>
    <row r="53" customFormat="false" ht="19.5" hidden="false" customHeight="true" outlineLevel="0" collapsed="false">
      <c r="A53" s="32" t="s">
        <v>58</v>
      </c>
      <c r="B53" s="33" t="s">
        <v>54</v>
      </c>
      <c r="C53" s="32"/>
      <c r="D53" s="32" t="s">
        <v>51</v>
      </c>
      <c r="E53" s="44" t="s">
        <v>70</v>
      </c>
      <c r="F53" s="34" t="n">
        <v>2</v>
      </c>
      <c r="G53" s="34" t="n">
        <v>0</v>
      </c>
      <c r="H53" s="44" t="s">
        <v>70</v>
      </c>
      <c r="I53" s="44" t="s">
        <v>70</v>
      </c>
      <c r="J53" s="44" t="s">
        <v>70</v>
      </c>
      <c r="K53" s="44" t="s">
        <v>70</v>
      </c>
      <c r="L53" s="35" t="n">
        <v>2</v>
      </c>
    </row>
    <row r="54" customFormat="false" ht="19.5" hidden="false" customHeight="true" outlineLevel="0" collapsed="false">
      <c r="A54" s="29" t="s">
        <v>71</v>
      </c>
      <c r="B54" s="30" t="s">
        <v>54</v>
      </c>
      <c r="C54" s="29" t="s">
        <v>69</v>
      </c>
      <c r="D54" s="29" t="s">
        <v>51</v>
      </c>
      <c r="E54" s="43" t="s">
        <v>70</v>
      </c>
      <c r="F54" s="37" t="n">
        <v>8</v>
      </c>
      <c r="G54" s="37" t="n">
        <v>0</v>
      </c>
      <c r="H54" s="43" t="s">
        <v>70</v>
      </c>
      <c r="I54" s="43" t="s">
        <v>70</v>
      </c>
      <c r="J54" s="43" t="s">
        <v>70</v>
      </c>
      <c r="K54" s="43" t="s">
        <v>70</v>
      </c>
      <c r="L54" s="38" t="n">
        <v>8</v>
      </c>
    </row>
    <row r="55" customFormat="false" ht="19.5" hidden="false" customHeight="true" outlineLevel="0" collapsed="false">
      <c r="A55" s="32" t="s">
        <v>58</v>
      </c>
      <c r="B55" s="33" t="s">
        <v>49</v>
      </c>
      <c r="C55" s="32"/>
      <c r="D55" s="32" t="s">
        <v>51</v>
      </c>
      <c r="E55" s="44" t="s">
        <v>70</v>
      </c>
      <c r="F55" s="34" t="n">
        <v>5</v>
      </c>
      <c r="G55" s="34" t="n">
        <v>0</v>
      </c>
      <c r="H55" s="44" t="s">
        <v>70</v>
      </c>
      <c r="I55" s="44" t="s">
        <v>70</v>
      </c>
      <c r="J55" s="44" t="s">
        <v>70</v>
      </c>
      <c r="K55" s="44" t="s">
        <v>70</v>
      </c>
      <c r="L55" s="35" t="n">
        <v>5</v>
      </c>
    </row>
    <row r="56" customFormat="false" ht="19.5" hidden="false" customHeight="true" outlineLevel="0" collapsed="false">
      <c r="A56" s="29" t="s">
        <v>71</v>
      </c>
      <c r="B56" s="30" t="s">
        <v>49</v>
      </c>
      <c r="C56" s="29" t="s">
        <v>69</v>
      </c>
      <c r="D56" s="29" t="s">
        <v>51</v>
      </c>
      <c r="E56" s="43" t="s">
        <v>70</v>
      </c>
      <c r="F56" s="31" t="n">
        <v>27</v>
      </c>
      <c r="G56" s="31" t="n">
        <v>0</v>
      </c>
      <c r="H56" s="43" t="s">
        <v>70</v>
      </c>
      <c r="I56" s="43" t="s">
        <v>70</v>
      </c>
      <c r="J56" s="43" t="s">
        <v>70</v>
      </c>
      <c r="K56" s="43" t="s">
        <v>70</v>
      </c>
      <c r="L56" s="31" t="n">
        <v>27</v>
      </c>
    </row>
    <row r="57" customFormat="false" ht="19.5" hidden="false" customHeight="true" outlineLevel="0" collapsed="false">
      <c r="A57" s="32" t="s">
        <v>58</v>
      </c>
      <c r="B57" s="33" t="s">
        <v>55</v>
      </c>
      <c r="C57" s="32"/>
      <c r="D57" s="32" t="s">
        <v>51</v>
      </c>
      <c r="E57" s="44" t="s">
        <v>70</v>
      </c>
      <c r="F57" s="34" t="n">
        <v>1</v>
      </c>
      <c r="G57" s="34" t="n">
        <v>0</v>
      </c>
      <c r="H57" s="44" t="s">
        <v>70</v>
      </c>
      <c r="I57" s="44" t="s">
        <v>70</v>
      </c>
      <c r="J57" s="44" t="s">
        <v>70</v>
      </c>
      <c r="K57" s="44" t="s">
        <v>70</v>
      </c>
      <c r="L57" s="35" t="n">
        <v>1</v>
      </c>
    </row>
    <row r="58" customFormat="false" ht="19.5" hidden="false" customHeight="true" outlineLevel="0" collapsed="false">
      <c r="A58" s="29" t="s">
        <v>71</v>
      </c>
      <c r="B58" s="30" t="s">
        <v>55</v>
      </c>
      <c r="C58" s="29" t="s">
        <v>69</v>
      </c>
      <c r="D58" s="29" t="s">
        <v>51</v>
      </c>
      <c r="E58" s="43" t="s">
        <v>70</v>
      </c>
      <c r="F58" s="37" t="n">
        <v>13</v>
      </c>
      <c r="G58" s="37" t="n">
        <v>0</v>
      </c>
      <c r="H58" s="43" t="s">
        <v>70</v>
      </c>
      <c r="I58" s="43" t="s">
        <v>70</v>
      </c>
      <c r="J58" s="43" t="s">
        <v>70</v>
      </c>
      <c r="K58" s="43" t="s">
        <v>70</v>
      </c>
      <c r="L58" s="38" t="n">
        <v>13</v>
      </c>
    </row>
    <row r="59" customFormat="false" ht="19.5" hidden="false" customHeight="true" outlineLevel="0" collapsed="false">
      <c r="A59" s="32" t="s">
        <v>72</v>
      </c>
      <c r="B59" s="33" t="s">
        <v>54</v>
      </c>
      <c r="C59" s="32" t="s">
        <v>69</v>
      </c>
      <c r="D59" s="32" t="s">
        <v>51</v>
      </c>
      <c r="E59" s="44" t="s">
        <v>70</v>
      </c>
      <c r="F59" s="34" t="n">
        <v>7</v>
      </c>
      <c r="G59" s="34" t="n">
        <v>1</v>
      </c>
      <c r="H59" s="44" t="s">
        <v>70</v>
      </c>
      <c r="I59" s="44" t="s">
        <v>70</v>
      </c>
      <c r="J59" s="44" t="s">
        <v>70</v>
      </c>
      <c r="K59" s="44" t="s">
        <v>70</v>
      </c>
      <c r="L59" s="35" t="n">
        <v>6</v>
      </c>
    </row>
    <row r="60" customFormat="false" ht="19.5" hidden="false" customHeight="true" outlineLevel="0" collapsed="false">
      <c r="A60" s="29" t="s">
        <v>72</v>
      </c>
      <c r="B60" s="30" t="s">
        <v>49</v>
      </c>
      <c r="C60" s="29" t="s">
        <v>69</v>
      </c>
      <c r="D60" s="29" t="s">
        <v>51</v>
      </c>
      <c r="E60" s="43" t="s">
        <v>70</v>
      </c>
      <c r="F60" s="31" t="n">
        <v>28</v>
      </c>
      <c r="G60" s="31" t="n">
        <v>1</v>
      </c>
      <c r="H60" s="43" t="s">
        <v>70</v>
      </c>
      <c r="I60" s="43" t="s">
        <v>70</v>
      </c>
      <c r="J60" s="43" t="s">
        <v>70</v>
      </c>
      <c r="K60" s="43" t="s">
        <v>70</v>
      </c>
      <c r="L60" s="31" t="n">
        <v>27</v>
      </c>
    </row>
    <row r="61" customFormat="false" ht="19.5" hidden="false" customHeight="true" outlineLevel="0" collapsed="false">
      <c r="A61" s="32" t="s">
        <v>72</v>
      </c>
      <c r="B61" s="33" t="s">
        <v>55</v>
      </c>
      <c r="C61" s="32" t="s">
        <v>69</v>
      </c>
      <c r="D61" s="32" t="s">
        <v>51</v>
      </c>
      <c r="E61" s="44" t="s">
        <v>70</v>
      </c>
      <c r="F61" s="34" t="n">
        <v>8</v>
      </c>
      <c r="G61" s="34" t="n">
        <v>0</v>
      </c>
      <c r="H61" s="44" t="s">
        <v>70</v>
      </c>
      <c r="I61" s="44" t="s">
        <v>70</v>
      </c>
      <c r="J61" s="44" t="s">
        <v>70</v>
      </c>
      <c r="K61" s="44" t="s">
        <v>70</v>
      </c>
      <c r="L61" s="35" t="n">
        <v>8</v>
      </c>
    </row>
    <row r="62" customFormat="false" ht="19.5" hidden="false" customHeight="true" outlineLevel="0" collapsed="false">
      <c r="A62" s="29" t="s">
        <v>72</v>
      </c>
      <c r="B62" s="30" t="s">
        <v>52</v>
      </c>
      <c r="C62" s="29" t="s">
        <v>69</v>
      </c>
      <c r="D62" s="29" t="s">
        <v>51</v>
      </c>
      <c r="E62" s="43" t="s">
        <v>70</v>
      </c>
      <c r="F62" s="37" t="n">
        <v>3</v>
      </c>
      <c r="G62" s="37" t="n">
        <v>0</v>
      </c>
      <c r="H62" s="43" t="s">
        <v>70</v>
      </c>
      <c r="I62" s="43" t="s">
        <v>70</v>
      </c>
      <c r="J62" s="43" t="s">
        <v>70</v>
      </c>
      <c r="K62" s="43" t="s">
        <v>70</v>
      </c>
      <c r="L62" s="38" t="n">
        <v>3</v>
      </c>
    </row>
    <row r="63" customFormat="false" ht="19.5" hidden="false" customHeight="true" outlineLevel="0" collapsed="false">
      <c r="A63" s="32" t="s">
        <v>59</v>
      </c>
      <c r="B63" s="33" t="s">
        <v>49</v>
      </c>
      <c r="C63" s="32"/>
      <c r="D63" s="32" t="s">
        <v>51</v>
      </c>
      <c r="E63" s="44" t="s">
        <v>70</v>
      </c>
      <c r="F63" s="34" t="n">
        <v>1</v>
      </c>
      <c r="G63" s="34" t="n">
        <v>0</v>
      </c>
      <c r="H63" s="44" t="s">
        <v>70</v>
      </c>
      <c r="I63" s="44" t="s">
        <v>70</v>
      </c>
      <c r="J63" s="44" t="s">
        <v>70</v>
      </c>
      <c r="K63" s="44" t="s">
        <v>70</v>
      </c>
      <c r="L63" s="35" t="n">
        <v>1</v>
      </c>
    </row>
    <row r="64" customFormat="false" ht="19.5" hidden="false" customHeight="true" outlineLevel="0" collapsed="false">
      <c r="A64" s="29" t="s">
        <v>73</v>
      </c>
      <c r="B64" s="30" t="s">
        <v>49</v>
      </c>
      <c r="C64" s="29" t="s">
        <v>69</v>
      </c>
      <c r="D64" s="29" t="s">
        <v>51</v>
      </c>
      <c r="E64" s="43" t="s">
        <v>70</v>
      </c>
      <c r="F64" s="31" t="n">
        <v>27</v>
      </c>
      <c r="G64" s="31" t="n">
        <v>0</v>
      </c>
      <c r="H64" s="43" t="s">
        <v>70</v>
      </c>
      <c r="I64" s="43" t="s">
        <v>70</v>
      </c>
      <c r="J64" s="43" t="s">
        <v>70</v>
      </c>
      <c r="K64" s="43" t="s">
        <v>70</v>
      </c>
      <c r="L64" s="31" t="n">
        <v>27</v>
      </c>
    </row>
    <row r="65" customFormat="false" ht="19.5" hidden="false" customHeight="true" outlineLevel="0" collapsed="false">
      <c r="A65" s="27" t="s">
        <v>59</v>
      </c>
      <c r="B65" s="26" t="s">
        <v>55</v>
      </c>
      <c r="C65" s="26"/>
      <c r="D65" s="27" t="s">
        <v>51</v>
      </c>
      <c r="E65" s="44" t="s">
        <v>70</v>
      </c>
      <c r="F65" s="28" t="n">
        <v>1</v>
      </c>
      <c r="G65" s="28" t="n">
        <v>1</v>
      </c>
      <c r="H65" s="44" t="s">
        <v>70</v>
      </c>
      <c r="I65" s="44" t="s">
        <v>70</v>
      </c>
      <c r="J65" s="44" t="s">
        <v>70</v>
      </c>
      <c r="K65" s="44" t="s">
        <v>70</v>
      </c>
      <c r="L65" s="28" t="n">
        <v>0</v>
      </c>
    </row>
    <row r="66" customFormat="false" ht="19.5" hidden="false" customHeight="true" outlineLevel="0" collapsed="false">
      <c r="A66" s="24" t="s">
        <v>73</v>
      </c>
      <c r="B66" s="23" t="s">
        <v>55</v>
      </c>
      <c r="C66" s="24" t="s">
        <v>69</v>
      </c>
      <c r="D66" s="24" t="s">
        <v>51</v>
      </c>
      <c r="E66" s="43" t="s">
        <v>70</v>
      </c>
      <c r="F66" s="25" t="n">
        <v>1</v>
      </c>
      <c r="G66" s="25" t="n">
        <v>1</v>
      </c>
      <c r="H66" s="43" t="s">
        <v>70</v>
      </c>
      <c r="I66" s="43" t="s">
        <v>70</v>
      </c>
      <c r="J66" s="43" t="s">
        <v>70</v>
      </c>
      <c r="K66" s="43" t="s">
        <v>70</v>
      </c>
      <c r="L66" s="25" t="n">
        <v>0</v>
      </c>
    </row>
    <row r="67" customFormat="false" ht="19.5" hidden="false" customHeight="true" outlineLevel="0" collapsed="false">
      <c r="A67" s="32" t="s">
        <v>73</v>
      </c>
      <c r="B67" s="33" t="s">
        <v>52</v>
      </c>
      <c r="C67" s="32" t="s">
        <v>69</v>
      </c>
      <c r="D67" s="32" t="s">
        <v>51</v>
      </c>
      <c r="E67" s="44" t="s">
        <v>70</v>
      </c>
      <c r="F67" s="34" t="n">
        <v>6</v>
      </c>
      <c r="G67" s="34" t="n">
        <v>0</v>
      </c>
      <c r="H67" s="44" t="s">
        <v>70</v>
      </c>
      <c r="I67" s="44" t="s">
        <v>70</v>
      </c>
      <c r="J67" s="44" t="s">
        <v>70</v>
      </c>
      <c r="K67" s="44" t="s">
        <v>70</v>
      </c>
      <c r="L67" s="35" t="n">
        <v>6</v>
      </c>
    </row>
    <row r="68" customFormat="false" ht="19.5" hidden="false" customHeight="true" outlineLevel="0" collapsed="false">
      <c r="A68" s="29" t="s">
        <v>73</v>
      </c>
      <c r="B68" s="30" t="s">
        <v>74</v>
      </c>
      <c r="C68" s="29" t="s">
        <v>69</v>
      </c>
      <c r="D68" s="29" t="s">
        <v>51</v>
      </c>
      <c r="E68" s="43" t="s">
        <v>70</v>
      </c>
      <c r="F68" s="37" t="n">
        <v>6</v>
      </c>
      <c r="G68" s="37" t="n">
        <v>1</v>
      </c>
      <c r="H68" s="43" t="s">
        <v>70</v>
      </c>
      <c r="I68" s="43" t="s">
        <v>70</v>
      </c>
      <c r="J68" s="43" t="s">
        <v>70</v>
      </c>
      <c r="K68" s="43" t="s">
        <v>70</v>
      </c>
      <c r="L68" s="38" t="n">
        <v>5</v>
      </c>
    </row>
    <row r="69" customFormat="false" ht="19.5" hidden="false" customHeight="true" outlineLevel="0" collapsed="false">
      <c r="A69" s="32" t="s">
        <v>75</v>
      </c>
      <c r="B69" s="33" t="s">
        <v>54</v>
      </c>
      <c r="C69" s="32" t="s">
        <v>69</v>
      </c>
      <c r="D69" s="32" t="s">
        <v>51</v>
      </c>
      <c r="E69" s="44" t="s">
        <v>70</v>
      </c>
      <c r="F69" s="34" t="n">
        <v>7</v>
      </c>
      <c r="G69" s="34" t="n">
        <v>0</v>
      </c>
      <c r="H69" s="44" t="s">
        <v>70</v>
      </c>
      <c r="I69" s="44" t="s">
        <v>70</v>
      </c>
      <c r="J69" s="44" t="s">
        <v>70</v>
      </c>
      <c r="K69" s="44" t="s">
        <v>70</v>
      </c>
      <c r="L69" s="35" t="n">
        <v>7</v>
      </c>
    </row>
    <row r="70" customFormat="false" ht="19.5" hidden="false" customHeight="true" outlineLevel="0" collapsed="false">
      <c r="A70" s="29" t="s">
        <v>63</v>
      </c>
      <c r="B70" s="30" t="s">
        <v>49</v>
      </c>
      <c r="C70" s="29"/>
      <c r="D70" s="29" t="s">
        <v>51</v>
      </c>
      <c r="E70" s="43" t="s">
        <v>70</v>
      </c>
      <c r="F70" s="37" t="n">
        <v>2</v>
      </c>
      <c r="G70" s="37" t="n">
        <v>0</v>
      </c>
      <c r="H70" s="43" t="s">
        <v>70</v>
      </c>
      <c r="I70" s="43" t="s">
        <v>70</v>
      </c>
      <c r="J70" s="43" t="s">
        <v>70</v>
      </c>
      <c r="K70" s="43" t="s">
        <v>70</v>
      </c>
      <c r="L70" s="38" t="n">
        <v>2</v>
      </c>
    </row>
    <row r="71" customFormat="false" ht="19.5" hidden="false" customHeight="true" outlineLevel="0" collapsed="false">
      <c r="A71" s="32" t="s">
        <v>75</v>
      </c>
      <c r="B71" s="33" t="s">
        <v>49</v>
      </c>
      <c r="C71" s="32" t="s">
        <v>69</v>
      </c>
      <c r="D71" s="32" t="s">
        <v>51</v>
      </c>
      <c r="E71" s="44" t="s">
        <v>70</v>
      </c>
      <c r="F71" s="34" t="n">
        <v>18</v>
      </c>
      <c r="G71" s="34" t="n">
        <v>0</v>
      </c>
      <c r="H71" s="44" t="s">
        <v>70</v>
      </c>
      <c r="I71" s="44" t="s">
        <v>70</v>
      </c>
      <c r="J71" s="44" t="s">
        <v>70</v>
      </c>
      <c r="K71" s="44" t="s">
        <v>70</v>
      </c>
      <c r="L71" s="35" t="n">
        <v>18</v>
      </c>
    </row>
    <row r="72" customFormat="false" ht="19.5" hidden="false" customHeight="true" outlineLevel="0" collapsed="false">
      <c r="A72" s="29" t="s">
        <v>63</v>
      </c>
      <c r="B72" s="30" t="s">
        <v>55</v>
      </c>
      <c r="C72" s="29"/>
      <c r="D72" s="29" t="s">
        <v>51</v>
      </c>
      <c r="E72" s="43" t="s">
        <v>70</v>
      </c>
      <c r="F72" s="37" t="n">
        <v>1</v>
      </c>
      <c r="G72" s="37" t="n">
        <v>0</v>
      </c>
      <c r="H72" s="43" t="s">
        <v>70</v>
      </c>
      <c r="I72" s="43" t="s">
        <v>70</v>
      </c>
      <c r="J72" s="43" t="s">
        <v>70</v>
      </c>
      <c r="K72" s="43" t="s">
        <v>70</v>
      </c>
      <c r="L72" s="38" t="n">
        <v>1</v>
      </c>
    </row>
    <row r="73" customFormat="false" ht="19.5" hidden="false" customHeight="true" outlineLevel="0" collapsed="false">
      <c r="A73" s="32" t="s">
        <v>75</v>
      </c>
      <c r="B73" s="33" t="s">
        <v>55</v>
      </c>
      <c r="C73" s="32" t="s">
        <v>69</v>
      </c>
      <c r="D73" s="32" t="s">
        <v>51</v>
      </c>
      <c r="E73" s="44" t="s">
        <v>70</v>
      </c>
      <c r="F73" s="34" t="n">
        <v>8</v>
      </c>
      <c r="G73" s="34" t="n">
        <v>0</v>
      </c>
      <c r="H73" s="44" t="s">
        <v>70</v>
      </c>
      <c r="I73" s="44" t="s">
        <v>70</v>
      </c>
      <c r="J73" s="44" t="s">
        <v>70</v>
      </c>
      <c r="K73" s="44" t="s">
        <v>70</v>
      </c>
      <c r="L73" s="35" t="n">
        <v>8</v>
      </c>
    </row>
    <row r="74" customFormat="false" ht="19.5" hidden="false" customHeight="true" outlineLevel="0" collapsed="false">
      <c r="A74" s="29" t="s">
        <v>63</v>
      </c>
      <c r="B74" s="30" t="s">
        <v>52</v>
      </c>
      <c r="C74" s="29"/>
      <c r="D74" s="29" t="s">
        <v>51</v>
      </c>
      <c r="E74" s="43" t="s">
        <v>70</v>
      </c>
      <c r="F74" s="37" t="n">
        <v>1</v>
      </c>
      <c r="G74" s="37" t="n">
        <v>0</v>
      </c>
      <c r="H74" s="43" t="s">
        <v>70</v>
      </c>
      <c r="I74" s="43" t="s">
        <v>70</v>
      </c>
      <c r="J74" s="43" t="s">
        <v>70</v>
      </c>
      <c r="K74" s="43" t="s">
        <v>70</v>
      </c>
      <c r="L74" s="38" t="n">
        <v>1</v>
      </c>
    </row>
    <row r="75" customFormat="false" ht="19.5" hidden="false" customHeight="true" outlineLevel="0" collapsed="false">
      <c r="A75" s="32" t="s">
        <v>75</v>
      </c>
      <c r="B75" s="33" t="s">
        <v>52</v>
      </c>
      <c r="C75" s="32" t="s">
        <v>69</v>
      </c>
      <c r="D75" s="32" t="s">
        <v>51</v>
      </c>
      <c r="E75" s="44" t="s">
        <v>70</v>
      </c>
      <c r="F75" s="34" t="n">
        <v>2</v>
      </c>
      <c r="G75" s="34" t="n">
        <v>0</v>
      </c>
      <c r="H75" s="44" t="s">
        <v>70</v>
      </c>
      <c r="I75" s="44" t="s">
        <v>70</v>
      </c>
      <c r="J75" s="44" t="s">
        <v>70</v>
      </c>
      <c r="K75" s="44" t="s">
        <v>70</v>
      </c>
      <c r="L75" s="35" t="n">
        <v>2</v>
      </c>
    </row>
    <row r="76" customFormat="false" ht="19.5" hidden="false" customHeight="true" outlineLevel="0" collapsed="false">
      <c r="A76" s="29" t="s">
        <v>76</v>
      </c>
      <c r="B76" s="30" t="s">
        <v>54</v>
      </c>
      <c r="C76" s="29"/>
      <c r="D76" s="29" t="s">
        <v>51</v>
      </c>
      <c r="E76" s="43" t="s">
        <v>70</v>
      </c>
      <c r="F76" s="37" t="n">
        <v>2</v>
      </c>
      <c r="G76" s="37" t="n">
        <v>0</v>
      </c>
      <c r="H76" s="43" t="s">
        <v>70</v>
      </c>
      <c r="I76" s="43" t="s">
        <v>70</v>
      </c>
      <c r="J76" s="43" t="s">
        <v>70</v>
      </c>
      <c r="K76" s="43" t="s">
        <v>70</v>
      </c>
      <c r="L76" s="38" t="n">
        <v>2</v>
      </c>
    </row>
    <row r="77" customFormat="false" ht="19.5" hidden="false" customHeight="true" outlineLevel="0" collapsed="false">
      <c r="A77" s="32" t="s">
        <v>76</v>
      </c>
      <c r="B77" s="33" t="s">
        <v>52</v>
      </c>
      <c r="C77" s="32"/>
      <c r="D77" s="32" t="s">
        <v>51</v>
      </c>
      <c r="E77" s="44" t="s">
        <v>70</v>
      </c>
      <c r="F77" s="34" t="n">
        <v>1</v>
      </c>
      <c r="G77" s="34" t="n">
        <v>0</v>
      </c>
      <c r="H77" s="44" t="s">
        <v>70</v>
      </c>
      <c r="I77" s="44" t="s">
        <v>70</v>
      </c>
      <c r="J77" s="44" t="s">
        <v>70</v>
      </c>
      <c r="K77" s="44" t="s">
        <v>70</v>
      </c>
      <c r="L77" s="35" t="n">
        <v>1</v>
      </c>
    </row>
    <row r="78" customFormat="false" ht="19.5" hidden="false" customHeight="true" outlineLevel="0" collapsed="false">
      <c r="A78" s="29" t="s">
        <v>77</v>
      </c>
      <c r="B78" s="30" t="s">
        <v>54</v>
      </c>
      <c r="C78" s="29"/>
      <c r="D78" s="29" t="s">
        <v>51</v>
      </c>
      <c r="E78" s="43" t="s">
        <v>70</v>
      </c>
      <c r="F78" s="37" t="n">
        <v>1</v>
      </c>
      <c r="G78" s="37" t="n">
        <v>0</v>
      </c>
      <c r="H78" s="43" t="s">
        <v>70</v>
      </c>
      <c r="I78" s="43" t="s">
        <v>70</v>
      </c>
      <c r="J78" s="43" t="s">
        <v>70</v>
      </c>
      <c r="K78" s="43" t="s">
        <v>70</v>
      </c>
      <c r="L78" s="38" t="n">
        <v>1</v>
      </c>
    </row>
    <row r="79" customFormat="false" ht="19.5" hidden="false" customHeight="true" outlineLevel="0" collapsed="false">
      <c r="A79" s="32" t="s">
        <v>77</v>
      </c>
      <c r="B79" s="33" t="s">
        <v>49</v>
      </c>
      <c r="C79" s="32"/>
      <c r="D79" s="32" t="s">
        <v>51</v>
      </c>
      <c r="E79" s="44" t="s">
        <v>70</v>
      </c>
      <c r="F79" s="34" t="n">
        <v>2</v>
      </c>
      <c r="G79" s="34" t="n">
        <v>0</v>
      </c>
      <c r="H79" s="44" t="s">
        <v>70</v>
      </c>
      <c r="I79" s="44" t="s">
        <v>70</v>
      </c>
      <c r="J79" s="44" t="s">
        <v>70</v>
      </c>
      <c r="K79" s="44" t="s">
        <v>70</v>
      </c>
      <c r="L79" s="35" t="n">
        <v>2</v>
      </c>
    </row>
    <row r="80" customFormat="false" ht="19.5" hidden="false" customHeight="true" outlineLevel="0" collapsed="false">
      <c r="A80" s="29" t="s">
        <v>77</v>
      </c>
      <c r="B80" s="30" t="s">
        <v>55</v>
      </c>
      <c r="C80" s="29"/>
      <c r="D80" s="29" t="s">
        <v>51</v>
      </c>
      <c r="E80" s="43" t="s">
        <v>70</v>
      </c>
      <c r="F80" s="37" t="n">
        <v>4</v>
      </c>
      <c r="G80" s="37" t="n">
        <v>0</v>
      </c>
      <c r="H80" s="43" t="s">
        <v>70</v>
      </c>
      <c r="I80" s="43" t="s">
        <v>70</v>
      </c>
      <c r="J80" s="43" t="s">
        <v>70</v>
      </c>
      <c r="K80" s="43" t="s">
        <v>70</v>
      </c>
      <c r="L80" s="38" t="n">
        <v>4</v>
      </c>
    </row>
    <row r="81" customFormat="false" ht="19.5" hidden="false" customHeight="true" outlineLevel="0" collapsed="false">
      <c r="A81" s="32" t="s">
        <v>77</v>
      </c>
      <c r="B81" s="33" t="s">
        <v>74</v>
      </c>
      <c r="C81" s="32"/>
      <c r="D81" s="32" t="s">
        <v>51</v>
      </c>
      <c r="E81" s="44" t="s">
        <v>70</v>
      </c>
      <c r="F81" s="34" t="n">
        <v>1</v>
      </c>
      <c r="G81" s="34" t="n">
        <v>0</v>
      </c>
      <c r="H81" s="44" t="s">
        <v>70</v>
      </c>
      <c r="I81" s="44" t="s">
        <v>70</v>
      </c>
      <c r="J81" s="44" t="s">
        <v>70</v>
      </c>
      <c r="K81" s="44" t="s">
        <v>70</v>
      </c>
      <c r="L81" s="35" t="n">
        <v>1</v>
      </c>
    </row>
    <row r="82" customFormat="false" ht="21.75" hidden="false" customHeight="true" outlineLevel="0" collapsed="false">
      <c r="A82" s="45" t="s">
        <v>78</v>
      </c>
      <c r="B82" s="40"/>
      <c r="C82" s="40"/>
      <c r="D82" s="40"/>
      <c r="E82" s="40"/>
      <c r="F82" s="41" t="n">
        <f aca="false">SUM(F48:F81)</f>
        <v>216</v>
      </c>
      <c r="G82" s="41" t="n">
        <f aca="false">SUM(G48:G81)</f>
        <v>11</v>
      </c>
      <c r="H82" s="40"/>
      <c r="I82" s="40"/>
      <c r="J82" s="40"/>
      <c r="K82" s="40"/>
      <c r="L82" s="41" t="n">
        <f aca="false">SUM(L48:L81)</f>
        <v>205</v>
      </c>
    </row>
    <row r="83" customFormat="false" ht="7.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</row>
    <row r="84" customFormat="false" ht="24" hidden="false" customHeight="true" outlineLevel="0" collapsed="false">
      <c r="A84" s="46" t="s">
        <v>79</v>
      </c>
      <c r="B84" s="47"/>
      <c r="C84" s="47"/>
      <c r="D84" s="47"/>
      <c r="E84" s="47"/>
      <c r="F84" s="48" t="n">
        <f aca="false">F44+F82</f>
        <v>317</v>
      </c>
      <c r="G84" s="48" t="n">
        <f aca="false">G44+G82</f>
        <v>75</v>
      </c>
      <c r="H84" s="47"/>
      <c r="I84" s="47"/>
      <c r="J84" s="47"/>
      <c r="K84" s="47"/>
      <c r="L84" s="48" t="n">
        <f aca="false">L44+L82</f>
        <v>268</v>
      </c>
    </row>
    <row r="85" customFormat="false" ht="13.5" hidden="false" customHeight="true" outlineLevel="0" collapsed="false">
      <c r="A85" s="19" t="s">
        <v>32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</row>
  </sheetData>
  <mergeCells count="7">
    <mergeCell ref="A1:L1"/>
    <mergeCell ref="A2:L2"/>
    <mergeCell ref="A5:L5"/>
    <mergeCell ref="A6:L6"/>
    <mergeCell ref="A46:L46"/>
    <mergeCell ref="A47:L47"/>
    <mergeCell ref="A85:L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111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31.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25.5" hidden="false" customHeight="true" outlineLevel="0" collapsed="false">
      <c r="A4" s="10" t="s">
        <v>82</v>
      </c>
      <c r="B4" s="10" t="s">
        <v>83</v>
      </c>
      <c r="C4" s="10" t="s">
        <v>39</v>
      </c>
      <c r="D4" s="9" t="s">
        <v>40</v>
      </c>
      <c r="E4" s="9" t="s">
        <v>41</v>
      </c>
      <c r="F4" s="10" t="s">
        <v>46</v>
      </c>
      <c r="G4" s="10" t="s">
        <v>84</v>
      </c>
      <c r="H4" s="10" t="s">
        <v>85</v>
      </c>
      <c r="I4" s="10" t="s">
        <v>37</v>
      </c>
    </row>
    <row r="5" customFormat="false" ht="19.5" hidden="false" customHeight="true" outlineLevel="0" collapsed="false">
      <c r="A5" s="49" t="s">
        <v>86</v>
      </c>
      <c r="B5" s="29" t="s">
        <v>87</v>
      </c>
      <c r="C5" s="37" t="n">
        <v>3</v>
      </c>
      <c r="D5" s="37" t="n">
        <v>162</v>
      </c>
      <c r="E5" s="37" t="n">
        <v>65</v>
      </c>
      <c r="F5" s="31" t="n">
        <v>100</v>
      </c>
      <c r="G5" s="50"/>
      <c r="H5" s="51"/>
      <c r="I5" s="52" t="s">
        <v>88</v>
      </c>
    </row>
    <row r="6" customFormat="false" ht="19.5" hidden="false" customHeight="true" outlineLevel="0" collapsed="false">
      <c r="A6" s="32" t="s">
        <v>89</v>
      </c>
      <c r="B6" s="32" t="s">
        <v>90</v>
      </c>
      <c r="C6" s="34" t="n">
        <v>0</v>
      </c>
      <c r="D6" s="34" t="n">
        <v>97</v>
      </c>
      <c r="E6" s="34" t="n">
        <v>11</v>
      </c>
      <c r="F6" s="35" t="n">
        <v>86</v>
      </c>
      <c r="G6" s="53" t="n">
        <v>835</v>
      </c>
      <c r="H6" s="54" t="n">
        <f aca="false">F6*G6</f>
        <v>71810</v>
      </c>
      <c r="I6" s="55"/>
    </row>
    <row r="7" customFormat="false" ht="19.5" hidden="false" customHeight="true" outlineLevel="0" collapsed="false">
      <c r="A7" s="29" t="s">
        <v>91</v>
      </c>
      <c r="B7" s="29" t="s">
        <v>90</v>
      </c>
      <c r="C7" s="37" t="n">
        <v>20</v>
      </c>
      <c r="D7" s="37" t="n">
        <v>100</v>
      </c>
      <c r="E7" s="37" t="n">
        <v>58</v>
      </c>
      <c r="F7" s="38" t="n">
        <v>62</v>
      </c>
      <c r="G7" s="56" t="n">
        <v>927</v>
      </c>
      <c r="H7" s="57" t="n">
        <f aca="false">F7*G7</f>
        <v>57474</v>
      </c>
      <c r="I7" s="52"/>
    </row>
    <row r="8" customFormat="false" ht="19.5" hidden="false" customHeight="true" outlineLevel="0" collapsed="false">
      <c r="A8" s="58" t="s">
        <v>92</v>
      </c>
      <c r="B8" s="32" t="s">
        <v>93</v>
      </c>
      <c r="C8" s="34" t="n">
        <v>28</v>
      </c>
      <c r="D8" s="34" t="n">
        <v>0</v>
      </c>
      <c r="E8" s="34" t="n">
        <v>10</v>
      </c>
      <c r="F8" s="36" t="n">
        <v>18</v>
      </c>
      <c r="G8" s="59"/>
      <c r="H8" s="60"/>
      <c r="I8" s="61" t="s">
        <v>88</v>
      </c>
    </row>
    <row r="9" customFormat="false" ht="19.5" hidden="false" customHeight="true" outlineLevel="0" collapsed="false">
      <c r="A9" s="24" t="s">
        <v>94</v>
      </c>
      <c r="B9" s="24" t="s">
        <v>93</v>
      </c>
      <c r="C9" s="25" t="n">
        <v>42</v>
      </c>
      <c r="D9" s="25" t="n">
        <v>14</v>
      </c>
      <c r="E9" s="25" t="n">
        <v>56</v>
      </c>
      <c r="F9" s="25" t="n">
        <v>0</v>
      </c>
      <c r="G9" s="50"/>
      <c r="H9" s="51"/>
      <c r="I9" s="52"/>
    </row>
    <row r="10" customFormat="false" ht="19.5" hidden="false" customHeight="true" outlineLevel="0" collapsed="false">
      <c r="A10" s="58" t="s">
        <v>95</v>
      </c>
      <c r="B10" s="32" t="s">
        <v>96</v>
      </c>
      <c r="C10" s="34" t="n">
        <v>134</v>
      </c>
      <c r="D10" s="34" t="n">
        <v>271</v>
      </c>
      <c r="E10" s="34" t="n">
        <v>244</v>
      </c>
      <c r="F10" s="36" t="n">
        <v>161</v>
      </c>
      <c r="G10" s="59"/>
      <c r="H10" s="60"/>
      <c r="I10" s="61" t="s">
        <v>88</v>
      </c>
    </row>
    <row r="11" customFormat="false" ht="19.5" hidden="false" customHeight="true" outlineLevel="0" collapsed="false">
      <c r="A11" s="49" t="s">
        <v>97</v>
      </c>
      <c r="B11" s="29" t="s">
        <v>96</v>
      </c>
      <c r="C11" s="37" t="n">
        <v>0</v>
      </c>
      <c r="D11" s="37" t="n">
        <v>30</v>
      </c>
      <c r="E11" s="37" t="n">
        <v>8</v>
      </c>
      <c r="F11" s="31" t="n">
        <v>22</v>
      </c>
      <c r="G11" s="50"/>
      <c r="H11" s="51"/>
      <c r="I11" s="52" t="s">
        <v>88</v>
      </c>
    </row>
    <row r="12" customFormat="false" ht="19.5" hidden="false" customHeight="true" outlineLevel="0" collapsed="false">
      <c r="A12" s="58" t="s">
        <v>98</v>
      </c>
      <c r="B12" s="32" t="s">
        <v>99</v>
      </c>
      <c r="C12" s="34" t="n">
        <v>0</v>
      </c>
      <c r="D12" s="34" t="n">
        <v>16</v>
      </c>
      <c r="E12" s="34" t="n">
        <v>0</v>
      </c>
      <c r="F12" s="36" t="n">
        <v>16</v>
      </c>
      <c r="G12" s="59"/>
      <c r="H12" s="60"/>
      <c r="I12" s="61" t="s">
        <v>88</v>
      </c>
    </row>
    <row r="13" customFormat="false" ht="19.5" hidden="false" customHeight="true" outlineLevel="0" collapsed="false">
      <c r="A13" s="29" t="s">
        <v>100</v>
      </c>
      <c r="B13" s="29" t="s">
        <v>101</v>
      </c>
      <c r="C13" s="37" t="n">
        <v>8</v>
      </c>
      <c r="D13" s="37" t="n">
        <v>320</v>
      </c>
      <c r="E13" s="37" t="n">
        <v>71</v>
      </c>
      <c r="F13" s="38" t="n">
        <v>257</v>
      </c>
      <c r="G13" s="56" t="n">
        <v>119</v>
      </c>
      <c r="H13" s="57" t="n">
        <f aca="false">F13*G13</f>
        <v>30583</v>
      </c>
      <c r="I13" s="52"/>
    </row>
    <row r="14" customFormat="false" ht="19.5" hidden="false" customHeight="true" outlineLevel="0" collapsed="false">
      <c r="A14" s="32" t="s">
        <v>102</v>
      </c>
      <c r="B14" s="32" t="s">
        <v>101</v>
      </c>
      <c r="C14" s="34" t="n">
        <v>7</v>
      </c>
      <c r="D14" s="34" t="n">
        <v>17</v>
      </c>
      <c r="E14" s="34" t="n">
        <v>10</v>
      </c>
      <c r="F14" s="35" t="n">
        <v>14</v>
      </c>
      <c r="G14" s="53" t="n">
        <v>84</v>
      </c>
      <c r="H14" s="54" t="n">
        <f aca="false">F14*G14</f>
        <v>1176</v>
      </c>
      <c r="I14" s="61"/>
    </row>
    <row r="15" customFormat="false" ht="19.5" hidden="false" customHeight="true" outlineLevel="0" collapsed="false">
      <c r="A15" s="29" t="s">
        <v>103</v>
      </c>
      <c r="B15" s="29" t="s">
        <v>104</v>
      </c>
      <c r="C15" s="37" t="n">
        <v>121</v>
      </c>
      <c r="D15" s="37" t="n">
        <v>31</v>
      </c>
      <c r="E15" s="37" t="n">
        <v>79</v>
      </c>
      <c r="F15" s="38" t="n">
        <v>73</v>
      </c>
      <c r="G15" s="56" t="n">
        <v>44</v>
      </c>
      <c r="H15" s="57" t="n">
        <f aca="false">F15*G15</f>
        <v>3212</v>
      </c>
      <c r="I15" s="52"/>
    </row>
    <row r="16" customFormat="false" ht="19.5" hidden="false" customHeight="true" outlineLevel="0" collapsed="false">
      <c r="A16" s="32" t="s">
        <v>105</v>
      </c>
      <c r="B16" s="32" t="s">
        <v>104</v>
      </c>
      <c r="C16" s="34" t="n">
        <v>94</v>
      </c>
      <c r="D16" s="34" t="n">
        <v>24</v>
      </c>
      <c r="E16" s="34" t="n">
        <v>71</v>
      </c>
      <c r="F16" s="35" t="n">
        <v>47</v>
      </c>
      <c r="G16" s="53" t="n">
        <v>44</v>
      </c>
      <c r="H16" s="54" t="n">
        <f aca="false">F16*G16</f>
        <v>2068</v>
      </c>
      <c r="I16" s="61"/>
    </row>
    <row r="17" customFormat="false" ht="19.5" hidden="false" customHeight="true" outlineLevel="0" collapsed="false">
      <c r="A17" s="29" t="s">
        <v>106</v>
      </c>
      <c r="B17" s="29" t="s">
        <v>104</v>
      </c>
      <c r="C17" s="37" t="n">
        <v>31</v>
      </c>
      <c r="D17" s="37" t="n">
        <v>20</v>
      </c>
      <c r="E17" s="37" t="n">
        <v>7</v>
      </c>
      <c r="F17" s="38" t="n">
        <v>44</v>
      </c>
      <c r="G17" s="56" t="n">
        <v>500</v>
      </c>
      <c r="H17" s="57" t="n">
        <f aca="false">F17*G17</f>
        <v>22000</v>
      </c>
      <c r="I17" s="52"/>
    </row>
    <row r="18" customFormat="false" ht="19.5" hidden="false" customHeight="true" outlineLevel="0" collapsed="false">
      <c r="A18" s="58" t="s">
        <v>107</v>
      </c>
      <c r="B18" s="32" t="s">
        <v>104</v>
      </c>
      <c r="C18" s="34" t="n">
        <v>28</v>
      </c>
      <c r="D18" s="34" t="n">
        <v>1</v>
      </c>
      <c r="E18" s="34" t="n">
        <v>11</v>
      </c>
      <c r="F18" s="36" t="n">
        <v>18</v>
      </c>
      <c r="G18" s="59"/>
      <c r="H18" s="60"/>
      <c r="I18" s="61" t="s">
        <v>88</v>
      </c>
    </row>
    <row r="19" customFormat="false" ht="19.5" hidden="false" customHeight="true" outlineLevel="0" collapsed="false">
      <c r="A19" s="49" t="s">
        <v>108</v>
      </c>
      <c r="B19" s="29" t="s">
        <v>104</v>
      </c>
      <c r="C19" s="37" t="n">
        <v>0</v>
      </c>
      <c r="D19" s="37" t="n">
        <v>17</v>
      </c>
      <c r="E19" s="37" t="n">
        <v>0</v>
      </c>
      <c r="F19" s="31" t="n">
        <v>17</v>
      </c>
      <c r="G19" s="50"/>
      <c r="H19" s="51"/>
      <c r="I19" s="52" t="s">
        <v>109</v>
      </c>
    </row>
    <row r="20" customFormat="false" ht="19.5" hidden="false" customHeight="true" outlineLevel="0" collapsed="false">
      <c r="A20" s="32" t="s">
        <v>110</v>
      </c>
      <c r="B20" s="32" t="s">
        <v>104</v>
      </c>
      <c r="C20" s="34" t="n">
        <v>13</v>
      </c>
      <c r="D20" s="34" t="n">
        <v>0</v>
      </c>
      <c r="E20" s="34" t="n">
        <v>3</v>
      </c>
      <c r="F20" s="35" t="n">
        <v>10</v>
      </c>
      <c r="G20" s="53" t="n">
        <v>500</v>
      </c>
      <c r="H20" s="54" t="n">
        <f aca="false">F20*G20</f>
        <v>5000</v>
      </c>
      <c r="I20" s="61"/>
    </row>
    <row r="21" customFormat="false" ht="19.5" hidden="false" customHeight="true" outlineLevel="0" collapsed="false">
      <c r="A21" s="29" t="s">
        <v>111</v>
      </c>
      <c r="B21" s="29" t="s">
        <v>104</v>
      </c>
      <c r="C21" s="37" t="n">
        <v>9</v>
      </c>
      <c r="D21" s="37" t="n">
        <v>0</v>
      </c>
      <c r="E21" s="37" t="n">
        <v>1</v>
      </c>
      <c r="F21" s="38" t="n">
        <v>8</v>
      </c>
      <c r="G21" s="56" t="n">
        <v>500</v>
      </c>
      <c r="H21" s="57" t="n">
        <f aca="false">F21*G21</f>
        <v>4000</v>
      </c>
      <c r="I21" s="52"/>
    </row>
    <row r="22" customFormat="false" ht="19.5" hidden="false" customHeight="true" outlineLevel="0" collapsed="false">
      <c r="A22" s="58" t="s">
        <v>112</v>
      </c>
      <c r="B22" s="32" t="s">
        <v>104</v>
      </c>
      <c r="C22" s="34" t="n">
        <v>0</v>
      </c>
      <c r="D22" s="34" t="n">
        <v>3</v>
      </c>
      <c r="E22" s="34" t="n">
        <v>0</v>
      </c>
      <c r="F22" s="36" t="n">
        <v>3</v>
      </c>
      <c r="G22" s="59"/>
      <c r="H22" s="60"/>
      <c r="I22" s="61" t="s">
        <v>109</v>
      </c>
    </row>
    <row r="23" customFormat="false" ht="19.5" hidden="false" customHeight="true" outlineLevel="0" collapsed="false">
      <c r="A23" s="29" t="s">
        <v>113</v>
      </c>
      <c r="B23" s="29" t="s">
        <v>114</v>
      </c>
      <c r="C23" s="37" t="n">
        <v>56</v>
      </c>
      <c r="D23" s="37" t="n">
        <v>123</v>
      </c>
      <c r="E23" s="37" t="n">
        <v>76</v>
      </c>
      <c r="F23" s="38" t="n">
        <v>103</v>
      </c>
      <c r="G23" s="56" t="n">
        <v>101.7</v>
      </c>
      <c r="H23" s="57" t="n">
        <f aca="false">F23*G23</f>
        <v>10475.1</v>
      </c>
      <c r="I23" s="52"/>
    </row>
    <row r="24" customFormat="false" ht="19.5" hidden="false" customHeight="true" outlineLevel="0" collapsed="false">
      <c r="A24" s="32" t="s">
        <v>115</v>
      </c>
      <c r="B24" s="32" t="s">
        <v>116</v>
      </c>
      <c r="C24" s="34" t="n">
        <v>0</v>
      </c>
      <c r="D24" s="34" t="n">
        <v>70</v>
      </c>
      <c r="E24" s="34" t="n">
        <v>9</v>
      </c>
      <c r="F24" s="35" t="n">
        <v>61</v>
      </c>
      <c r="G24" s="53" t="n">
        <v>180</v>
      </c>
      <c r="H24" s="54" t="n">
        <f aca="false">F24*G24</f>
        <v>10980</v>
      </c>
      <c r="I24" s="61"/>
    </row>
    <row r="25" customFormat="false" ht="19.5" hidden="false" customHeight="true" outlineLevel="0" collapsed="false">
      <c r="A25" s="29" t="s">
        <v>117</v>
      </c>
      <c r="B25" s="29" t="s">
        <v>116</v>
      </c>
      <c r="C25" s="37" t="n">
        <v>14</v>
      </c>
      <c r="D25" s="37" t="n">
        <v>37</v>
      </c>
      <c r="E25" s="37" t="n">
        <v>22</v>
      </c>
      <c r="F25" s="38" t="n">
        <v>29</v>
      </c>
      <c r="G25" s="56" t="n">
        <v>400</v>
      </c>
      <c r="H25" s="57" t="n">
        <f aca="false">F25*G25</f>
        <v>11600</v>
      </c>
      <c r="I25" s="52"/>
    </row>
    <row r="26" customFormat="false" ht="19.5" hidden="false" customHeight="true" outlineLevel="0" collapsed="false">
      <c r="A26" s="32" t="s">
        <v>118</v>
      </c>
      <c r="B26" s="32" t="s">
        <v>116</v>
      </c>
      <c r="C26" s="34" t="n">
        <v>10</v>
      </c>
      <c r="D26" s="34" t="n">
        <v>26</v>
      </c>
      <c r="E26" s="34" t="n">
        <v>16</v>
      </c>
      <c r="F26" s="35" t="n">
        <v>20</v>
      </c>
      <c r="G26" s="53" t="n">
        <v>400</v>
      </c>
      <c r="H26" s="54" t="n">
        <f aca="false">F26*G26</f>
        <v>8000</v>
      </c>
      <c r="I26" s="61"/>
    </row>
    <row r="27" customFormat="false" ht="19.5" hidden="false" customHeight="true" outlineLevel="0" collapsed="false">
      <c r="A27" s="49" t="s">
        <v>119</v>
      </c>
      <c r="B27" s="29" t="s">
        <v>116</v>
      </c>
      <c r="C27" s="37" t="n">
        <v>2</v>
      </c>
      <c r="D27" s="37" t="n">
        <v>8</v>
      </c>
      <c r="E27" s="37" t="n">
        <v>0</v>
      </c>
      <c r="F27" s="31" t="n">
        <v>10</v>
      </c>
      <c r="G27" s="50"/>
      <c r="H27" s="51"/>
      <c r="I27" s="52" t="s">
        <v>88</v>
      </c>
    </row>
    <row r="28" customFormat="false" ht="19.5" hidden="false" customHeight="true" outlineLevel="0" collapsed="false">
      <c r="A28" s="58" t="s">
        <v>120</v>
      </c>
      <c r="B28" s="32" t="s">
        <v>116</v>
      </c>
      <c r="C28" s="34" t="n">
        <v>0</v>
      </c>
      <c r="D28" s="34" t="n">
        <v>8</v>
      </c>
      <c r="E28" s="34" t="n">
        <v>2</v>
      </c>
      <c r="F28" s="36" t="n">
        <v>6</v>
      </c>
      <c r="G28" s="59"/>
      <c r="H28" s="60"/>
      <c r="I28" s="61" t="s">
        <v>88</v>
      </c>
    </row>
    <row r="29" customFormat="false" ht="19.5" hidden="false" customHeight="true" outlineLevel="0" collapsed="false">
      <c r="A29" s="29" t="s">
        <v>121</v>
      </c>
      <c r="B29" s="29" t="s">
        <v>116</v>
      </c>
      <c r="C29" s="37" t="n">
        <v>5</v>
      </c>
      <c r="D29" s="37" t="n">
        <v>18</v>
      </c>
      <c r="E29" s="37" t="n">
        <v>18</v>
      </c>
      <c r="F29" s="38" t="n">
        <v>5</v>
      </c>
      <c r="G29" s="56" t="n">
        <v>400</v>
      </c>
      <c r="H29" s="57" t="n">
        <f aca="false">F29*G29</f>
        <v>2000</v>
      </c>
      <c r="I29" s="52"/>
    </row>
    <row r="30" customFormat="false" ht="19.5" hidden="false" customHeight="true" outlineLevel="0" collapsed="false">
      <c r="A30" s="58" t="s">
        <v>122</v>
      </c>
      <c r="B30" s="32" t="s">
        <v>116</v>
      </c>
      <c r="C30" s="34" t="n">
        <v>2</v>
      </c>
      <c r="D30" s="34" t="n">
        <v>4</v>
      </c>
      <c r="E30" s="34" t="n">
        <v>1</v>
      </c>
      <c r="F30" s="36" t="n">
        <v>5</v>
      </c>
      <c r="G30" s="59"/>
      <c r="H30" s="60"/>
      <c r="I30" s="61" t="s">
        <v>88</v>
      </c>
    </row>
    <row r="31" customFormat="false" ht="19.5" hidden="false" customHeight="true" outlineLevel="0" collapsed="false">
      <c r="A31" s="49" t="s">
        <v>123</v>
      </c>
      <c r="B31" s="29" t="s">
        <v>116</v>
      </c>
      <c r="C31" s="37" t="n">
        <v>0</v>
      </c>
      <c r="D31" s="37" t="n">
        <v>5</v>
      </c>
      <c r="E31" s="37" t="n">
        <v>1</v>
      </c>
      <c r="F31" s="31" t="n">
        <v>4</v>
      </c>
      <c r="G31" s="50"/>
      <c r="H31" s="51"/>
      <c r="I31" s="52" t="s">
        <v>88</v>
      </c>
    </row>
    <row r="32" customFormat="false" ht="19.5" hidden="false" customHeight="true" outlineLevel="0" collapsed="false">
      <c r="A32" s="58" t="s">
        <v>124</v>
      </c>
      <c r="B32" s="32" t="s">
        <v>116</v>
      </c>
      <c r="C32" s="34" t="n">
        <v>0</v>
      </c>
      <c r="D32" s="34" t="n">
        <v>4</v>
      </c>
      <c r="E32" s="34" t="n">
        <v>3</v>
      </c>
      <c r="F32" s="36" t="n">
        <v>1</v>
      </c>
      <c r="G32" s="59"/>
      <c r="H32" s="60"/>
      <c r="I32" s="61" t="s">
        <v>88</v>
      </c>
    </row>
    <row r="33" customFormat="false" ht="19.5" hidden="false" customHeight="true" outlineLevel="0" collapsed="false">
      <c r="A33" s="24" t="s">
        <v>125</v>
      </c>
      <c r="B33" s="24" t="s">
        <v>116</v>
      </c>
      <c r="C33" s="25" t="n">
        <v>0</v>
      </c>
      <c r="D33" s="25" t="n">
        <v>2</v>
      </c>
      <c r="E33" s="25" t="n">
        <v>2</v>
      </c>
      <c r="F33" s="25" t="n">
        <v>0</v>
      </c>
      <c r="G33" s="50"/>
      <c r="H33" s="51"/>
      <c r="I33" s="52"/>
    </row>
    <row r="34" customFormat="false" ht="21.75" hidden="false" customHeight="true" outlineLevel="0" collapsed="false">
      <c r="A34" s="45" t="s">
        <v>126</v>
      </c>
      <c r="B34" s="40"/>
      <c r="C34" s="40"/>
      <c r="D34" s="41" t="n">
        <f aca="false">SUM(D5:D33)</f>
        <v>1428</v>
      </c>
      <c r="E34" s="41" t="n">
        <f aca="false">SUM(E5:E33)</f>
        <v>855</v>
      </c>
      <c r="F34" s="41" t="n">
        <f aca="false">SUM(F5:F33)</f>
        <v>1200</v>
      </c>
      <c r="G34" s="40"/>
      <c r="H34" s="62" t="n">
        <f aca="false">H6+H7+H13+H14+H15+H16+H17+H20+H21+H23+H24+H25+H26+H29</f>
        <v>240378.1</v>
      </c>
      <c r="I34" s="40"/>
    </row>
    <row r="36" customFormat="false" ht="13.5" hidden="false" customHeight="true" outlineLevel="0" collapsed="false">
      <c r="A36" s="19" t="s">
        <v>127</v>
      </c>
      <c r="B36" s="19"/>
      <c r="C36" s="19"/>
      <c r="D36" s="19"/>
      <c r="E36" s="19"/>
      <c r="F36" s="19"/>
      <c r="G36" s="19"/>
      <c r="H36" s="19"/>
      <c r="I36" s="19"/>
    </row>
  </sheetData>
  <mergeCells count="3">
    <mergeCell ref="A1:I1"/>
    <mergeCell ref="A2:I2"/>
    <mergeCell ref="A36:I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2026-03-11T17:38:06Z</dcterms:created>
  <dc:creator>openpyxl</dc:creator>
  <dc:description/>
  <dc:language>en-US</dc:language>
  <cp:lastModifiedBy/>
  <dcterms:modified xsi:type="dcterms:W3CDTF">2026-03-11T17:38:06Z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