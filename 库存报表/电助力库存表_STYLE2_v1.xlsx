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总览" sheetId="1" state="visible" r:id="rId3"/>
    <sheet name="VAPOR SL 碳 · 车架" sheetId="2" state="visible" r:id="rId4"/>
    <sheet name="VAPOR 铝 · 车架" sheetId="3" state="visible" r:id="rId5"/>
    <sheet name="共用零部件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系统批注</author>
  </authors>
  <commentList>
    <comment ref="C11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14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20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21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23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34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C36" authorId="0">
      <text>
        <r>
          <rPr>
            <sz val="10"/>
            <rFont val="DejaVu Sans"/>
            <family val="2"/>
          </rPr>
          <t xml:space="preserve">展厅展示车 — 非可售库存！应独立追踪，不应计入可售车架数量。</t>
        </r>
      </text>
    </comment>
    <comment ref="G13" authorId="0">
      <text>
        <r>
          <rPr>
            <sz val="10"/>
            <rFont val="DejaVu Sans"/>
            <family val="2"/>
          </rPr>
          <t xml:space="preserve">⚠️ 装车已交付</t>
        </r>
        <r>
          <rPr>
            <sz val="10"/>
            <rFont val="Arial"/>
            <family val="2"/>
          </rPr>
          <t xml:space="preserve">(4) &gt; </t>
        </r>
        <r>
          <rPr>
            <sz val="10"/>
            <rFont val="DejaVu Sans"/>
            <family val="2"/>
          </rPr>
          <t xml:space="preserve">出库数量</t>
        </r>
        <r>
          <rPr>
            <sz val="10"/>
            <rFont val="Arial"/>
            <family val="2"/>
          </rPr>
          <t xml:space="preserve">(3)</t>
        </r>
        <r>
          <rPr>
            <sz val="10"/>
            <rFont val="DejaVu Sans"/>
            <family val="2"/>
          </rPr>
          <t xml:space="preserve">，逻辑矛盾，请核查出库单。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系统批注</author>
  </authors>
  <commentList>
    <comment ref="F14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台，数量较大。是否有匹配订单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DejaVu Sans"/>
            <family val="2"/>
          </rPr>
          <t xml:space="preserve">已完成价格更新？</t>
        </r>
      </text>
    </comment>
    <comment ref="F18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台，数量较大。是否有匹配订单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DejaVu Sans"/>
            <family val="2"/>
          </rPr>
          <t xml:space="preserve">已完成价格更新？</t>
        </r>
      </text>
    </comment>
    <comment ref="F22" authorId="0">
      <text>
        <r>
          <rPr>
            <sz val="10"/>
            <rFont val="DejaVu Sans"/>
            <family val="2"/>
          </rPr>
          <t xml:space="preserve">⚠️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台，数量较大。是否有匹配订单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DejaVu Sans"/>
            <family val="2"/>
          </rPr>
          <t xml:space="preserve">已完成价格更新？</t>
        </r>
      </text>
    </comment>
    <comment ref="G5" authorId="0">
      <text>
        <r>
          <rPr>
            <sz val="10"/>
            <rFont val="DejaVu Sans"/>
            <family val="2"/>
          </rPr>
          <t xml:space="preserve">旧字段 </t>
        </r>
        <r>
          <rPr>
            <sz val="10"/>
            <rFont val="Arial"/>
            <family val="2"/>
          </rPr>
          <t xml:space="preserve">col5</t>
        </r>
        <r>
          <rPr>
            <sz val="10"/>
            <rFont val="DejaVu Sans"/>
            <family val="2"/>
          </rPr>
          <t xml:space="preserve">「</t>
        </r>
        <r>
          <rPr>
            <sz val="10"/>
            <rFont val="Arial"/>
            <family val="2"/>
          </rPr>
          <t xml:space="preserve">2026 </t>
        </r>
        <r>
          <rPr>
            <sz val="10"/>
            <rFont val="DejaVu Sans"/>
            <family val="2"/>
          </rPr>
          <t xml:space="preserve">铝车架 库存数量」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DejaVu Sans"/>
            <family val="2"/>
          </rPr>
          <t xml:space="preserve">当前库存，与「当前库存 ▸」应相等。若有差值请核查。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系统批注</author>
  </authors>
  <commentList>
    <comment ref="G6" authorId="0">
      <text>
        <r>
          <rPr>
            <sz val="10"/>
            <rFont val="DejaVu Sans"/>
            <family val="2"/>
          </rPr>
          <t xml:space="preserve">⚠️ 成本未录入。电机 </t>
        </r>
        <r>
          <rPr>
            <sz val="10"/>
            <rFont val="Arial"/>
            <family val="2"/>
          </rPr>
          <t xml:space="preserve">M820 Pro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9" authorId="0">
      <text>
        <r>
          <rPr>
            <sz val="10"/>
            <rFont val="DejaVu Sans"/>
            <family val="2"/>
          </rPr>
          <t xml:space="preserve">⚠️ 成本未录入。充电器 </t>
        </r>
        <r>
          <rPr>
            <sz val="10"/>
            <rFont val="Arial"/>
            <family val="2"/>
          </rPr>
          <t xml:space="preserve">6A</t>
        </r>
        <r>
          <rPr>
            <sz val="10"/>
            <rFont val="DejaVu Sans"/>
            <family val="2"/>
          </rPr>
          <t xml:space="preserve">快充当前库存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11" authorId="0">
      <text>
        <r>
          <rPr>
            <sz val="10"/>
            <rFont val="DejaVu Sans"/>
            <family val="2"/>
          </rPr>
          <t xml:space="preserve">⚠️ 成本未录入。威狐</t>
        </r>
        <r>
          <rPr>
            <sz val="10"/>
            <rFont val="Arial"/>
            <family val="2"/>
          </rPr>
          <t xml:space="preserve">DM08C&amp;RM05 </t>
        </r>
        <r>
          <rPr>
            <sz val="10"/>
            <rFont val="DejaVu Sans"/>
            <family val="2"/>
          </rPr>
          <t xml:space="preserve">弯把仪表当前库存</t>
        </r>
        <r>
          <rPr>
            <sz val="10"/>
            <rFont val="Arial"/>
            <family val="2"/>
          </rPr>
          <t xml:space="preserve">161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12" authorId="0">
      <text>
        <r>
          <rPr>
            <sz val="10"/>
            <rFont val="DejaVu Sans"/>
            <family val="2"/>
          </rPr>
          <t xml:space="preserve">⚠️ 成本未录入。威狐</t>
        </r>
        <r>
          <rPr>
            <sz val="10"/>
            <rFont val="Arial"/>
            <family val="2"/>
          </rPr>
          <t xml:space="preserve">DM08C&amp;RM01 </t>
        </r>
        <r>
          <rPr>
            <sz val="10"/>
            <rFont val="DejaVu Sans"/>
            <family val="2"/>
          </rPr>
          <t xml:space="preserve">平把仪表当前库存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13" authorId="0">
      <text>
        <r>
          <rPr>
            <sz val="10"/>
            <rFont val="DejaVu Sans"/>
            <family val="2"/>
          </rPr>
          <t xml:space="preserve">⚠️ 成本未录入。直把电变指拨当前库存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19" authorId="0">
      <text>
        <r>
          <rPr>
            <sz val="10"/>
            <rFont val="DejaVu Sans"/>
            <family val="2"/>
          </rPr>
          <t xml:space="preserve">⚠️ 成本未录入。曲柄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铝 </t>
        </r>
        <r>
          <rPr>
            <sz val="10"/>
            <rFont val="Arial"/>
            <family val="2"/>
          </rPr>
          <t xml:space="preserve">160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20" authorId="0">
      <text>
        <r>
          <rPr>
            <sz val="10"/>
            <rFont val="DejaVu Sans"/>
            <family val="2"/>
          </rPr>
          <t xml:space="preserve">⚠️ 成本未录入。旧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165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17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23" authorId="0">
      <text>
        <r>
          <rPr>
            <sz val="10"/>
            <rFont val="DejaVu Sans"/>
            <family val="2"/>
          </rPr>
          <t xml:space="preserve">⚠️ 成本未录入。旧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170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28" authorId="0">
      <text>
        <r>
          <rPr>
            <sz val="10"/>
            <rFont val="DejaVu Sans"/>
            <family val="2"/>
          </rPr>
          <t xml:space="preserve">⚠️ 成本未录入。弯把 星尘 </t>
        </r>
        <r>
          <rPr>
            <sz val="10"/>
            <rFont val="Arial"/>
            <family val="2"/>
          </rPr>
          <t xml:space="preserve">420-100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29" authorId="0">
      <text>
        <r>
          <rPr>
            <sz val="10"/>
            <rFont val="DejaVu Sans"/>
            <family val="2"/>
          </rPr>
          <t xml:space="preserve">⚠️ 成本未录入。弯把 星尘 </t>
        </r>
        <r>
          <rPr>
            <sz val="10"/>
            <rFont val="Arial"/>
            <family val="2"/>
          </rPr>
          <t xml:space="preserve">400-90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31" authorId="0">
      <text>
        <r>
          <rPr>
            <sz val="10"/>
            <rFont val="DejaVu Sans"/>
            <family val="2"/>
          </rPr>
          <t xml:space="preserve">⚠️ 成本未录入。弯把 星尘 </t>
        </r>
        <r>
          <rPr>
            <sz val="10"/>
            <rFont val="Arial"/>
            <family val="2"/>
          </rPr>
          <t xml:space="preserve">380-80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32" authorId="0">
      <text>
        <r>
          <rPr>
            <sz val="10"/>
            <rFont val="DejaVu Sans"/>
            <family val="2"/>
          </rPr>
          <t xml:space="preserve">⚠️ 成本未录入。弯把 新星尘（粉） </t>
        </r>
        <r>
          <rPr>
            <sz val="10"/>
            <rFont val="Arial"/>
            <family val="2"/>
          </rPr>
          <t xml:space="preserve">400-90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  <comment ref="G33" authorId="0">
      <text>
        <r>
          <rPr>
            <sz val="10"/>
            <rFont val="DejaVu Sans"/>
            <family val="2"/>
          </rPr>
          <t xml:space="preserve">⚠️ 成本未录入。弯把 新星尘（粉） </t>
        </r>
        <r>
          <rPr>
            <sz val="10"/>
            <rFont val="Arial"/>
            <family val="2"/>
          </rPr>
          <t xml:space="preserve">380-80</t>
        </r>
        <r>
          <rPr>
            <sz val="10"/>
            <rFont val="DejaVu Sans"/>
            <family val="2"/>
          </rPr>
          <t xml:space="preserve">当前库存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成本。请在飞书零部件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表的「成本」字段补录。</t>
        </r>
      </text>
    </comment>
  </commentList>
</comments>
</file>

<file path=xl/sharedStrings.xml><?xml version="1.0" encoding="utf-8"?>
<sst xmlns="http://schemas.openxmlformats.org/spreadsheetml/2006/main" count="339" uniqueCount="123">
  <si>
    <t xml:space="preserve">电助力库存总览</t>
  </si>
  <si>
    <r>
      <rPr>
        <i val="true"/>
        <sz val="9"/>
        <color rgb="FFFF4F00"/>
        <rFont val="DejaVu Sans"/>
        <family val="2"/>
      </rPr>
      <t xml:space="preserve">宇宙销售统计中心 </t>
    </r>
    <r>
      <rPr>
        <i val="true"/>
        <sz val="9"/>
        <color rgb="FFFF4F00"/>
        <rFont val="Arial"/>
        <family val="0"/>
        <charset val="1"/>
      </rPr>
      <t xml:space="preserve">· </t>
    </r>
    <r>
      <rPr>
        <i val="true"/>
        <sz val="9"/>
        <color rgb="FFFF4F00"/>
        <rFont val="DejaVu Sans"/>
        <family val="2"/>
      </rPr>
      <t xml:space="preserve">数据来源：⭕️ </t>
    </r>
    <r>
      <rPr>
        <i val="true"/>
        <sz val="9"/>
        <color rgb="FFFF4F00"/>
        <rFont val="Arial"/>
        <family val="0"/>
        <charset val="1"/>
      </rPr>
      <t xml:space="preserve">2026 </t>
    </r>
    <r>
      <rPr>
        <i val="true"/>
        <sz val="9"/>
        <color rgb="FFFF4F00"/>
        <rFont val="DejaVu Sans"/>
        <family val="2"/>
      </rPr>
      <t xml:space="preserve">电助力库存中心 </t>
    </r>
    <r>
      <rPr>
        <i val="true"/>
        <sz val="9"/>
        <color rgb="FFFF4F00"/>
        <rFont val="Arial"/>
        <family val="0"/>
        <charset val="1"/>
      </rPr>
      <t xml:space="preserve">· </t>
    </r>
    <r>
      <rPr>
        <i val="true"/>
        <sz val="9"/>
        <color rgb="FFFF4F00"/>
        <rFont val="DejaVu Sans"/>
        <family val="2"/>
      </rPr>
      <t xml:space="preserve">截至 </t>
    </r>
    <r>
      <rPr>
        <i val="true"/>
        <sz val="9"/>
        <color rgb="FFFF4F00"/>
        <rFont val="Arial"/>
        <family val="0"/>
        <charset val="1"/>
      </rPr>
      <t xml:space="preserve">2026-03-11</t>
    </r>
  </si>
  <si>
    <r>
      <rPr>
        <sz val="9"/>
        <color rgb="FF555555"/>
        <rFont val="Arial"/>
        <family val="0"/>
        <charset val="1"/>
      </rPr>
      <t xml:space="preserve">VAPOR SL </t>
    </r>
    <r>
      <rPr>
        <sz val="9"/>
        <color rgb="FF555555"/>
        <rFont val="DejaVu Sans"/>
        <family val="2"/>
      </rPr>
      <t xml:space="preserve">碳纤维
车架库存总量</t>
    </r>
  </si>
  <si>
    <r>
      <rPr>
        <sz val="9"/>
        <color rgb="FF555555"/>
        <rFont val="Arial"/>
        <family val="0"/>
        <charset val="1"/>
      </rPr>
      <t xml:space="preserve">VAPOR </t>
    </r>
    <r>
      <rPr>
        <sz val="9"/>
        <color rgb="FF555555"/>
        <rFont val="DejaVu Sans"/>
        <family val="2"/>
      </rPr>
      <t xml:space="preserve">铝合金
车架库存总量</t>
    </r>
  </si>
  <si>
    <r>
      <rPr>
        <sz val="9"/>
        <color rgb="FF555555"/>
        <rFont val="DejaVu Sans"/>
        <family val="2"/>
      </rPr>
      <t xml:space="preserve">共用零部件
</t>
    </r>
    <r>
      <rPr>
        <sz val="9"/>
        <color rgb="FF555555"/>
        <rFont val="Arial"/>
        <family val="0"/>
        <charset val="1"/>
      </rPr>
      <t xml:space="preserve">SKU</t>
    </r>
    <r>
      <rPr>
        <sz val="9"/>
        <color rgb="FF555555"/>
        <rFont val="DejaVu Sans"/>
        <family val="2"/>
      </rPr>
      <t xml:space="preserve">数</t>
    </r>
  </si>
  <si>
    <t xml:space="preserve">台</t>
  </si>
  <si>
    <t xml:space="preserve">种</t>
  </si>
  <si>
    <r>
      <rPr>
        <b val="true"/>
        <sz val="11"/>
        <color rgb="FFFFFFFF"/>
        <rFont val="DejaVu Sans"/>
        <family val="2"/>
      </rPr>
      <t xml:space="preserve">⚠  数据问题批注（共 </t>
    </r>
    <r>
      <rPr>
        <b val="true"/>
        <sz val="11"/>
        <color rgb="FFFFFFFF"/>
        <rFont val="Arial"/>
        <family val="0"/>
        <charset val="1"/>
      </rPr>
      <t xml:space="preserve">7 </t>
    </r>
    <r>
      <rPr>
        <b val="true"/>
        <sz val="11"/>
        <color rgb="FFFFFFFF"/>
        <rFont val="DejaVu Sans"/>
        <family val="2"/>
      </rPr>
      <t xml:space="preserve">项）</t>
    </r>
  </si>
  <si>
    <t xml:space="preserve">#</t>
  </si>
  <si>
    <t xml:space="preserve">问题类型</t>
  </si>
  <si>
    <t xml:space="preserve">详细说明</t>
  </si>
  <si>
    <t xml:space="preserve">❶</t>
  </si>
  <si>
    <t xml:space="preserve">库存数量字段命名混乱</t>
  </si>
  <si>
    <r>
      <rPr>
        <sz val="9"/>
        <color rgb="FF333333"/>
        <rFont val="DejaVu Sans"/>
        <family val="2"/>
      </rPr>
      <t xml:space="preserve">「</t>
    </r>
    <r>
      <rPr>
        <sz val="9"/>
        <color rgb="FF333333"/>
        <rFont val="Arial"/>
        <family val="0"/>
        <charset val="1"/>
      </rPr>
      <t xml:space="preserve">2026 </t>
    </r>
    <r>
      <rPr>
        <sz val="9"/>
        <color rgb="FF333333"/>
        <rFont val="DejaVu Sans"/>
        <family val="2"/>
      </rPr>
      <t xml:space="preserve">铝车架 库存数量」列同时包含 </t>
    </r>
    <r>
      <rPr>
        <sz val="9"/>
        <color rgb="FF333333"/>
        <rFont val="Arial"/>
        <family val="0"/>
        <charset val="1"/>
      </rPr>
      <t xml:space="preserve">SL </t>
    </r>
    <r>
      <rPr>
        <sz val="9"/>
        <color rgb="FF333333"/>
        <rFont val="DejaVu Sans"/>
        <family val="2"/>
      </rPr>
      <t xml:space="preserve">和铝两类车架，但两类使用的计算逻辑不同（</t>
    </r>
    <r>
      <rPr>
        <sz val="9"/>
        <color rgb="FF333333"/>
        <rFont val="Arial"/>
        <family val="0"/>
        <charset val="1"/>
      </rPr>
      <t xml:space="preserve">SL </t>
    </r>
    <r>
      <rPr>
        <sz val="9"/>
        <color rgb="FF333333"/>
        <rFont val="DejaVu Sans"/>
        <family val="2"/>
      </rPr>
      <t xml:space="preserve">用该列 未扣减出库，正确字段为「【新】</t>
    </r>
    <r>
      <rPr>
        <sz val="9"/>
        <color rgb="FF333333"/>
        <rFont val="Arial"/>
        <family val="0"/>
        <charset val="1"/>
      </rPr>
      <t xml:space="preserve">2026 </t>
    </r>
    <r>
      <rPr>
        <sz val="9"/>
        <color rgb="FF333333"/>
        <rFont val="DejaVu Sans"/>
        <family val="2"/>
      </rPr>
      <t xml:space="preserve">车架 库存数量」）。强烈建议重命名并统一公式。</t>
    </r>
  </si>
  <si>
    <t xml:space="preserve">❷</t>
  </si>
  <si>
    <r>
      <rPr>
        <b val="true"/>
        <sz val="9"/>
        <color rgb="FF0A192F"/>
        <rFont val="Arial"/>
        <family val="0"/>
        <charset val="1"/>
      </rPr>
      <t xml:space="preserve">VAPOR SL </t>
    </r>
    <r>
      <rPr>
        <b val="true"/>
        <sz val="9"/>
        <color rgb="FF0A192F"/>
        <rFont val="DejaVu Sans"/>
        <family val="2"/>
      </rPr>
      <t xml:space="preserve">装车数量异常（夜空 </t>
    </r>
    <r>
      <rPr>
        <b val="true"/>
        <sz val="9"/>
        <color rgb="FF0A192F"/>
        <rFont val="Arial"/>
        <family val="0"/>
        <charset val="1"/>
      </rPr>
      <t xml:space="preserve">S</t>
    </r>
    <r>
      <rPr>
        <b val="true"/>
        <sz val="9"/>
        <color rgb="FF0A192F"/>
        <rFont val="DejaVu Sans"/>
        <family val="2"/>
      </rPr>
      <t xml:space="preserve">）</t>
    </r>
  </si>
  <si>
    <r>
      <rPr>
        <sz val="9"/>
        <color rgb="FF333333"/>
        <rFont val="Arial"/>
        <family val="0"/>
        <charset val="1"/>
      </rPr>
      <t xml:space="preserve">VAPOR SL </t>
    </r>
    <r>
      <rPr>
        <sz val="9"/>
        <color rgb="FF333333"/>
        <rFont val="DejaVu Sans"/>
        <family val="2"/>
      </rPr>
      <t xml:space="preserve">夜空 </t>
    </r>
    <r>
      <rPr>
        <sz val="9"/>
        <color rgb="FF333333"/>
        <rFont val="Arial"/>
        <family val="0"/>
        <charset val="1"/>
      </rPr>
      <t xml:space="preserve">S</t>
    </r>
    <r>
      <rPr>
        <sz val="9"/>
        <color rgb="FF333333"/>
        <rFont val="DejaVu Sans"/>
        <family val="2"/>
      </rPr>
      <t xml:space="preserve">：期初</t>
    </r>
    <r>
      <rPr>
        <sz val="9"/>
        <color rgb="FF333333"/>
        <rFont val="Arial"/>
        <family val="0"/>
        <charset val="1"/>
      </rPr>
      <t xml:space="preserve">2 + </t>
    </r>
    <r>
      <rPr>
        <sz val="9"/>
        <color rgb="FF333333"/>
        <rFont val="DejaVu Sans"/>
        <family val="2"/>
      </rPr>
      <t xml:space="preserve">入库</t>
    </r>
    <r>
      <rPr>
        <sz val="9"/>
        <color rgb="FF333333"/>
        <rFont val="Arial"/>
        <family val="0"/>
        <charset val="1"/>
      </rPr>
      <t xml:space="preserve">4 - </t>
    </r>
    <r>
      <rPr>
        <sz val="9"/>
        <color rgb="FF333333"/>
        <rFont val="DejaVu Sans"/>
        <family val="2"/>
      </rPr>
      <t xml:space="preserve">出库</t>
    </r>
    <r>
      <rPr>
        <sz val="9"/>
        <color rgb="FF333333"/>
        <rFont val="Arial"/>
        <family val="0"/>
        <charset val="1"/>
      </rPr>
      <t xml:space="preserve">3 = </t>
    </r>
    <r>
      <rPr>
        <sz val="9"/>
        <color rgb="FF333333"/>
        <rFont val="DejaVu Sans"/>
        <family val="2"/>
      </rPr>
      <t xml:space="preserve">当前库存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。但「装车已交付」</t>
    </r>
    <r>
      <rPr>
        <sz val="9"/>
        <color rgb="FF333333"/>
        <rFont val="Arial"/>
        <family val="0"/>
        <charset val="1"/>
      </rPr>
      <t xml:space="preserve">=4</t>
    </r>
    <r>
      <rPr>
        <sz val="9"/>
        <color rgb="FF333333"/>
        <rFont val="DejaVu Sans"/>
        <family val="2"/>
      </rPr>
      <t xml:space="preserve">，超出出库数量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，逻辑矛盾。建议核查该记录出库单。</t>
    </r>
  </si>
  <si>
    <t xml:space="preserve">❸</t>
  </si>
  <si>
    <t xml:space="preserve">重复记录已删除</t>
  </si>
  <si>
    <r>
      <rPr>
        <sz val="9"/>
        <color rgb="FF333333"/>
        <rFont val="DejaVu Sans"/>
        <family val="2"/>
      </rPr>
      <t xml:space="preserve">「</t>
    </r>
    <r>
      <rPr>
        <sz val="9"/>
        <color rgb="FF333333"/>
        <rFont val="Arial"/>
        <family val="0"/>
        <charset val="1"/>
      </rPr>
      <t xml:space="preserve">VAPOR </t>
    </r>
    <r>
      <rPr>
        <sz val="9"/>
        <color rgb="FF333333"/>
        <rFont val="DejaVu Sans"/>
        <family val="2"/>
      </rPr>
      <t xml:space="preserve">恒星 </t>
    </r>
    <r>
      <rPr>
        <sz val="9"/>
        <color rgb="FF333333"/>
        <rFont val="Arial"/>
        <family val="0"/>
        <charset val="1"/>
      </rPr>
      <t xml:space="preserve">XXL </t>
    </r>
    <r>
      <rPr>
        <sz val="9"/>
        <color rgb="FF333333"/>
        <rFont val="DejaVu Sans"/>
        <family val="2"/>
      </rPr>
      <t xml:space="preserve">补土升级 车架」在库存中心出现 </t>
    </r>
    <r>
      <rPr>
        <sz val="9"/>
        <color rgb="FF333333"/>
        <rFont val="Arial"/>
        <family val="0"/>
        <charset val="1"/>
      </rPr>
      <t xml:space="preserve">2 </t>
    </r>
    <r>
      <rPr>
        <sz val="9"/>
        <color rgb="FF333333"/>
        <rFont val="DejaVu Sans"/>
        <family val="2"/>
      </rPr>
      <t xml:space="preserve">次（行</t>
    </r>
    <r>
      <rPr>
        <sz val="9"/>
        <color rgb="FF333333"/>
        <rFont val="Arial"/>
        <family val="0"/>
        <charset val="1"/>
      </rPr>
      <t xml:space="preserve">122 </t>
    </r>
    <r>
      <rPr>
        <sz val="9"/>
        <color rgb="FF333333"/>
        <rFont val="DejaVu Sans"/>
        <family val="2"/>
      </rPr>
      <t xml:space="preserve">和 行</t>
    </r>
    <r>
      <rPr>
        <sz val="9"/>
        <color rgb="FF333333"/>
        <rFont val="Arial"/>
        <family val="0"/>
        <charset val="1"/>
      </rPr>
      <t xml:space="preserve">127</t>
    </r>
    <r>
      <rPr>
        <sz val="9"/>
        <color rgb="FF333333"/>
        <rFont val="DejaVu Sans"/>
        <family val="2"/>
      </rPr>
      <t xml:space="preserve">），数量相同。本表已去重，只保留 </t>
    </r>
    <r>
      <rPr>
        <sz val="9"/>
        <color rgb="FF333333"/>
        <rFont val="Arial"/>
        <family val="0"/>
        <charset val="1"/>
      </rPr>
      <t xml:space="preserve">1 </t>
    </r>
    <r>
      <rPr>
        <sz val="9"/>
        <color rgb="FF333333"/>
        <rFont val="DejaVu Sans"/>
        <family val="2"/>
      </rPr>
      <t xml:space="preserve">条。请在飞书原表修复。</t>
    </r>
  </si>
  <si>
    <t xml:space="preserve">❹</t>
  </si>
  <si>
    <r>
      <rPr>
        <b val="true"/>
        <sz val="9"/>
        <color rgb="FF0A192F"/>
        <rFont val="DejaVu Sans"/>
        <family val="2"/>
      </rPr>
      <t xml:space="preserve">电机 </t>
    </r>
    <r>
      <rPr>
        <b val="true"/>
        <sz val="9"/>
        <color rgb="FF0A192F"/>
        <rFont val="Arial"/>
        <family val="0"/>
        <charset val="1"/>
      </rPr>
      <t xml:space="preserve">M820 Pro </t>
    </r>
    <r>
      <rPr>
        <b val="true"/>
        <sz val="9"/>
        <color rgb="FF0A192F"/>
        <rFont val="DejaVu Sans"/>
        <family val="2"/>
      </rPr>
      <t xml:space="preserve">成本缺失</t>
    </r>
  </si>
  <si>
    <r>
      <rPr>
        <sz val="9"/>
        <color rgb="FF333333"/>
        <rFont val="DejaVu Sans"/>
        <family val="2"/>
      </rPr>
      <t xml:space="preserve">电机是电助力车最贵核心零部件（估计 </t>
    </r>
    <r>
      <rPr>
        <sz val="9"/>
        <color rgb="FF333333"/>
        <rFont val="Arial"/>
        <family val="0"/>
        <charset val="1"/>
      </rPr>
      <t xml:space="preserve">¥2000+</t>
    </r>
    <r>
      <rPr>
        <sz val="9"/>
        <color rgb="FF333333"/>
        <rFont val="DejaVu Sans"/>
        <family val="2"/>
      </rPr>
      <t xml:space="preserve">），成本字段为空。无成本 </t>
    </r>
    <r>
      <rPr>
        <sz val="9"/>
        <color rgb="FF333333"/>
        <rFont val="Arial"/>
        <family val="0"/>
        <charset val="1"/>
      </rPr>
      <t xml:space="preserve">= </t>
    </r>
    <r>
      <rPr>
        <sz val="9"/>
        <color rgb="FF333333"/>
        <rFont val="DejaVu Sans"/>
        <family val="2"/>
      </rPr>
      <t xml:space="preserve">无法计算 </t>
    </r>
    <r>
      <rPr>
        <sz val="9"/>
        <color rgb="FF333333"/>
        <rFont val="Arial"/>
        <family val="0"/>
        <charset val="1"/>
      </rPr>
      <t xml:space="preserve">BOM</t>
    </r>
    <r>
      <rPr>
        <sz val="9"/>
        <color rgb="FF333333"/>
        <rFont val="DejaVu Sans"/>
        <family val="2"/>
      </rPr>
      <t xml:space="preserve">，影响整车定价准确性。请尽快补录。</t>
    </r>
  </si>
  <si>
    <t xml:space="preserve">❺</t>
  </si>
  <si>
    <t xml:space="preserve">「旧曲柄」仍有库存</t>
  </si>
  <si>
    <r>
      <rPr>
        <sz val="9"/>
        <color rgb="FF333333"/>
        <rFont val="DejaVu Sans"/>
        <family val="2"/>
      </rPr>
      <t xml:space="preserve">「旧 曲柄 </t>
    </r>
    <r>
      <rPr>
        <sz val="9"/>
        <color rgb="FF333333"/>
        <rFont val="Arial"/>
        <family val="0"/>
        <charset val="1"/>
      </rPr>
      <t xml:space="preserve">M820 </t>
    </r>
    <r>
      <rPr>
        <sz val="9"/>
        <color rgb="FF333333"/>
        <rFont val="DejaVu Sans"/>
        <family val="2"/>
      </rPr>
      <t xml:space="preserve">碳 </t>
    </r>
    <r>
      <rPr>
        <sz val="9"/>
        <color rgb="FF333333"/>
        <rFont val="Arial"/>
        <family val="0"/>
        <charset val="1"/>
      </rPr>
      <t xml:space="preserve">165</t>
    </r>
    <r>
      <rPr>
        <sz val="9"/>
        <color rgb="FF333333"/>
        <rFont val="DejaVu Sans"/>
        <family val="2"/>
      </rPr>
      <t xml:space="preserve">」（</t>
    </r>
    <r>
      <rPr>
        <sz val="9"/>
        <color rgb="FF333333"/>
        <rFont val="Arial"/>
        <family val="0"/>
        <charset val="1"/>
      </rPr>
      <t xml:space="preserve">17</t>
    </r>
    <r>
      <rPr>
        <sz val="9"/>
        <color rgb="FF333333"/>
        <rFont val="DejaVu Sans"/>
        <family val="2"/>
      </rPr>
      <t xml:space="preserve">件）和「旧 曲柄 </t>
    </r>
    <r>
      <rPr>
        <sz val="9"/>
        <color rgb="FF333333"/>
        <rFont val="Arial"/>
        <family val="0"/>
        <charset val="1"/>
      </rPr>
      <t xml:space="preserve">M820 </t>
    </r>
    <r>
      <rPr>
        <sz val="9"/>
        <color rgb="FF333333"/>
        <rFont val="DejaVu Sans"/>
        <family val="2"/>
      </rPr>
      <t xml:space="preserve">碳 </t>
    </r>
    <r>
      <rPr>
        <sz val="9"/>
        <color rgb="FF333333"/>
        <rFont val="Arial"/>
        <family val="0"/>
        <charset val="1"/>
      </rPr>
      <t xml:space="preserve">170</t>
    </r>
    <r>
      <rPr>
        <sz val="9"/>
        <color rgb="FF333333"/>
        <rFont val="DejaVu Sans"/>
        <family val="2"/>
      </rPr>
      <t xml:space="preserve">」（</t>
    </r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DejaVu Sans"/>
        <family val="2"/>
      </rPr>
      <t xml:space="preserve">件）仍有库存数量，但状态为已退役 </t>
    </r>
    <r>
      <rPr>
        <sz val="9"/>
        <color rgb="FF333333"/>
        <rFont val="Arial"/>
        <family val="0"/>
        <charset val="1"/>
      </rPr>
      <t xml:space="preserve">SKU</t>
    </r>
    <r>
      <rPr>
        <sz val="9"/>
        <color rgb="FF333333"/>
        <rFont val="DejaVu Sans"/>
        <family val="2"/>
      </rPr>
      <t xml:space="preserve">，成本也未录入。是否为实际库存？需盘点确认。</t>
    </r>
  </si>
  <si>
    <t xml:space="preserve">❻</t>
  </si>
  <si>
    <r>
      <rPr>
        <b val="true"/>
        <sz val="9"/>
        <color rgb="FF0A192F"/>
        <rFont val="DejaVu Sans"/>
        <family val="2"/>
      </rPr>
      <t xml:space="preserve">展厅整车（</t>
    </r>
    <r>
      <rPr>
        <b val="true"/>
        <sz val="9"/>
        <color rgb="FF0A192F"/>
        <rFont val="Arial"/>
        <family val="0"/>
        <charset val="1"/>
      </rPr>
      <t xml:space="preserve">6</t>
    </r>
    <r>
      <rPr>
        <b val="true"/>
        <sz val="9"/>
        <color rgb="FF0A192F"/>
        <rFont val="DejaVu Sans"/>
        <family val="2"/>
      </rPr>
      <t xml:space="preserve">台）混入车架库存</t>
    </r>
  </si>
  <si>
    <r>
      <rPr>
        <sz val="9"/>
        <color rgb="FF333333"/>
        <rFont val="DejaVu Sans"/>
        <family val="2"/>
      </rPr>
      <t xml:space="preserve">共 </t>
    </r>
    <r>
      <rPr>
        <sz val="9"/>
        <color rgb="FF333333"/>
        <rFont val="Arial"/>
        <family val="0"/>
        <charset val="1"/>
      </rPr>
      <t xml:space="preserve">6 </t>
    </r>
    <r>
      <rPr>
        <sz val="9"/>
        <color rgb="FF333333"/>
        <rFont val="DejaVu Sans"/>
        <family val="2"/>
      </rPr>
      <t xml:space="preserve">台展厅整车（</t>
    </r>
    <r>
      <rPr>
        <sz val="9"/>
        <color rgb="FF333333"/>
        <rFont val="Arial"/>
        <family val="0"/>
        <charset val="1"/>
      </rPr>
      <t xml:space="preserve">VAPOR SL </t>
    </r>
    <r>
      <rPr>
        <sz val="9"/>
        <color rgb="FF333333"/>
        <rFont val="DejaVu Sans"/>
        <family val="2"/>
      </rPr>
      <t xml:space="preserve">月光</t>
    </r>
    <r>
      <rPr>
        <sz val="9"/>
        <color rgb="FF333333"/>
        <rFont val="Arial"/>
        <family val="0"/>
        <charset val="1"/>
      </rPr>
      <t xml:space="preserve">S</t>
    </r>
    <r>
      <rPr>
        <sz val="9"/>
        <color rgb="FF333333"/>
        <rFont val="DejaVu Sans"/>
        <family val="2"/>
      </rPr>
      <t xml:space="preserve">、冰川</t>
    </r>
    <r>
      <rPr>
        <sz val="9"/>
        <color rgb="FF333333"/>
        <rFont val="Arial"/>
        <family val="0"/>
        <charset val="1"/>
      </rPr>
      <t xml:space="preserve">L</t>
    </r>
    <r>
      <rPr>
        <sz val="9"/>
        <color rgb="FF333333"/>
        <rFont val="DejaVu Sans"/>
        <family val="2"/>
      </rPr>
      <t xml:space="preserve">、恒星</t>
    </r>
    <r>
      <rPr>
        <sz val="9"/>
        <color rgb="FF333333"/>
        <rFont val="Arial"/>
        <family val="0"/>
        <charset val="1"/>
      </rPr>
      <t xml:space="preserve">M/L</t>
    </r>
    <r>
      <rPr>
        <sz val="9"/>
        <color rgb="FF333333"/>
        <rFont val="DejaVu Sans"/>
        <family val="2"/>
      </rPr>
      <t xml:space="preserve">、月光</t>
    </r>
    <r>
      <rPr>
        <sz val="9"/>
        <color rgb="FF333333"/>
        <rFont val="Arial"/>
        <family val="0"/>
        <charset val="1"/>
      </rPr>
      <t xml:space="preserve">M</t>
    </r>
    <r>
      <rPr>
        <sz val="9"/>
        <color rgb="FF333333"/>
        <rFont val="DejaVu Sans"/>
        <family val="2"/>
      </rPr>
      <t xml:space="preserve">、夜空</t>
    </r>
    <r>
      <rPr>
        <sz val="9"/>
        <color rgb="FF333333"/>
        <rFont val="Arial"/>
        <family val="0"/>
        <charset val="1"/>
      </rPr>
      <t xml:space="preserve">S</t>
    </r>
    <r>
      <rPr>
        <sz val="9"/>
        <color rgb="FF333333"/>
        <rFont val="DejaVu Sans"/>
        <family val="2"/>
      </rPr>
      <t xml:space="preserve">）混在车架库存表中。展厅展示车不是可售库存，应独立追踪「在展状态」，否则虚增可售数量。</t>
    </r>
  </si>
  <si>
    <t xml:space="preserve">❼</t>
  </si>
  <si>
    <t xml:space="preserve">铝车大量补土升级车架库存</t>
  </si>
  <si>
    <r>
      <rPr>
        <sz val="9"/>
        <color rgb="FF333333"/>
        <rFont val="DejaVu Sans"/>
        <family val="2"/>
      </rPr>
      <t xml:space="preserve">铝车有大量「补土升级」版本库存（如 夜空</t>
    </r>
    <r>
      <rPr>
        <sz val="9"/>
        <color rgb="FF333333"/>
        <rFont val="Arial"/>
        <family val="0"/>
        <charset val="1"/>
      </rPr>
      <t xml:space="preserve">M </t>
    </r>
    <r>
      <rPr>
        <sz val="9"/>
        <color rgb="FF333333"/>
        <rFont val="DejaVu Sans"/>
        <family val="2"/>
      </rPr>
      <t xml:space="preserve">补土升级</t>
    </r>
    <r>
      <rPr>
        <sz val="9"/>
        <color rgb="FF333333"/>
        <rFont val="Arial"/>
        <family val="0"/>
        <charset val="1"/>
      </rPr>
      <t xml:space="preserve">27</t>
    </r>
    <r>
      <rPr>
        <sz val="9"/>
        <color rgb="FF333333"/>
        <rFont val="DejaVu Sans"/>
        <family val="2"/>
      </rPr>
      <t xml:space="preserve">台、威尼斯蓝</t>
    </r>
    <r>
      <rPr>
        <sz val="9"/>
        <color rgb="FF333333"/>
        <rFont val="Arial"/>
        <family val="0"/>
        <charset val="1"/>
      </rPr>
      <t xml:space="preserve">M </t>
    </r>
    <r>
      <rPr>
        <sz val="9"/>
        <color rgb="FF333333"/>
        <rFont val="DejaVu Sans"/>
        <family val="2"/>
      </rPr>
      <t xml:space="preserve">补土升级</t>
    </r>
    <r>
      <rPr>
        <sz val="9"/>
        <color rgb="FF333333"/>
        <rFont val="Arial"/>
        <family val="0"/>
        <charset val="1"/>
      </rPr>
      <t xml:space="preserve">27</t>
    </r>
    <r>
      <rPr>
        <sz val="9"/>
        <color rgb="FF333333"/>
        <rFont val="DejaVu Sans"/>
        <family val="2"/>
      </rPr>
      <t xml:space="preserve">台、月光</t>
    </r>
    <r>
      <rPr>
        <sz val="9"/>
        <color rgb="FF333333"/>
        <rFont val="Arial"/>
        <family val="0"/>
        <charset val="1"/>
      </rPr>
      <t xml:space="preserve">M </t>
    </r>
    <r>
      <rPr>
        <sz val="9"/>
        <color rgb="FF333333"/>
        <rFont val="DejaVu Sans"/>
        <family val="2"/>
      </rPr>
      <t xml:space="preserve">补土升级</t>
    </r>
    <r>
      <rPr>
        <sz val="9"/>
        <color rgb="FF333333"/>
        <rFont val="Arial"/>
        <family val="0"/>
        <charset val="1"/>
      </rPr>
      <t xml:space="preserve">18</t>
    </r>
    <r>
      <rPr>
        <sz val="9"/>
        <color rgb="FF333333"/>
        <rFont val="DejaVu Sans"/>
        <family val="2"/>
      </rPr>
      <t xml:space="preserve">台），共计数量远超原版。补土升级版是否已完成定价更新？是否有匹配订单？</t>
    </r>
  </si>
  <si>
    <r>
      <rPr>
        <b val="true"/>
        <sz val="16"/>
        <color rgb="FFFFFFFF"/>
        <rFont val="Arial"/>
        <family val="0"/>
        <charset val="1"/>
      </rPr>
      <t xml:space="preserve">VAPOR SL · </t>
    </r>
    <r>
      <rPr>
        <b val="true"/>
        <sz val="16"/>
        <color rgb="FFFFFFFF"/>
        <rFont val="DejaVu Sans"/>
        <family val="2"/>
      </rPr>
      <t xml:space="preserve">碳纤维车架库存</t>
    </r>
  </si>
  <si>
    <r>
      <rPr>
        <i val="true"/>
        <sz val="9"/>
        <color rgb="FFFF4F00"/>
        <rFont val="DejaVu Sans"/>
        <family val="2"/>
      </rPr>
      <t xml:space="preserve">当前库存合计：</t>
    </r>
    <r>
      <rPr>
        <i val="true"/>
        <sz val="9"/>
        <color rgb="FFFF4F00"/>
        <rFont val="Arial"/>
        <family val="0"/>
        <charset val="1"/>
      </rPr>
      <t xml:space="preserve">63 </t>
    </r>
    <r>
      <rPr>
        <i val="true"/>
        <sz val="9"/>
        <color rgb="FFFF4F00"/>
        <rFont val="DejaVu Sans"/>
        <family val="2"/>
      </rPr>
      <t xml:space="preserve">台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有库存：</t>
    </r>
    <r>
      <rPr>
        <i val="true"/>
        <sz val="9"/>
        <color rgb="FFFF4F00"/>
        <rFont val="Arial"/>
        <family val="0"/>
        <charset val="1"/>
      </rPr>
      <t xml:space="preserve">25 </t>
    </r>
    <r>
      <rPr>
        <i val="true"/>
        <sz val="9"/>
        <color rgb="FFFF4F00"/>
        <rFont val="DejaVu Sans"/>
        <family val="2"/>
      </rPr>
      <t xml:space="preserve">种 </t>
    </r>
    <r>
      <rPr>
        <i val="true"/>
        <sz val="9"/>
        <color rgb="FFFF4F00"/>
        <rFont val="Arial"/>
        <family val="0"/>
        <charset val="1"/>
      </rPr>
      <t xml:space="preserve">SKU  ·  </t>
    </r>
    <r>
      <rPr>
        <i val="true"/>
        <sz val="9"/>
        <color rgb="FFFF4F00"/>
        <rFont val="DejaVu Sans"/>
        <family val="2"/>
      </rPr>
      <t xml:space="preserve">零库存（灰色行）：</t>
    </r>
    <r>
      <rPr>
        <i val="true"/>
        <sz val="9"/>
        <color rgb="FFFF4F00"/>
        <rFont val="Arial"/>
        <family val="0"/>
        <charset val="1"/>
      </rPr>
      <t xml:space="preserve">12 </t>
    </r>
    <r>
      <rPr>
        <i val="true"/>
        <sz val="9"/>
        <color rgb="FFFF4F00"/>
        <rFont val="DejaVu Sans"/>
        <family val="2"/>
      </rPr>
      <t xml:space="preserve">种</t>
    </r>
  </si>
  <si>
    <t xml:space="preserve">颜色</t>
  </si>
  <si>
    <t xml:space="preserve">尺码</t>
  </si>
  <si>
    <t xml:space="preserve">品类</t>
  </si>
  <si>
    <t xml:space="preserve">期初数量</t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</si>
  <si>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入库</t>
    </r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</si>
  <si>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出库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装车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</si>
  <si>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装车已交付</t>
  </si>
  <si>
    <t xml:space="preserve">已装车待交付</t>
  </si>
  <si>
    <t xml:space="preserve">装车中</t>
  </si>
  <si>
    <t xml:space="preserve">车架异常出库</t>
  </si>
  <si>
    <t xml:space="preserve">当前库存 ▸</t>
  </si>
  <si>
    <t xml:space="preserve">M</t>
  </si>
  <si>
    <t xml:space="preserve">车架</t>
  </si>
  <si>
    <t xml:space="preserve">XL</t>
  </si>
  <si>
    <t xml:space="preserve">冰川</t>
  </si>
  <si>
    <t xml:space="preserve">S</t>
  </si>
  <si>
    <t xml:space="preserve">L</t>
  </si>
  <si>
    <r>
      <rPr>
        <sz val="10"/>
        <color rgb="FF333333"/>
        <rFont val="DejaVu Sans"/>
        <family val="2"/>
      </rPr>
      <t xml:space="preserve">整车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展厅</t>
    </r>
    <r>
      <rPr>
        <sz val="10"/>
        <color rgb="FF333333"/>
        <rFont val="Arial"/>
        <family val="0"/>
        <charset val="1"/>
      </rPr>
      <t xml:space="preserve">)</t>
    </r>
  </si>
  <si>
    <t xml:space="preserve">夜空</t>
  </si>
  <si>
    <r>
      <rPr>
        <sz val="10"/>
        <color rgb="FF555555"/>
        <rFont val="DejaVu Sans"/>
        <family val="2"/>
      </rPr>
      <t xml:space="preserve">整车</t>
    </r>
    <r>
      <rPr>
        <sz val="10"/>
        <color rgb="FF555555"/>
        <rFont val="Arial"/>
        <family val="0"/>
        <charset val="1"/>
      </rPr>
      <t xml:space="preserve">(</t>
    </r>
    <r>
      <rPr>
        <sz val="10"/>
        <color rgb="FF555555"/>
        <rFont val="DejaVu Sans"/>
        <family val="2"/>
      </rPr>
      <t xml:space="preserve">展厅</t>
    </r>
    <r>
      <rPr>
        <sz val="10"/>
        <color rgb="FF555555"/>
        <rFont val="Arial"/>
        <family val="0"/>
        <charset val="1"/>
      </rPr>
      <t xml:space="preserve">)</t>
    </r>
  </si>
  <si>
    <t xml:space="preserve">恒星</t>
  </si>
  <si>
    <r>
      <rPr>
        <sz val="10"/>
        <color rgb="FF333333"/>
        <rFont val="DejaVu Sans"/>
        <family val="2"/>
      </rPr>
      <t xml:space="preserve">新星尘 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DejaVu Sans"/>
        <family val="2"/>
      </rPr>
      <t xml:space="preserve">粉</t>
    </r>
    <r>
      <rPr>
        <sz val="10"/>
        <color rgb="FF333333"/>
        <rFont val="Arial"/>
        <family val="0"/>
        <charset val="1"/>
      </rPr>
      <t xml:space="preserve">)</t>
    </r>
  </si>
  <si>
    <r>
      <rPr>
        <sz val="10"/>
        <color rgb="FF555555"/>
        <rFont val="DejaVu Sans"/>
        <family val="2"/>
      </rPr>
      <t xml:space="preserve">新星尘 </t>
    </r>
    <r>
      <rPr>
        <sz val="10"/>
        <color rgb="FF555555"/>
        <rFont val="Arial"/>
        <family val="0"/>
        <charset val="1"/>
      </rPr>
      <t xml:space="preserve">(</t>
    </r>
    <r>
      <rPr>
        <sz val="10"/>
        <color rgb="FF555555"/>
        <rFont val="DejaVu Sans"/>
        <family val="2"/>
      </rPr>
      <t xml:space="preserve">粉</t>
    </r>
    <r>
      <rPr>
        <sz val="10"/>
        <color rgb="FF555555"/>
        <rFont val="Arial"/>
        <family val="0"/>
        <charset val="1"/>
      </rPr>
      <t xml:space="preserve">)</t>
    </r>
  </si>
  <si>
    <t xml:space="preserve">星尘</t>
  </si>
  <si>
    <t xml:space="preserve">月光</t>
  </si>
  <si>
    <t xml:space="preserve">海洋</t>
  </si>
  <si>
    <t xml:space="preserve">合 计</t>
  </si>
  <si>
    <r>
      <rPr>
        <i val="true"/>
        <sz val="8"/>
        <color rgb="FF555555"/>
        <rFont val="Arial"/>
        <family val="0"/>
        <charset val="1"/>
      </rPr>
      <t xml:space="preserve">★ = </t>
    </r>
    <r>
      <rPr>
        <i val="true"/>
        <sz val="8"/>
        <color rgb="FF555555"/>
        <rFont val="DejaVu Sans"/>
        <family val="2"/>
      </rPr>
      <t xml:space="preserve">补土升级版本   </t>
    </r>
    <r>
      <rPr>
        <i val="true"/>
        <sz val="8"/>
        <color rgb="FF555555"/>
        <rFont val="Arial"/>
        <family val="0"/>
        <charset val="1"/>
      </rPr>
      <t xml:space="preserve">|   </t>
    </r>
    <r>
      <rPr>
        <i val="true"/>
        <sz val="8"/>
        <color rgb="FF555555"/>
        <rFont val="DejaVu Sans"/>
        <family val="2"/>
      </rPr>
      <t xml:space="preserve">灰色行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当前零库存   </t>
    </r>
    <r>
      <rPr>
        <i val="true"/>
        <sz val="8"/>
        <color rgb="FF555555"/>
        <rFont val="Arial"/>
        <family val="0"/>
        <charset val="1"/>
      </rPr>
      <t xml:space="preserve">|   </t>
    </r>
    <r>
      <rPr>
        <i val="true"/>
        <sz val="8"/>
        <color rgb="FF555555"/>
        <rFont val="DejaVu Sans"/>
        <family val="2"/>
      </rPr>
      <t xml:space="preserve">橙色行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有异常出库记录   </t>
    </r>
    <r>
      <rPr>
        <i val="true"/>
        <sz val="8"/>
        <color rgb="FF555555"/>
        <rFont val="Arial"/>
        <family val="0"/>
        <charset val="1"/>
      </rPr>
      <t xml:space="preserve">|   </t>
    </r>
    <r>
      <rPr>
        <i val="true"/>
        <sz val="8"/>
        <color rgb="FF555555"/>
        <rFont val="DejaVu Sans"/>
        <family val="2"/>
      </rPr>
      <t xml:space="preserve">展厅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展厅展示车（不计入可售库存）</t>
    </r>
  </si>
  <si>
    <r>
      <rPr>
        <b val="true"/>
        <sz val="16"/>
        <color rgb="FFFFFFFF"/>
        <rFont val="Arial"/>
        <family val="0"/>
        <charset val="1"/>
      </rPr>
      <t xml:space="preserve">VAPOR · </t>
    </r>
    <r>
      <rPr>
        <b val="true"/>
        <sz val="16"/>
        <color rgb="FFFFFFFF"/>
        <rFont val="DejaVu Sans"/>
        <family val="2"/>
      </rPr>
      <t xml:space="preserve">铝合金车架库存</t>
    </r>
  </si>
  <si>
    <r>
      <rPr>
        <i val="true"/>
        <sz val="9"/>
        <color rgb="FFFF4F00"/>
        <rFont val="DejaVu Sans"/>
        <family val="2"/>
      </rPr>
      <t xml:space="preserve">当前库存合计：</t>
    </r>
    <r>
      <rPr>
        <i val="true"/>
        <sz val="9"/>
        <color rgb="FFFF4F00"/>
        <rFont val="Arial"/>
        <family val="0"/>
        <charset val="1"/>
      </rPr>
      <t xml:space="preserve">205 </t>
    </r>
    <r>
      <rPr>
        <i val="true"/>
        <sz val="9"/>
        <color rgb="FFFF4F00"/>
        <rFont val="DejaVu Sans"/>
        <family val="2"/>
      </rPr>
      <t xml:space="preserve">台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有活动</t>
    </r>
    <r>
      <rPr>
        <i val="true"/>
        <sz val="9"/>
        <color rgb="FFFF4F00"/>
        <rFont val="Arial"/>
        <family val="0"/>
        <charset val="1"/>
      </rPr>
      <t xml:space="preserve">SKU</t>
    </r>
    <r>
      <rPr>
        <i val="true"/>
        <sz val="9"/>
        <color rgb="FFFF4F00"/>
        <rFont val="DejaVu Sans"/>
        <family val="2"/>
      </rPr>
      <t xml:space="preserve">：</t>
    </r>
    <r>
      <rPr>
        <i val="true"/>
        <sz val="9"/>
        <color rgb="FFFF4F00"/>
        <rFont val="Arial"/>
        <family val="0"/>
        <charset val="1"/>
      </rPr>
      <t xml:space="preserve">34 </t>
    </r>
    <r>
      <rPr>
        <i val="true"/>
        <sz val="9"/>
        <color rgb="FFFF4F00"/>
        <rFont val="DejaVu Sans"/>
        <family val="2"/>
      </rPr>
      <t xml:space="preserve">种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已删除 </t>
    </r>
    <r>
      <rPr>
        <i val="true"/>
        <sz val="9"/>
        <color rgb="FFFF4F00"/>
        <rFont val="Arial"/>
        <family val="0"/>
        <charset val="1"/>
      </rPr>
      <t xml:space="preserve">0 </t>
    </r>
    <r>
      <rPr>
        <i val="true"/>
        <sz val="9"/>
        <color rgb="FFFF4F00"/>
        <rFont val="DejaVu Sans"/>
        <family val="2"/>
      </rPr>
      <t xml:space="preserve">条零库存零活动条目</t>
    </r>
  </si>
  <si>
    <t xml:space="preserve">备注</t>
  </si>
  <si>
    <r>
      <rPr>
        <b val="true"/>
        <sz val="9"/>
        <color rgb="FFFFFFFF"/>
        <rFont val="Arial"/>
        <family val="0"/>
        <charset val="1"/>
      </rPr>
      <t xml:space="preserve">2026</t>
    </r>
    <r>
      <rPr>
        <b val="true"/>
        <sz val="9"/>
        <color rgb="FFFFFFFF"/>
        <rFont val="DejaVu Sans"/>
        <family val="2"/>
      </rPr>
      <t xml:space="preserve">出库</t>
    </r>
  </si>
  <si>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旧字段 </t>
    </r>
    <r>
      <rPr>
        <b val="true"/>
        <sz val="9"/>
        <color rgb="FFFFFFFF"/>
        <rFont val="Arial"/>
        <family val="0"/>
        <charset val="1"/>
      </rPr>
      <t xml:space="preserve">col5)</t>
    </r>
  </si>
  <si>
    <r>
      <rPr>
        <b val="true"/>
        <sz val="9"/>
        <color rgb="FFFFFFFF"/>
        <rFont val="DejaVu Sans"/>
        <family val="2"/>
      </rPr>
      <t xml:space="preserve">差值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仅校验用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</si>
  <si>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补土升级</t>
  </si>
  <si>
    <t xml:space="preserve">威尼斯蓝</t>
  </si>
  <si>
    <t xml:space="preserve">XXL</t>
  </si>
  <si>
    <t xml:space="preserve">雨林</t>
  </si>
  <si>
    <t xml:space="preserve">雪山</t>
  </si>
  <si>
    <r>
      <rPr>
        <i val="true"/>
        <sz val="8"/>
        <color rgb="FF555555"/>
        <rFont val="DejaVu Sans"/>
        <family val="2"/>
      </rPr>
      <t xml:space="preserve">橙色行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补土升级版本库存≥</t>
    </r>
    <r>
      <rPr>
        <i val="true"/>
        <sz val="8"/>
        <color rgb="FF555555"/>
        <rFont val="Arial"/>
        <family val="0"/>
        <charset val="1"/>
      </rPr>
      <t xml:space="preserve">20</t>
    </r>
    <r>
      <rPr>
        <i val="true"/>
        <sz val="8"/>
        <color rgb="FF555555"/>
        <rFont val="DejaVu Sans"/>
        <family val="2"/>
      </rPr>
      <t xml:space="preserve">台（疑似积压）  </t>
    </r>
    <r>
      <rPr>
        <i val="true"/>
        <sz val="8"/>
        <color rgb="FF555555"/>
        <rFont val="Arial"/>
        <family val="0"/>
        <charset val="1"/>
      </rPr>
      <t xml:space="preserve">|  </t>
    </r>
    <r>
      <rPr>
        <i val="true"/>
        <sz val="8"/>
        <color rgb="FF555555"/>
        <rFont val="DejaVu Sans"/>
        <family val="2"/>
      </rPr>
      <t xml:space="preserve">灰色行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当前零库存  </t>
    </r>
    <r>
      <rPr>
        <i val="true"/>
        <sz val="8"/>
        <color rgb="FF555555"/>
        <rFont val="Arial"/>
        <family val="0"/>
        <charset val="1"/>
      </rPr>
      <t xml:space="preserve">|  col5/col6 </t>
    </r>
    <r>
      <rPr>
        <i val="true"/>
        <sz val="8"/>
        <color rgb="FF555555"/>
        <rFont val="DejaVu Sans"/>
        <family val="2"/>
      </rPr>
      <t xml:space="preserve">差值列仅用于校验，正常应为</t>
    </r>
    <r>
      <rPr>
        <i val="true"/>
        <sz val="8"/>
        <color rgb="FF555555"/>
        <rFont val="Arial"/>
        <family val="0"/>
        <charset val="1"/>
      </rPr>
      <t xml:space="preserve">0</t>
    </r>
  </si>
  <si>
    <t xml:space="preserve">电助力共用零部件库存</t>
  </si>
  <si>
    <r>
      <rPr>
        <i val="true"/>
        <sz val="9"/>
        <color rgb="FFFF4F00"/>
        <rFont val="DejaVu Sans"/>
        <family val="2"/>
      </rPr>
      <t xml:space="preserve">有库存零部件：</t>
    </r>
    <r>
      <rPr>
        <i val="true"/>
        <sz val="9"/>
        <color rgb="FFFF4F00"/>
        <rFont val="Arial"/>
        <family val="0"/>
        <charset val="1"/>
      </rPr>
      <t xml:space="preserve">27 </t>
    </r>
    <r>
      <rPr>
        <i val="true"/>
        <sz val="9"/>
        <color rgb="FFFF4F00"/>
        <rFont val="DejaVu Sans"/>
        <family val="2"/>
      </rPr>
      <t xml:space="preserve">种  </t>
    </r>
    <r>
      <rPr>
        <i val="true"/>
        <sz val="9"/>
        <color rgb="FFFF4F00"/>
        <rFont val="Arial"/>
        <family val="0"/>
        <charset val="1"/>
      </rPr>
      <t xml:space="preserve">·  </t>
    </r>
    <r>
      <rPr>
        <i val="true"/>
        <sz val="9"/>
        <color rgb="FFFF4F00"/>
        <rFont val="DejaVu Sans"/>
        <family val="2"/>
      </rPr>
      <t xml:space="preserve">成本缺失（⚠️）：</t>
    </r>
    <r>
      <rPr>
        <i val="true"/>
        <sz val="9"/>
        <color rgb="FFFF4F00"/>
        <rFont val="Arial"/>
        <family val="0"/>
        <charset val="1"/>
      </rPr>
      <t xml:space="preserve">13 </t>
    </r>
    <r>
      <rPr>
        <i val="true"/>
        <sz val="9"/>
        <color rgb="FFFF4F00"/>
        <rFont val="DejaVu Sans"/>
        <family val="2"/>
      </rPr>
      <t xml:space="preserve">种  </t>
    </r>
    <r>
      <rPr>
        <i val="true"/>
        <sz val="9"/>
        <color rgb="FFFF4F00"/>
        <rFont val="Arial"/>
        <family val="0"/>
        <charset val="1"/>
      </rPr>
      <t xml:space="preserve">·  VAPOR SL/</t>
    </r>
    <r>
      <rPr>
        <i val="true"/>
        <sz val="9"/>
        <color rgb="FFFF4F00"/>
        <rFont val="DejaVu Sans"/>
        <family val="2"/>
      </rPr>
      <t xml:space="preserve">铝 共用同一零部件池</t>
    </r>
  </si>
  <si>
    <t xml:space="preserve">零部件名称</t>
  </si>
  <si>
    <t xml:space="preserve">分类</t>
  </si>
  <si>
    <t xml:space="preserve">单价成本</t>
  </si>
  <si>
    <r>
      <rPr>
        <b val="true"/>
        <sz val="9"/>
        <color rgb="FFFFFFFF"/>
        <rFont val="DejaVu Sans"/>
        <family val="2"/>
      </rPr>
      <t xml:space="preserve">库存价值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DejaVu Sans"/>
        <family val="2"/>
      </rPr>
      <t xml:space="preserve">估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</si>
  <si>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sz val="10"/>
        <color rgb="FFFF4F00"/>
        <rFont val="DejaVu Sans"/>
        <family val="2"/>
      </rPr>
      <t xml:space="preserve">电机 </t>
    </r>
    <r>
      <rPr>
        <sz val="10"/>
        <color rgb="FFFF4F00"/>
        <rFont val="Arial"/>
        <family val="0"/>
        <charset val="1"/>
      </rPr>
      <t xml:space="preserve">M820 Pro</t>
    </r>
  </si>
  <si>
    <t xml:space="preserve">电机</t>
  </si>
  <si>
    <r>
      <rPr>
        <i val="true"/>
        <sz val="9"/>
        <color rgb="FFFF4F00"/>
        <rFont val="DejaVu Sans"/>
        <family val="2"/>
      </rPr>
      <t xml:space="preserve">⚠️ 成本未录入，无法计算</t>
    </r>
    <r>
      <rPr>
        <i val="true"/>
        <sz val="9"/>
        <color rgb="FFFF4F00"/>
        <rFont val="Arial"/>
        <family val="0"/>
        <charset val="1"/>
      </rPr>
      <t xml:space="preserve">BOM</t>
    </r>
  </si>
  <si>
    <r>
      <rPr>
        <sz val="10"/>
        <color rgb="FF333333"/>
        <rFont val="DejaVu Sans"/>
        <family val="2"/>
      </rPr>
      <t xml:space="preserve">电池 </t>
    </r>
    <r>
      <rPr>
        <sz val="10"/>
        <color rgb="FF333333"/>
        <rFont val="Arial"/>
        <family val="0"/>
        <charset val="1"/>
      </rPr>
      <t xml:space="preserve">342Wh  </t>
    </r>
    <r>
      <rPr>
        <sz val="10"/>
        <color rgb="FF333333"/>
        <rFont val="DejaVu Sans"/>
        <family val="2"/>
      </rPr>
      <t xml:space="preserve">巨龙</t>
    </r>
  </si>
  <si>
    <t xml:space="preserve">电池</t>
  </si>
  <si>
    <r>
      <rPr>
        <sz val="10"/>
        <color rgb="FF333333"/>
        <rFont val="DejaVu Sans"/>
        <family val="2"/>
      </rPr>
      <t xml:space="preserve">电池 </t>
    </r>
    <r>
      <rPr>
        <sz val="10"/>
        <color rgb="FF333333"/>
        <rFont val="Arial"/>
        <family val="0"/>
        <charset val="1"/>
      </rPr>
      <t xml:space="preserve">417Wh</t>
    </r>
  </si>
  <si>
    <r>
      <rPr>
        <sz val="10"/>
        <color rgb="FFFF4F00"/>
        <rFont val="DejaVu Sans"/>
        <family val="2"/>
      </rPr>
      <t xml:space="preserve">充电器 </t>
    </r>
    <r>
      <rPr>
        <sz val="10"/>
        <color rgb="FFFF4F00"/>
        <rFont val="Arial"/>
        <family val="0"/>
        <charset val="1"/>
      </rPr>
      <t xml:space="preserve">6A</t>
    </r>
    <r>
      <rPr>
        <sz val="10"/>
        <color rgb="FFFF4F00"/>
        <rFont val="DejaVu Sans"/>
        <family val="2"/>
      </rPr>
      <t xml:space="preserve">快充</t>
    </r>
  </si>
  <si>
    <t xml:space="preserve">充电器</t>
  </si>
  <si>
    <r>
      <rPr>
        <sz val="10"/>
        <color rgb="FF555555"/>
        <rFont val="DejaVu Sans"/>
        <family val="2"/>
      </rPr>
      <t xml:space="preserve">充电器 </t>
    </r>
    <r>
      <rPr>
        <sz val="10"/>
        <color rgb="FF555555"/>
        <rFont val="Arial"/>
        <family val="0"/>
        <charset val="1"/>
      </rPr>
      <t xml:space="preserve">4A</t>
    </r>
    <r>
      <rPr>
        <sz val="10"/>
        <color rgb="FF555555"/>
        <rFont val="DejaVu Sans"/>
        <family val="2"/>
      </rPr>
      <t xml:space="preserve">快充</t>
    </r>
  </si>
  <si>
    <t xml:space="preserve">库存归零，是否停止采购？</t>
  </si>
  <si>
    <r>
      <rPr>
        <sz val="10"/>
        <color rgb="FFFF4F00"/>
        <rFont val="DejaVu Sans"/>
        <family val="2"/>
      </rPr>
      <t xml:space="preserve">威狐</t>
    </r>
    <r>
      <rPr>
        <sz val="10"/>
        <color rgb="FFFF4F00"/>
        <rFont val="Arial"/>
        <family val="0"/>
        <charset val="1"/>
      </rPr>
      <t xml:space="preserve">DM08C&amp;RM05 </t>
    </r>
    <r>
      <rPr>
        <sz val="10"/>
        <color rgb="FFFF4F00"/>
        <rFont val="DejaVu Sans"/>
        <family val="2"/>
      </rPr>
      <t xml:space="preserve">弯把仪表</t>
    </r>
  </si>
  <si>
    <t xml:space="preserve">仪表</t>
  </si>
  <si>
    <r>
      <rPr>
        <sz val="10"/>
        <color rgb="FFFF4F00"/>
        <rFont val="DejaVu Sans"/>
        <family val="2"/>
      </rPr>
      <t xml:space="preserve">威狐</t>
    </r>
    <r>
      <rPr>
        <sz val="10"/>
        <color rgb="FFFF4F00"/>
        <rFont val="Arial"/>
        <family val="0"/>
        <charset val="1"/>
      </rPr>
      <t xml:space="preserve">DM08C&amp;RM01 </t>
    </r>
    <r>
      <rPr>
        <sz val="10"/>
        <color rgb="FFFF4F00"/>
        <rFont val="DejaVu Sans"/>
        <family val="2"/>
      </rPr>
      <t xml:space="preserve">平把仪表</t>
    </r>
  </si>
  <si>
    <t xml:space="preserve">直把电变指拨</t>
  </si>
  <si>
    <t xml:space="preserve">套件组</t>
  </si>
  <si>
    <r>
      <rPr>
        <sz val="10"/>
        <color rgb="FF333333"/>
        <rFont val="DejaVu Sans"/>
        <family val="2"/>
      </rPr>
      <t xml:space="preserve">盘片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铝合金 </t>
    </r>
    <r>
      <rPr>
        <sz val="10"/>
        <color rgb="FF333333"/>
        <rFont val="Arial"/>
        <family val="0"/>
        <charset val="1"/>
      </rPr>
      <t xml:space="preserve">44T</t>
    </r>
  </si>
  <si>
    <t xml:space="preserve">盘片</t>
  </si>
  <si>
    <r>
      <rPr>
        <sz val="10"/>
        <color rgb="FF333333"/>
        <rFont val="DejaVu Sans"/>
        <family val="2"/>
      </rPr>
      <t xml:space="preserve">盘片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碳纤维 </t>
    </r>
    <r>
      <rPr>
        <sz val="10"/>
        <color rgb="FF333333"/>
        <rFont val="Arial"/>
        <family val="0"/>
        <charset val="1"/>
      </rPr>
      <t xml:space="preserve">48T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</si>
  <si>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 </t>
    </r>
    <r>
      <rPr>
        <sz val="10"/>
        <color rgb="FF333333"/>
        <rFont val="Arial"/>
        <family val="0"/>
        <charset val="1"/>
      </rPr>
      <t xml:space="preserve">170</t>
    </r>
  </si>
  <si>
    <t xml:space="preserve">曲柄</t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</si>
  <si>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铝 </t>
    </r>
    <r>
      <rPr>
        <sz val="10"/>
        <color rgb="FF333333"/>
        <rFont val="Arial"/>
        <family val="0"/>
        <charset val="1"/>
      </rPr>
      <t xml:space="preserve">165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</si>
  <si>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170</t>
    </r>
  </si>
  <si>
    <r>
      <rPr>
        <sz val="10"/>
        <color rgb="FFFF4F00"/>
        <rFont val="DejaVu Sans"/>
        <family val="2"/>
      </rPr>
      <t xml:space="preserve">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铝 </t>
    </r>
    <r>
      <rPr>
        <sz val="10"/>
        <color rgb="FFFF4F00"/>
        <rFont val="Arial"/>
        <family val="0"/>
        <charset val="1"/>
      </rPr>
      <t xml:space="preserve">160</t>
    </r>
  </si>
  <si>
    <r>
      <rPr>
        <sz val="10"/>
        <color rgb="FFFF4F00"/>
        <rFont val="DejaVu Sans"/>
        <family val="2"/>
      </rPr>
      <t xml:space="preserve">旧 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碳 </t>
    </r>
    <r>
      <rPr>
        <sz val="10"/>
        <color rgb="FFFF4F00"/>
        <rFont val="Arial"/>
        <family val="0"/>
        <charset val="1"/>
      </rPr>
      <t xml:space="preserve">165</t>
    </r>
  </si>
  <si>
    <r>
      <rPr>
        <i val="true"/>
        <sz val="9"/>
        <color rgb="FFFF4F00"/>
        <rFont val="DejaVu Sans"/>
        <family val="2"/>
      </rPr>
      <t xml:space="preserve">🗂️ 已退役</t>
    </r>
    <r>
      <rPr>
        <i val="true"/>
        <sz val="9"/>
        <color rgb="FFFF4F00"/>
        <rFont val="Arial"/>
        <family val="0"/>
        <charset val="1"/>
      </rPr>
      <t xml:space="preserve">SKU</t>
    </r>
    <r>
      <rPr>
        <i val="true"/>
        <sz val="9"/>
        <color rgb="FFFF4F00"/>
        <rFont val="DejaVu Sans"/>
        <family val="2"/>
      </rPr>
      <t xml:space="preserve">，建议确认是否为实物库存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</si>
  <si>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165</t>
    </r>
  </si>
  <si>
    <r>
      <rPr>
        <sz val="10"/>
        <color rgb="FF333333"/>
        <rFont val="DejaVu Sans"/>
        <family val="2"/>
      </rPr>
      <t xml:space="preserve">曲柄 </t>
    </r>
    <r>
      <rPr>
        <sz val="10"/>
        <color rgb="FF333333"/>
        <rFont val="Arial"/>
        <family val="0"/>
        <charset val="1"/>
      </rPr>
      <t xml:space="preserve">M820 </t>
    </r>
    <r>
      <rPr>
        <sz val="10"/>
        <color rgb="FF333333"/>
        <rFont val="DejaVu Sans"/>
        <family val="2"/>
      </rPr>
      <t xml:space="preserve">碳 </t>
    </r>
    <r>
      <rPr>
        <sz val="10"/>
        <color rgb="FF333333"/>
        <rFont val="Arial"/>
        <family val="0"/>
        <charset val="1"/>
      </rPr>
      <t xml:space="preserve">172.5</t>
    </r>
  </si>
  <si>
    <r>
      <rPr>
        <sz val="10"/>
        <color rgb="FFFF4F00"/>
        <rFont val="DejaVu Sans"/>
        <family val="2"/>
      </rPr>
      <t xml:space="preserve">旧 曲柄 </t>
    </r>
    <r>
      <rPr>
        <sz val="10"/>
        <color rgb="FFFF4F00"/>
        <rFont val="Arial"/>
        <family val="0"/>
        <charset val="1"/>
      </rPr>
      <t xml:space="preserve">M820 </t>
    </r>
    <r>
      <rPr>
        <sz val="10"/>
        <color rgb="FFFF4F00"/>
        <rFont val="DejaVu Sans"/>
        <family val="2"/>
      </rPr>
      <t xml:space="preserve">碳 </t>
    </r>
    <r>
      <rPr>
        <sz val="10"/>
        <color rgb="FFFF4F00"/>
        <rFont val="Arial"/>
        <family val="0"/>
        <charset val="1"/>
      </rPr>
      <t xml:space="preserve">170</t>
    </r>
  </si>
  <si>
    <r>
      <rPr>
        <sz val="10"/>
        <color rgb="FF333333"/>
        <rFont val="DejaVu Sans"/>
        <family val="2"/>
      </rPr>
      <t xml:space="preserve">座管 </t>
    </r>
    <r>
      <rPr>
        <sz val="10"/>
        <color rgb="FF333333"/>
        <rFont val="Arial"/>
        <family val="0"/>
        <charset val="1"/>
      </rPr>
      <t xml:space="preserve">Illusion</t>
    </r>
  </si>
  <si>
    <t xml:space="preserve">座管</t>
  </si>
  <si>
    <t xml:space="preserve">碳纤维 平把</t>
  </si>
  <si>
    <t xml:space="preserve">车把一体把</t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</si>
  <si>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400-90</t>
    </r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</si>
  <si>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380-80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</si>
  <si>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420-100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</si>
  <si>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400-90</t>
    </r>
  </si>
  <si>
    <r>
      <rPr>
        <sz val="10"/>
        <color rgb="FF333333"/>
        <rFont val="DejaVu Sans"/>
        <family val="2"/>
      </rPr>
      <t xml:space="preserve">弯把 </t>
    </r>
    <r>
      <rPr>
        <sz val="10"/>
        <color rgb="FF333333"/>
        <rFont val="Arial"/>
        <family val="0"/>
        <charset val="1"/>
      </rPr>
      <t xml:space="preserve">420-100</t>
    </r>
  </si>
  <si>
    <r>
      <rPr>
        <sz val="10"/>
        <color rgb="FFFF4F00"/>
        <rFont val="DejaVu Sans"/>
        <family val="2"/>
      </rPr>
      <t xml:space="preserve">弯把 星尘 </t>
    </r>
    <r>
      <rPr>
        <sz val="10"/>
        <color rgb="FFFF4F00"/>
        <rFont val="Arial"/>
        <family val="0"/>
        <charset val="1"/>
      </rPr>
      <t xml:space="preserve">380-80</t>
    </r>
  </si>
  <si>
    <r>
      <rPr>
        <sz val="10"/>
        <color rgb="FFFF4F00"/>
        <rFont val="DejaVu Sans"/>
        <family val="2"/>
      </rPr>
      <t xml:space="preserve">弯把 新星尘（粉） </t>
    </r>
    <r>
      <rPr>
        <sz val="10"/>
        <color rgb="FFFF4F00"/>
        <rFont val="Arial"/>
        <family val="0"/>
        <charset val="1"/>
      </rPr>
      <t xml:space="preserve">400-90</t>
    </r>
  </si>
  <si>
    <r>
      <rPr>
        <sz val="10"/>
        <color rgb="FFFF4F00"/>
        <rFont val="DejaVu Sans"/>
        <family val="2"/>
      </rPr>
      <t xml:space="preserve">弯把 新星尘（粉） </t>
    </r>
    <r>
      <rPr>
        <sz val="10"/>
        <color rgb="FFFF4F00"/>
        <rFont val="Arial"/>
        <family val="0"/>
        <charset val="1"/>
      </rPr>
      <t xml:space="preserve">380-80</t>
    </r>
  </si>
  <si>
    <r>
      <rPr>
        <sz val="10"/>
        <color rgb="FF555555"/>
        <rFont val="DejaVu Sans"/>
        <family val="2"/>
      </rPr>
      <t xml:space="preserve">弯把 新星尘（粉） </t>
    </r>
    <r>
      <rPr>
        <sz val="10"/>
        <color rgb="FF555555"/>
        <rFont val="Arial"/>
        <family val="0"/>
        <charset val="1"/>
      </rPr>
      <t xml:space="preserve">420-100</t>
    </r>
  </si>
  <si>
    <r>
      <rPr>
        <b val="true"/>
        <sz val="10"/>
        <color rgb="FFFFFFFF"/>
        <rFont val="DejaVu Sans"/>
        <family val="2"/>
      </rPr>
      <t xml:space="preserve">合 计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有成本项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</si>
  <si>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8"/>
        <color rgb="FF555555"/>
        <rFont val="DejaVu Sans"/>
        <family val="2"/>
      </rPr>
      <t xml:space="preserve">橙色行</t>
    </r>
    <r>
      <rPr>
        <i val="true"/>
        <sz val="8"/>
        <color rgb="FF555555"/>
        <rFont val="Arial"/>
        <family val="0"/>
        <charset val="1"/>
      </rPr>
      <t xml:space="preserve">/</t>
    </r>
    <r>
      <rPr>
        <i val="true"/>
        <sz val="8"/>
        <color rgb="FF555555"/>
        <rFont val="DejaVu Sans"/>
        <family val="2"/>
      </rPr>
      <t xml:space="preserve">橙色名称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成本字段缺失（</t>
    </r>
    <r>
      <rPr>
        <i val="true"/>
        <sz val="8"/>
        <color rgb="FF555555"/>
        <rFont val="Arial"/>
        <family val="0"/>
        <charset val="1"/>
      </rPr>
      <t xml:space="preserve">BOM</t>
    </r>
    <r>
      <rPr>
        <i val="true"/>
        <sz val="8"/>
        <color rgb="FF555555"/>
        <rFont val="DejaVu Sans"/>
        <family val="2"/>
      </rPr>
      <t xml:space="preserve">计算不完整）  </t>
    </r>
    <r>
      <rPr>
        <i val="true"/>
        <sz val="8"/>
        <color rgb="FF555555"/>
        <rFont val="Arial"/>
        <family val="0"/>
        <charset val="1"/>
      </rPr>
      <t xml:space="preserve">|  </t>
    </r>
    <r>
      <rPr>
        <i val="true"/>
        <sz val="8"/>
        <color rgb="FF555555"/>
        <rFont val="DejaVu Sans"/>
        <family val="2"/>
      </rPr>
      <t xml:space="preserve">灰色行 </t>
    </r>
    <r>
      <rPr>
        <i val="true"/>
        <sz val="8"/>
        <color rgb="FF555555"/>
        <rFont val="Arial"/>
        <family val="0"/>
        <charset val="1"/>
      </rPr>
      <t xml:space="preserve">= </t>
    </r>
    <r>
      <rPr>
        <i val="true"/>
        <sz val="8"/>
        <color rgb="FF555555"/>
        <rFont val="DejaVu Sans"/>
        <family val="2"/>
      </rPr>
      <t xml:space="preserve">当前零库存  </t>
    </r>
    <r>
      <rPr>
        <i val="true"/>
        <sz val="8"/>
        <color rgb="FF555555"/>
        <rFont val="Arial"/>
        <family val="0"/>
        <charset val="1"/>
      </rPr>
      <t xml:space="preserve">|  </t>
    </r>
    <r>
      <rPr>
        <i val="true"/>
        <sz val="8"/>
        <color rgb="FF555555"/>
        <rFont val="DejaVu Sans"/>
        <family val="2"/>
      </rPr>
      <t xml:space="preserve">库存价值仅统计有成本的零部件，实际总价值偏低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</si>
</sst>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\¥#,##0.00"/>
    <numFmt numFmtId="168" formatCode="\¥#,##0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DejaVu Sans"/>
      <family val="2"/>
    </font>
    <font>
      <i val="true"/>
      <sz val="9"/>
      <color rgb="FFFF4F00"/>
      <name val="DejaVu Sans"/>
      <family val="2"/>
    </font>
    <font>
      <i val="true"/>
      <sz val="9"/>
      <color rgb="FFFF4F00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b val="true"/>
      <sz val="28"/>
      <color rgb="FFFF4F0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10"/>
      <color rgb="FFFF4F00"/>
      <name val="Arial"/>
      <family val="0"/>
      <charset val="1"/>
    </font>
    <font>
      <b val="true"/>
      <sz val="9"/>
      <color rgb="FF0A192F"/>
      <name val="DejaVu Sans"/>
      <family val="2"/>
    </font>
    <font>
      <sz val="9"/>
      <color rgb="FF333333"/>
      <name val="DejaVu Sans"/>
      <family val="2"/>
    </font>
    <font>
      <sz val="9"/>
      <color rgb="FF333333"/>
      <name val="Arial"/>
      <family val="0"/>
      <charset val="1"/>
    </font>
    <font>
      <b val="true"/>
      <sz val="9"/>
      <color rgb="FF0A192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DejaVu Sans"/>
      <family val="2"/>
    </font>
    <font>
      <sz val="10"/>
      <color rgb="FF555555"/>
      <name val="Arial"/>
      <family val="0"/>
      <charset val="1"/>
    </font>
    <font>
      <sz val="10"/>
      <color rgb="FF555555"/>
      <name val="DejaVu Sans"/>
      <family val="2"/>
    </font>
    <font>
      <sz val="10"/>
      <color rgb="FFAAAAAA"/>
      <name val="Arial"/>
      <family val="0"/>
      <charset val="1"/>
    </font>
    <font>
      <sz val="10"/>
      <color rgb="FF333333"/>
      <name val="DejaVu Sans"/>
      <family val="2"/>
    </font>
    <font>
      <sz val="10"/>
      <color rgb="FF333333"/>
      <name val="Arial"/>
      <family val="0"/>
      <charset val="1"/>
    </font>
    <font>
      <b val="true"/>
      <sz val="10"/>
      <color rgb="FF0A192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1"/>
      <color rgb="FFFF4F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555555"/>
      <name val="DejaVu Sans"/>
      <family val="2"/>
    </font>
    <font>
      <sz val="10"/>
      <name val="DejaVu Sans"/>
      <family val="2"/>
    </font>
    <font>
      <sz val="10"/>
      <name val="Arial"/>
      <family val="2"/>
    </font>
    <font>
      <i val="true"/>
      <sz val="9"/>
      <color rgb="FF999999"/>
      <name val="Arial"/>
      <family val="0"/>
      <charset val="1"/>
    </font>
    <font>
      <sz val="10"/>
      <color rgb="FFFF4F00"/>
      <name val="DejaVu Sans"/>
      <family val="2"/>
    </font>
    <font>
      <sz val="10"/>
      <color rgb="FFFF4F00"/>
      <name val="Arial"/>
      <family val="0"/>
      <charset val="1"/>
    </font>
    <font>
      <i val="true"/>
      <sz val="9"/>
      <color rgb="FFBBBBBB"/>
      <name val="Arial"/>
      <family val="0"/>
      <charset val="1"/>
    </font>
    <font>
      <sz val="9"/>
      <color rgb="FFBBBBB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4F00"/>
        <bgColor rgb="FFFF8080"/>
      </patternFill>
    </fill>
    <fill>
      <patternFill patternType="solid">
        <fgColor rgb="FF0A192F"/>
        <bgColor rgb="FF000000"/>
      </patternFill>
    </fill>
    <fill>
      <patternFill patternType="solid">
        <fgColor rgb="FFFFF0E8"/>
        <bgColor rgb="FFF0F0F0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F0F0F0"/>
        <bgColor rgb="FFFFF0E8"/>
      </patternFill>
    </fill>
    <fill>
      <patternFill patternType="solid">
        <fgColor rgb="FF3A5070"/>
        <bgColor rgb="FF555555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4F00"/>
      </bottom>
      <diagonal/>
    </border>
    <border diagonalUp="false" diagonalDown="false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medium">
        <color rgb="FFFF4F0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7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7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6B"/>
      <rgbColor rgb="FFBBBBBB"/>
      <rgbColor rgb="FF808080"/>
      <rgbColor rgb="FFAAAAAA"/>
      <rgbColor rgb="FF993366"/>
      <rgbColor rgb="FFFFF0E8"/>
      <rgbColor rgb="FFF0F0F0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4F00"/>
      <rgbColor rgb="FF555555"/>
      <rgbColor rgb="FF999999"/>
      <rgbColor rgb="FF1F3864"/>
      <rgbColor rgb="FF339966"/>
      <rgbColor rgb="FF0A192F"/>
      <rgbColor rgb="FF333300"/>
      <rgbColor rgb="FF993300"/>
      <rgbColor rgb="FF993366"/>
      <rgbColor rgb="FF3A507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92F"/>
    <pageSetUpPr fitToPage="false"/>
  </sheetPr>
  <dimension ref="A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7" min="3" style="0" width="12"/>
    <col collapsed="false" customWidth="true" hidden="false" outlineLevel="0" max="8" min="8" style="0" width="18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2" hidden="false" customHeight="true" outlineLevel="0" collapsed="false"/>
    <row r="5" customFormat="false" ht="18" hidden="false" customHeight="true" outlineLevel="0" collapsed="false">
      <c r="A5" s="4" t="s">
        <v>2</v>
      </c>
      <c r="B5" s="4"/>
      <c r="C5" s="4"/>
      <c r="D5" s="4" t="s">
        <v>3</v>
      </c>
      <c r="E5" s="4"/>
      <c r="F5" s="4"/>
      <c r="G5" s="5" t="s">
        <v>4</v>
      </c>
      <c r="H5" s="5"/>
    </row>
    <row r="6" customFormat="false" ht="37.5" hidden="false" customHeight="true" outlineLevel="0" collapsed="false">
      <c r="A6" s="6" t="n">
        <v>63</v>
      </c>
      <c r="B6" s="6"/>
      <c r="C6" s="6"/>
      <c r="D6" s="6" t="n">
        <v>205</v>
      </c>
      <c r="E6" s="6"/>
      <c r="F6" s="6"/>
      <c r="G6" s="6" t="n">
        <v>27</v>
      </c>
      <c r="H6" s="6"/>
    </row>
    <row r="7" customFormat="false" ht="21.75" hidden="false" customHeight="true" outlineLevel="0" collapsed="false">
      <c r="A7" s="7" t="s">
        <v>5</v>
      </c>
      <c r="B7" s="7"/>
      <c r="C7" s="7"/>
      <c r="D7" s="7" t="s">
        <v>5</v>
      </c>
      <c r="E7" s="7"/>
      <c r="F7" s="7"/>
      <c r="G7" s="7" t="s">
        <v>6</v>
      </c>
      <c r="H7" s="7"/>
    </row>
    <row r="8" customFormat="false" ht="13.5" hidden="false" customHeight="true" outlineLevel="0" collapsed="false"/>
    <row r="9" customFormat="false" ht="7.5" hidden="false" customHeight="true" outlineLevel="0" collapsed="false"/>
    <row r="10" customFormat="false" ht="21.75" hidden="false" customHeight="true" outlineLevel="0" collapsed="false">
      <c r="A10" s="8" t="s">
        <v>7</v>
      </c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9" t="s">
        <v>8</v>
      </c>
      <c r="B11" s="10" t="s">
        <v>9</v>
      </c>
      <c r="C11" s="10" t="s">
        <v>10</v>
      </c>
      <c r="D11" s="10"/>
      <c r="E11" s="10"/>
      <c r="F11" s="10"/>
      <c r="G11" s="10"/>
      <c r="H11" s="10"/>
    </row>
    <row r="12" customFormat="false" ht="37.5" hidden="false" customHeight="true" outlineLevel="0" collapsed="false">
      <c r="A12" s="11" t="s">
        <v>11</v>
      </c>
      <c r="B12" s="12" t="s">
        <v>12</v>
      </c>
      <c r="C12" s="13" t="s">
        <v>13</v>
      </c>
      <c r="D12" s="13"/>
      <c r="E12" s="13"/>
      <c r="F12" s="13"/>
      <c r="G12" s="13"/>
      <c r="H12" s="13"/>
    </row>
    <row r="13" customFormat="false" ht="37.5" hidden="false" customHeight="true" outlineLevel="0" collapsed="false">
      <c r="A13" s="14" t="s">
        <v>14</v>
      </c>
      <c r="B13" s="15" t="s">
        <v>15</v>
      </c>
      <c r="C13" s="16" t="s">
        <v>16</v>
      </c>
      <c r="D13" s="16"/>
      <c r="E13" s="16"/>
      <c r="F13" s="16"/>
      <c r="G13" s="16"/>
      <c r="H13" s="16"/>
    </row>
    <row r="14" customFormat="false" ht="37.5" hidden="false" customHeight="true" outlineLevel="0" collapsed="false">
      <c r="A14" s="11" t="s">
        <v>17</v>
      </c>
      <c r="B14" s="12" t="s">
        <v>18</v>
      </c>
      <c r="C14" s="13" t="s">
        <v>19</v>
      </c>
      <c r="D14" s="13"/>
      <c r="E14" s="13"/>
      <c r="F14" s="13"/>
      <c r="G14" s="13"/>
      <c r="H14" s="13"/>
    </row>
    <row r="15" customFormat="false" ht="37.5" hidden="false" customHeight="true" outlineLevel="0" collapsed="false">
      <c r="A15" s="14" t="s">
        <v>20</v>
      </c>
      <c r="B15" s="17" t="s">
        <v>21</v>
      </c>
      <c r="C15" s="18" t="s">
        <v>22</v>
      </c>
      <c r="D15" s="18"/>
      <c r="E15" s="18"/>
      <c r="F15" s="18"/>
      <c r="G15" s="18"/>
      <c r="H15" s="18"/>
    </row>
    <row r="16" customFormat="false" ht="37.5" hidden="false" customHeight="true" outlineLevel="0" collapsed="false">
      <c r="A16" s="11" t="s">
        <v>23</v>
      </c>
      <c r="B16" s="12" t="s">
        <v>24</v>
      </c>
      <c r="C16" s="13" t="s">
        <v>25</v>
      </c>
      <c r="D16" s="13"/>
      <c r="E16" s="13"/>
      <c r="F16" s="13"/>
      <c r="G16" s="13"/>
      <c r="H16" s="13"/>
    </row>
    <row r="17" customFormat="false" ht="37.5" hidden="false" customHeight="true" outlineLevel="0" collapsed="false">
      <c r="A17" s="14" t="s">
        <v>26</v>
      </c>
      <c r="B17" s="17" t="s">
        <v>27</v>
      </c>
      <c r="C17" s="18" t="s">
        <v>28</v>
      </c>
      <c r="D17" s="18"/>
      <c r="E17" s="18"/>
      <c r="F17" s="18"/>
      <c r="G17" s="18"/>
      <c r="H17" s="18"/>
    </row>
    <row r="18" customFormat="false" ht="37.5" hidden="false" customHeight="true" outlineLevel="0" collapsed="false">
      <c r="A18" s="11" t="s">
        <v>29</v>
      </c>
      <c r="B18" s="12" t="s">
        <v>30</v>
      </c>
      <c r="C18" s="13" t="s">
        <v>31</v>
      </c>
      <c r="D18" s="13"/>
      <c r="E18" s="13"/>
      <c r="F18" s="13"/>
      <c r="G18" s="13"/>
      <c r="H18" s="13"/>
    </row>
  </sheetData>
  <mergeCells count="20">
    <mergeCell ref="A2:H2"/>
    <mergeCell ref="A3:H3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10:H10"/>
    <mergeCell ref="C11:H11"/>
    <mergeCell ref="C12:H12"/>
    <mergeCell ref="C13:H13"/>
    <mergeCell ref="C14:H14"/>
    <mergeCell ref="C15:H15"/>
    <mergeCell ref="C16:H16"/>
    <mergeCell ref="C17:H17"/>
    <mergeCell ref="C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192F"/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12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19" t="s">
        <v>32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customFormat="false" ht="18" hidden="false" customHeight="true" outlineLevel="0" collapsed="false">
      <c r="A3" s="3" t="s">
        <v>33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7.5" hidden="false" customHeight="true" outlineLevel="0" collapsed="false"/>
    <row r="5" customFormat="false" ht="15" hidden="false" customHeight="false" outlineLevel="0" collapsed="false">
      <c r="A5" s="10" t="s">
        <v>34</v>
      </c>
      <c r="B5" s="10" t="s">
        <v>35</v>
      </c>
      <c r="C5" s="10" t="s">
        <v>36</v>
      </c>
      <c r="D5" s="10" t="s">
        <v>37</v>
      </c>
      <c r="E5" s="9" t="s">
        <v>38</v>
      </c>
      <c r="F5" s="9" t="s">
        <v>39</v>
      </c>
      <c r="G5" s="10" t="s">
        <v>40</v>
      </c>
      <c r="H5" s="10" t="s">
        <v>41</v>
      </c>
      <c r="I5" s="10" t="s">
        <v>42</v>
      </c>
      <c r="J5" s="10" t="s">
        <v>43</v>
      </c>
      <c r="K5" s="10" t="s">
        <v>44</v>
      </c>
    </row>
    <row r="6" customFormat="false" ht="18" hidden="false" customHeight="true" outlineLevel="0" collapsed="false">
      <c r="A6" s="20"/>
      <c r="B6" s="20" t="s">
        <v>45</v>
      </c>
      <c r="C6" s="21" t="s">
        <v>46</v>
      </c>
      <c r="D6" s="22" t="n">
        <v>0</v>
      </c>
      <c r="E6" s="22" t="n">
        <v>1</v>
      </c>
      <c r="F6" s="22" t="n">
        <v>1</v>
      </c>
      <c r="G6" s="22" t="n">
        <v>1</v>
      </c>
      <c r="H6" s="22" t="n">
        <v>0</v>
      </c>
      <c r="I6" s="22" t="n">
        <v>0</v>
      </c>
      <c r="J6" s="22" t="n">
        <v>1</v>
      </c>
      <c r="K6" s="23" t="n">
        <v>0</v>
      </c>
    </row>
    <row r="7" customFormat="false" ht="18" hidden="false" customHeight="true" outlineLevel="0" collapsed="false">
      <c r="A7" s="20"/>
      <c r="B7" s="20" t="s">
        <v>47</v>
      </c>
      <c r="C7" s="21" t="s">
        <v>46</v>
      </c>
      <c r="D7" s="22" t="n">
        <v>0</v>
      </c>
      <c r="E7" s="22" t="n">
        <v>1</v>
      </c>
      <c r="F7" s="22" t="n">
        <v>1</v>
      </c>
      <c r="G7" s="22" t="n">
        <v>1</v>
      </c>
      <c r="H7" s="22" t="n">
        <v>0</v>
      </c>
      <c r="I7" s="22" t="n">
        <v>0</v>
      </c>
      <c r="J7" s="22" t="n">
        <v>1</v>
      </c>
      <c r="K7" s="23" t="n">
        <v>0</v>
      </c>
    </row>
    <row r="8" customFormat="false" ht="18" hidden="false" customHeight="true" outlineLevel="0" collapsed="false">
      <c r="A8" s="21" t="s">
        <v>48</v>
      </c>
      <c r="B8" s="20" t="s">
        <v>49</v>
      </c>
      <c r="C8" s="21" t="s">
        <v>46</v>
      </c>
      <c r="D8" s="22" t="n">
        <v>0</v>
      </c>
      <c r="E8" s="22" t="n">
        <v>3</v>
      </c>
      <c r="F8" s="22" t="n">
        <v>3</v>
      </c>
      <c r="G8" s="22" t="n">
        <v>2</v>
      </c>
      <c r="H8" s="22" t="n">
        <v>1</v>
      </c>
      <c r="I8" s="22" t="n">
        <v>0</v>
      </c>
      <c r="J8" s="22" t="n">
        <v>3</v>
      </c>
      <c r="K8" s="23" t="n">
        <v>0</v>
      </c>
    </row>
    <row r="9" customFormat="false" ht="18" hidden="false" customHeight="true" outlineLevel="0" collapsed="false">
      <c r="A9" s="21" t="s">
        <v>48</v>
      </c>
      <c r="B9" s="20" t="s">
        <v>45</v>
      </c>
      <c r="C9" s="21" t="s">
        <v>46</v>
      </c>
      <c r="D9" s="22" t="n">
        <v>4</v>
      </c>
      <c r="E9" s="22" t="n">
        <v>4</v>
      </c>
      <c r="F9" s="22" t="n">
        <v>8</v>
      </c>
      <c r="G9" s="22" t="n">
        <v>8</v>
      </c>
      <c r="H9" s="22" t="n">
        <v>0</v>
      </c>
      <c r="I9" s="22" t="n">
        <v>0</v>
      </c>
      <c r="J9" s="22" t="n">
        <v>8</v>
      </c>
      <c r="K9" s="23" t="n">
        <v>0</v>
      </c>
    </row>
    <row r="10" customFormat="false" ht="18" hidden="false" customHeight="true" outlineLevel="0" collapsed="false">
      <c r="A10" s="24" t="s">
        <v>48</v>
      </c>
      <c r="B10" s="25" t="s">
        <v>50</v>
      </c>
      <c r="C10" s="24" t="s">
        <v>46</v>
      </c>
      <c r="D10" s="26" t="n">
        <v>2</v>
      </c>
      <c r="E10" s="26" t="n">
        <v>5</v>
      </c>
      <c r="F10" s="26" t="n">
        <v>4</v>
      </c>
      <c r="G10" s="26" t="n">
        <v>4</v>
      </c>
      <c r="H10" s="26" t="n">
        <v>0</v>
      </c>
      <c r="I10" s="26" t="n">
        <v>0</v>
      </c>
      <c r="J10" s="26" t="n">
        <v>4</v>
      </c>
      <c r="K10" s="27" t="n">
        <v>3</v>
      </c>
    </row>
    <row r="11" customFormat="false" ht="18" hidden="false" customHeight="true" outlineLevel="0" collapsed="false">
      <c r="A11" s="28" t="s">
        <v>48</v>
      </c>
      <c r="B11" s="29" t="s">
        <v>50</v>
      </c>
      <c r="C11" s="28" t="s">
        <v>51</v>
      </c>
      <c r="D11" s="30" t="n">
        <v>0</v>
      </c>
      <c r="E11" s="30" t="n">
        <v>1</v>
      </c>
      <c r="F11" s="30" t="n">
        <v>0</v>
      </c>
      <c r="G11" s="30" t="n">
        <v>0</v>
      </c>
      <c r="H11" s="30" t="n">
        <v>1</v>
      </c>
      <c r="I11" s="30" t="n">
        <v>0</v>
      </c>
      <c r="J11" s="30" t="n">
        <v>0</v>
      </c>
      <c r="K11" s="31" t="n">
        <v>1</v>
      </c>
    </row>
    <row r="12" customFormat="false" ht="18" hidden="false" customHeight="true" outlineLevel="0" collapsed="false">
      <c r="A12" s="24" t="s">
        <v>48</v>
      </c>
      <c r="B12" s="25" t="s">
        <v>47</v>
      </c>
      <c r="C12" s="24" t="s">
        <v>46</v>
      </c>
      <c r="D12" s="26" t="n">
        <v>0</v>
      </c>
      <c r="E12" s="26" t="n">
        <v>2</v>
      </c>
      <c r="F12" s="26" t="n">
        <v>1</v>
      </c>
      <c r="G12" s="26" t="n">
        <v>1</v>
      </c>
      <c r="H12" s="26" t="n">
        <v>0</v>
      </c>
      <c r="I12" s="26" t="n">
        <v>0</v>
      </c>
      <c r="J12" s="26" t="n">
        <v>1</v>
      </c>
      <c r="K12" s="27" t="n">
        <v>1</v>
      </c>
    </row>
    <row r="13" customFormat="false" ht="18" hidden="false" customHeight="true" outlineLevel="0" collapsed="false">
      <c r="A13" s="24" t="s">
        <v>52</v>
      </c>
      <c r="B13" s="25" t="s">
        <v>49</v>
      </c>
      <c r="C13" s="24" t="s">
        <v>46</v>
      </c>
      <c r="D13" s="26" t="n">
        <v>2</v>
      </c>
      <c r="E13" s="26" t="n">
        <v>4</v>
      </c>
      <c r="F13" s="26" t="n">
        <v>3</v>
      </c>
      <c r="G13" s="26" t="n">
        <v>4</v>
      </c>
      <c r="H13" s="26" t="n">
        <v>0</v>
      </c>
      <c r="I13" s="26" t="n">
        <v>0</v>
      </c>
      <c r="J13" s="26" t="n">
        <v>3</v>
      </c>
      <c r="K13" s="27" t="n">
        <v>3</v>
      </c>
    </row>
    <row r="14" customFormat="false" ht="18" hidden="false" customHeight="true" outlineLevel="0" collapsed="false">
      <c r="A14" s="21" t="s">
        <v>52</v>
      </c>
      <c r="B14" s="20" t="s">
        <v>49</v>
      </c>
      <c r="C14" s="21" t="s">
        <v>53</v>
      </c>
      <c r="D14" s="22" t="n">
        <v>0</v>
      </c>
      <c r="E14" s="22" t="n">
        <v>1</v>
      </c>
      <c r="F14" s="22" t="n">
        <v>1</v>
      </c>
      <c r="G14" s="22" t="n">
        <v>0</v>
      </c>
      <c r="H14" s="22" t="n">
        <v>0</v>
      </c>
      <c r="I14" s="22" t="n">
        <v>0</v>
      </c>
      <c r="J14" s="22" t="n">
        <v>1</v>
      </c>
      <c r="K14" s="23" t="n">
        <v>0</v>
      </c>
    </row>
    <row r="15" customFormat="false" ht="18" hidden="false" customHeight="true" outlineLevel="0" collapsed="false">
      <c r="A15" s="24" t="s">
        <v>52</v>
      </c>
      <c r="B15" s="25" t="s">
        <v>45</v>
      </c>
      <c r="C15" s="24" t="s">
        <v>46</v>
      </c>
      <c r="D15" s="26" t="n">
        <v>0</v>
      </c>
      <c r="E15" s="26" t="n">
        <v>6</v>
      </c>
      <c r="F15" s="26" t="n">
        <v>3</v>
      </c>
      <c r="G15" s="26" t="n">
        <v>3</v>
      </c>
      <c r="H15" s="26" t="n">
        <v>0</v>
      </c>
      <c r="I15" s="26" t="n">
        <v>0</v>
      </c>
      <c r="J15" s="26" t="n">
        <v>3</v>
      </c>
      <c r="K15" s="27" t="n">
        <v>3</v>
      </c>
    </row>
    <row r="16" customFormat="false" ht="18" hidden="false" customHeight="true" outlineLevel="0" collapsed="false">
      <c r="A16" s="24" t="s">
        <v>52</v>
      </c>
      <c r="B16" s="25" t="s">
        <v>50</v>
      </c>
      <c r="C16" s="24" t="s">
        <v>46</v>
      </c>
      <c r="D16" s="26" t="n">
        <v>0</v>
      </c>
      <c r="E16" s="26" t="n">
        <v>5</v>
      </c>
      <c r="F16" s="26" t="n">
        <v>3</v>
      </c>
      <c r="G16" s="26" t="n">
        <v>3</v>
      </c>
      <c r="H16" s="26" t="n">
        <v>0</v>
      </c>
      <c r="I16" s="26" t="n">
        <v>0</v>
      </c>
      <c r="J16" s="26" t="n">
        <v>3</v>
      </c>
      <c r="K16" s="27" t="n">
        <v>2</v>
      </c>
    </row>
    <row r="17" customFormat="false" ht="18" hidden="false" customHeight="true" outlineLevel="0" collapsed="false">
      <c r="A17" s="24" t="s">
        <v>52</v>
      </c>
      <c r="B17" s="25" t="s">
        <v>47</v>
      </c>
      <c r="C17" s="24" t="s">
        <v>46</v>
      </c>
      <c r="D17" s="26" t="n">
        <v>0</v>
      </c>
      <c r="E17" s="26" t="n">
        <v>2</v>
      </c>
      <c r="F17" s="26" t="n">
        <v>1</v>
      </c>
      <c r="G17" s="26" t="n">
        <v>1</v>
      </c>
      <c r="H17" s="26" t="n">
        <v>0</v>
      </c>
      <c r="I17" s="26" t="n">
        <v>0</v>
      </c>
      <c r="J17" s="26" t="n">
        <v>1</v>
      </c>
      <c r="K17" s="27" t="n">
        <v>1</v>
      </c>
    </row>
    <row r="18" customFormat="false" ht="18" hidden="false" customHeight="true" outlineLevel="0" collapsed="false">
      <c r="A18" s="32" t="s">
        <v>54</v>
      </c>
      <c r="B18" s="33" t="s">
        <v>49</v>
      </c>
      <c r="C18" s="32" t="s">
        <v>46</v>
      </c>
      <c r="D18" s="34" t="n">
        <v>0</v>
      </c>
      <c r="E18" s="34" t="n">
        <v>2</v>
      </c>
      <c r="F18" s="34" t="n">
        <v>0</v>
      </c>
      <c r="G18" s="34" t="n">
        <v>0</v>
      </c>
      <c r="H18" s="34" t="n">
        <v>0</v>
      </c>
      <c r="I18" s="34" t="n">
        <v>0</v>
      </c>
      <c r="J18" s="34" t="n">
        <v>0</v>
      </c>
      <c r="K18" s="35" t="n">
        <v>2</v>
      </c>
    </row>
    <row r="19" customFormat="false" ht="18" hidden="false" customHeight="true" outlineLevel="0" collapsed="false">
      <c r="A19" s="24" t="s">
        <v>54</v>
      </c>
      <c r="B19" s="25" t="s">
        <v>45</v>
      </c>
      <c r="C19" s="24" t="s">
        <v>46</v>
      </c>
      <c r="D19" s="26" t="n">
        <v>1</v>
      </c>
      <c r="E19" s="26" t="n">
        <v>6</v>
      </c>
      <c r="F19" s="26" t="n">
        <v>4</v>
      </c>
      <c r="G19" s="26" t="n">
        <v>3</v>
      </c>
      <c r="H19" s="26" t="n">
        <v>0</v>
      </c>
      <c r="I19" s="26" t="n">
        <v>0</v>
      </c>
      <c r="J19" s="26" t="n">
        <v>4</v>
      </c>
      <c r="K19" s="27" t="n">
        <v>3</v>
      </c>
    </row>
    <row r="20" customFormat="false" ht="18" hidden="false" customHeight="true" outlineLevel="0" collapsed="false">
      <c r="A20" s="21" t="s">
        <v>54</v>
      </c>
      <c r="B20" s="20" t="s">
        <v>45</v>
      </c>
      <c r="C20" s="21" t="s">
        <v>53</v>
      </c>
      <c r="D20" s="22" t="n">
        <v>0</v>
      </c>
      <c r="E20" s="22" t="n">
        <v>1</v>
      </c>
      <c r="F20" s="22" t="n">
        <v>1</v>
      </c>
      <c r="G20" s="22" t="n">
        <v>1</v>
      </c>
      <c r="H20" s="22" t="n">
        <v>0</v>
      </c>
      <c r="I20" s="22" t="n">
        <v>0</v>
      </c>
      <c r="J20" s="22" t="n">
        <v>1</v>
      </c>
      <c r="K20" s="23" t="n">
        <v>0</v>
      </c>
    </row>
    <row r="21" customFormat="false" ht="18" hidden="false" customHeight="true" outlineLevel="0" collapsed="false">
      <c r="A21" s="28" t="s">
        <v>54</v>
      </c>
      <c r="B21" s="29" t="s">
        <v>45</v>
      </c>
      <c r="C21" s="28" t="s">
        <v>51</v>
      </c>
      <c r="D21" s="30" t="n">
        <v>0</v>
      </c>
      <c r="E21" s="30" t="n">
        <v>1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K21" s="31" t="n">
        <v>1</v>
      </c>
    </row>
    <row r="22" customFormat="false" ht="18" hidden="false" customHeight="true" outlineLevel="0" collapsed="false">
      <c r="A22" s="24" t="s">
        <v>54</v>
      </c>
      <c r="B22" s="25" t="s">
        <v>50</v>
      </c>
      <c r="C22" s="24" t="s">
        <v>46</v>
      </c>
      <c r="D22" s="26" t="n">
        <v>2</v>
      </c>
      <c r="E22" s="26" t="n">
        <v>2</v>
      </c>
      <c r="F22" s="26" t="n">
        <v>1</v>
      </c>
      <c r="G22" s="26" t="n">
        <v>1</v>
      </c>
      <c r="H22" s="26" t="n">
        <v>0</v>
      </c>
      <c r="I22" s="26" t="n">
        <v>0</v>
      </c>
      <c r="J22" s="26" t="n">
        <v>1</v>
      </c>
      <c r="K22" s="27" t="n">
        <v>3</v>
      </c>
    </row>
    <row r="23" customFormat="false" ht="18" hidden="false" customHeight="true" outlineLevel="0" collapsed="false">
      <c r="A23" s="28" t="s">
        <v>54</v>
      </c>
      <c r="B23" s="29" t="s">
        <v>50</v>
      </c>
      <c r="C23" s="28" t="s">
        <v>51</v>
      </c>
      <c r="D23" s="30" t="n">
        <v>0</v>
      </c>
      <c r="E23" s="30" t="n">
        <v>1</v>
      </c>
      <c r="F23" s="30" t="n">
        <v>0</v>
      </c>
      <c r="G23" s="30" t="n">
        <v>0</v>
      </c>
      <c r="H23" s="30" t="n">
        <v>0</v>
      </c>
      <c r="I23" s="30" t="n">
        <v>0</v>
      </c>
      <c r="J23" s="30" t="n">
        <v>0</v>
      </c>
      <c r="K23" s="31" t="n">
        <v>1</v>
      </c>
    </row>
    <row r="24" customFormat="false" ht="18" hidden="false" customHeight="true" outlineLevel="0" collapsed="false">
      <c r="A24" s="21" t="s">
        <v>54</v>
      </c>
      <c r="B24" s="20" t="s">
        <v>47</v>
      </c>
      <c r="C24" s="21" t="s">
        <v>46</v>
      </c>
      <c r="D24" s="22" t="n">
        <v>2</v>
      </c>
      <c r="E24" s="22" t="n">
        <v>1</v>
      </c>
      <c r="F24" s="22" t="n">
        <v>3</v>
      </c>
      <c r="G24" s="22" t="n">
        <v>3</v>
      </c>
      <c r="H24" s="22" t="n">
        <v>0</v>
      </c>
      <c r="I24" s="22" t="n">
        <v>0</v>
      </c>
      <c r="J24" s="22" t="n">
        <v>3</v>
      </c>
      <c r="K24" s="23" t="n">
        <v>0</v>
      </c>
    </row>
    <row r="25" customFormat="false" ht="18" hidden="false" customHeight="true" outlineLevel="0" collapsed="false">
      <c r="A25" s="24" t="s">
        <v>55</v>
      </c>
      <c r="B25" s="25" t="s">
        <v>49</v>
      </c>
      <c r="C25" s="24" t="s">
        <v>46</v>
      </c>
      <c r="D25" s="26" t="n">
        <v>0</v>
      </c>
      <c r="E25" s="26" t="n">
        <v>4</v>
      </c>
      <c r="F25" s="26" t="n">
        <v>3</v>
      </c>
      <c r="G25" s="26" t="n">
        <v>3</v>
      </c>
      <c r="H25" s="26" t="n">
        <v>0</v>
      </c>
      <c r="I25" s="26" t="n">
        <v>0</v>
      </c>
      <c r="J25" s="26" t="n">
        <v>3</v>
      </c>
      <c r="K25" s="27" t="n">
        <v>1</v>
      </c>
    </row>
    <row r="26" customFormat="false" ht="18" hidden="false" customHeight="true" outlineLevel="0" collapsed="false">
      <c r="A26" s="24" t="s">
        <v>55</v>
      </c>
      <c r="B26" s="25" t="s">
        <v>45</v>
      </c>
      <c r="C26" s="24" t="s">
        <v>46</v>
      </c>
      <c r="D26" s="26" t="n">
        <v>0</v>
      </c>
      <c r="E26" s="26" t="n">
        <v>5</v>
      </c>
      <c r="F26" s="26" t="n">
        <v>1</v>
      </c>
      <c r="G26" s="26" t="n">
        <v>1</v>
      </c>
      <c r="H26" s="26" t="n">
        <v>0</v>
      </c>
      <c r="I26" s="26" t="n">
        <v>0</v>
      </c>
      <c r="J26" s="26" t="n">
        <v>1</v>
      </c>
      <c r="K26" s="27" t="n">
        <v>4</v>
      </c>
    </row>
    <row r="27" customFormat="false" ht="18" hidden="false" customHeight="true" outlineLevel="0" collapsed="false">
      <c r="A27" s="21" t="s">
        <v>56</v>
      </c>
      <c r="B27" s="20" t="s">
        <v>50</v>
      </c>
      <c r="C27" s="21" t="s">
        <v>46</v>
      </c>
      <c r="D27" s="22" t="n">
        <v>0</v>
      </c>
      <c r="E27" s="22" t="n">
        <v>2</v>
      </c>
      <c r="F27" s="22" t="n">
        <v>2</v>
      </c>
      <c r="G27" s="22" t="n">
        <v>2</v>
      </c>
      <c r="H27" s="22" t="n">
        <v>0</v>
      </c>
      <c r="I27" s="22" t="n">
        <v>0</v>
      </c>
      <c r="J27" s="22" t="n">
        <v>2</v>
      </c>
      <c r="K27" s="23" t="n">
        <v>0</v>
      </c>
    </row>
    <row r="28" customFormat="false" ht="18" hidden="false" customHeight="true" outlineLevel="0" collapsed="false">
      <c r="A28" s="36" t="s">
        <v>56</v>
      </c>
      <c r="B28" s="37" t="s">
        <v>47</v>
      </c>
      <c r="C28" s="36" t="s">
        <v>46</v>
      </c>
      <c r="D28" s="38" t="n">
        <v>0</v>
      </c>
      <c r="E28" s="38" t="n">
        <v>0</v>
      </c>
      <c r="F28" s="38" t="n">
        <v>0</v>
      </c>
      <c r="G28" s="38" t="n">
        <v>0</v>
      </c>
      <c r="H28" s="38" t="n">
        <v>0</v>
      </c>
      <c r="I28" s="38" t="n">
        <v>0</v>
      </c>
      <c r="J28" s="38" t="n">
        <v>0</v>
      </c>
      <c r="K28" s="39" t="n">
        <v>0</v>
      </c>
    </row>
    <row r="29" customFormat="false" ht="18" hidden="false" customHeight="true" outlineLevel="0" collapsed="false">
      <c r="A29" s="24" t="s">
        <v>57</v>
      </c>
      <c r="B29" s="25" t="s">
        <v>49</v>
      </c>
      <c r="C29" s="24" t="s">
        <v>46</v>
      </c>
      <c r="D29" s="26" t="n">
        <v>1</v>
      </c>
      <c r="E29" s="26" t="n">
        <v>2</v>
      </c>
      <c r="F29" s="26" t="n">
        <v>1</v>
      </c>
      <c r="G29" s="26" t="n">
        <v>1</v>
      </c>
      <c r="H29" s="26" t="n">
        <v>0</v>
      </c>
      <c r="I29" s="26" t="n">
        <v>0</v>
      </c>
      <c r="J29" s="26" t="n">
        <v>1</v>
      </c>
      <c r="K29" s="27" t="n">
        <v>2</v>
      </c>
    </row>
    <row r="30" customFormat="false" ht="18" hidden="false" customHeight="true" outlineLevel="0" collapsed="false">
      <c r="A30" s="24" t="s">
        <v>57</v>
      </c>
      <c r="B30" s="25" t="s">
        <v>45</v>
      </c>
      <c r="C30" s="24" t="s">
        <v>46</v>
      </c>
      <c r="D30" s="26" t="n">
        <v>2</v>
      </c>
      <c r="E30" s="26" t="n">
        <v>9</v>
      </c>
      <c r="F30" s="26" t="n">
        <v>3</v>
      </c>
      <c r="G30" s="26" t="n">
        <v>1</v>
      </c>
      <c r="H30" s="26" t="n">
        <v>2</v>
      </c>
      <c r="I30" s="26" t="n">
        <v>0</v>
      </c>
      <c r="J30" s="26" t="n">
        <v>3</v>
      </c>
      <c r="K30" s="27" t="n">
        <v>8</v>
      </c>
    </row>
    <row r="31" customFormat="false" ht="18" hidden="false" customHeight="true" outlineLevel="0" collapsed="false">
      <c r="A31" s="28" t="s">
        <v>57</v>
      </c>
      <c r="B31" s="29" t="s">
        <v>50</v>
      </c>
      <c r="C31" s="28" t="s">
        <v>46</v>
      </c>
      <c r="D31" s="30" t="n">
        <v>0</v>
      </c>
      <c r="E31" s="30" t="n">
        <v>4</v>
      </c>
      <c r="F31" s="30" t="n">
        <v>0</v>
      </c>
      <c r="G31" s="30" t="n">
        <v>0</v>
      </c>
      <c r="H31" s="30" t="n">
        <v>0</v>
      </c>
      <c r="I31" s="30" t="n">
        <v>0</v>
      </c>
      <c r="J31" s="30" t="n">
        <v>0</v>
      </c>
      <c r="K31" s="31" t="n">
        <v>4</v>
      </c>
    </row>
    <row r="32" customFormat="false" ht="18" hidden="false" customHeight="true" outlineLevel="0" collapsed="false">
      <c r="A32" s="32" t="s">
        <v>57</v>
      </c>
      <c r="B32" s="33" t="s">
        <v>47</v>
      </c>
      <c r="C32" s="32" t="s">
        <v>46</v>
      </c>
      <c r="D32" s="34" t="n">
        <v>0</v>
      </c>
      <c r="E32" s="34" t="n">
        <v>1</v>
      </c>
      <c r="F32" s="34" t="n">
        <v>0</v>
      </c>
      <c r="G32" s="34" t="n">
        <v>0</v>
      </c>
      <c r="H32" s="34" t="n">
        <v>0</v>
      </c>
      <c r="I32" s="34" t="n">
        <v>0</v>
      </c>
      <c r="J32" s="34" t="n">
        <v>0</v>
      </c>
      <c r="K32" s="35" t="n">
        <v>1</v>
      </c>
    </row>
    <row r="33" customFormat="false" ht="18" hidden="false" customHeight="true" outlineLevel="0" collapsed="false">
      <c r="A33" s="21" t="s">
        <v>58</v>
      </c>
      <c r="B33" s="20" t="s">
        <v>49</v>
      </c>
      <c r="C33" s="21" t="s">
        <v>46</v>
      </c>
      <c r="D33" s="22" t="n">
        <v>3</v>
      </c>
      <c r="E33" s="22" t="n">
        <v>1</v>
      </c>
      <c r="F33" s="22" t="n">
        <v>4</v>
      </c>
      <c r="G33" s="22" t="n">
        <v>2</v>
      </c>
      <c r="H33" s="22" t="n">
        <v>0</v>
      </c>
      <c r="I33" s="22" t="n">
        <v>0</v>
      </c>
      <c r="J33" s="22" t="n">
        <v>4</v>
      </c>
      <c r="K33" s="23" t="n">
        <v>0</v>
      </c>
    </row>
    <row r="34" customFormat="false" ht="18" hidden="false" customHeight="true" outlineLevel="0" collapsed="false">
      <c r="A34" s="24" t="s">
        <v>58</v>
      </c>
      <c r="B34" s="25" t="s">
        <v>49</v>
      </c>
      <c r="C34" s="24" t="s">
        <v>51</v>
      </c>
      <c r="D34" s="26" t="n">
        <v>0</v>
      </c>
      <c r="E34" s="26" t="n">
        <v>2</v>
      </c>
      <c r="F34" s="26" t="n">
        <v>1</v>
      </c>
      <c r="G34" s="26" t="n">
        <v>1</v>
      </c>
      <c r="H34" s="26" t="n">
        <v>0</v>
      </c>
      <c r="I34" s="26" t="n">
        <v>0</v>
      </c>
      <c r="J34" s="26" t="n">
        <v>1</v>
      </c>
      <c r="K34" s="27" t="n">
        <v>1</v>
      </c>
    </row>
    <row r="35" customFormat="false" ht="18" hidden="false" customHeight="true" outlineLevel="0" collapsed="false">
      <c r="A35" s="21" t="s">
        <v>58</v>
      </c>
      <c r="B35" s="20" t="s">
        <v>45</v>
      </c>
      <c r="C35" s="21" t="s">
        <v>46</v>
      </c>
      <c r="D35" s="22" t="n">
        <v>3</v>
      </c>
      <c r="E35" s="22" t="n">
        <v>3</v>
      </c>
      <c r="F35" s="22" t="n">
        <v>6</v>
      </c>
      <c r="G35" s="22" t="n">
        <v>5</v>
      </c>
      <c r="H35" s="22" t="n">
        <v>0</v>
      </c>
      <c r="I35" s="22" t="n">
        <v>0</v>
      </c>
      <c r="J35" s="22" t="n">
        <v>6</v>
      </c>
      <c r="K35" s="23" t="n">
        <v>0</v>
      </c>
    </row>
    <row r="36" customFormat="false" ht="18" hidden="false" customHeight="true" outlineLevel="0" collapsed="false">
      <c r="A36" s="32" t="s">
        <v>58</v>
      </c>
      <c r="B36" s="33" t="s">
        <v>45</v>
      </c>
      <c r="C36" s="32" t="s">
        <v>51</v>
      </c>
      <c r="D36" s="34" t="n">
        <v>0</v>
      </c>
      <c r="E36" s="34" t="n">
        <v>1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0</v>
      </c>
      <c r="K36" s="35" t="n">
        <v>1</v>
      </c>
    </row>
    <row r="37" customFormat="false" ht="18" hidden="false" customHeight="true" outlineLevel="0" collapsed="false">
      <c r="A37" s="24" t="s">
        <v>58</v>
      </c>
      <c r="B37" s="25" t="s">
        <v>50</v>
      </c>
      <c r="C37" s="24" t="s">
        <v>46</v>
      </c>
      <c r="D37" s="26" t="n">
        <v>0</v>
      </c>
      <c r="E37" s="26" t="n">
        <v>9</v>
      </c>
      <c r="F37" s="26" t="n">
        <v>4</v>
      </c>
      <c r="G37" s="26" t="n">
        <v>3</v>
      </c>
      <c r="H37" s="26" t="n">
        <v>0</v>
      </c>
      <c r="I37" s="26" t="n">
        <v>0</v>
      </c>
      <c r="J37" s="26" t="n">
        <v>4</v>
      </c>
      <c r="K37" s="27" t="n">
        <v>5</v>
      </c>
    </row>
    <row r="38" customFormat="false" ht="18" hidden="false" customHeight="true" outlineLevel="0" collapsed="false">
      <c r="A38" s="32" t="s">
        <v>58</v>
      </c>
      <c r="B38" s="33" t="s">
        <v>47</v>
      </c>
      <c r="C38" s="32" t="s">
        <v>46</v>
      </c>
      <c r="D38" s="34" t="n">
        <v>0</v>
      </c>
      <c r="E38" s="34" t="n">
        <v>1</v>
      </c>
      <c r="F38" s="34" t="n">
        <v>0</v>
      </c>
      <c r="G38" s="34" t="n">
        <v>0</v>
      </c>
      <c r="H38" s="34" t="n">
        <v>0</v>
      </c>
      <c r="I38" s="34" t="n">
        <v>0</v>
      </c>
      <c r="J38" s="34" t="n">
        <v>0</v>
      </c>
      <c r="K38" s="35" t="n">
        <v>1</v>
      </c>
    </row>
    <row r="39" customFormat="false" ht="18" hidden="false" customHeight="true" outlineLevel="0" collapsed="false">
      <c r="A39" s="36" t="s">
        <v>59</v>
      </c>
      <c r="B39" s="37" t="s">
        <v>49</v>
      </c>
      <c r="C39" s="36" t="s">
        <v>46</v>
      </c>
      <c r="D39" s="38" t="n">
        <v>0</v>
      </c>
      <c r="E39" s="38" t="n">
        <v>0</v>
      </c>
      <c r="F39" s="38" t="n">
        <v>0</v>
      </c>
      <c r="G39" s="38" t="n">
        <v>0</v>
      </c>
      <c r="H39" s="38" t="n">
        <v>0</v>
      </c>
      <c r="I39" s="38" t="n">
        <v>0</v>
      </c>
      <c r="J39" s="38" t="n">
        <v>0</v>
      </c>
      <c r="K39" s="39" t="n">
        <v>0</v>
      </c>
    </row>
    <row r="40" customFormat="false" ht="18" hidden="false" customHeight="true" outlineLevel="0" collapsed="false">
      <c r="A40" s="24" t="s">
        <v>59</v>
      </c>
      <c r="B40" s="25" t="s">
        <v>45</v>
      </c>
      <c r="C40" s="24" t="s">
        <v>46</v>
      </c>
      <c r="D40" s="26" t="n">
        <v>3</v>
      </c>
      <c r="E40" s="26" t="n">
        <v>3</v>
      </c>
      <c r="F40" s="26" t="n">
        <v>1</v>
      </c>
      <c r="G40" s="26" t="n">
        <v>1</v>
      </c>
      <c r="H40" s="26" t="n">
        <v>0</v>
      </c>
      <c r="I40" s="26" t="n">
        <v>0</v>
      </c>
      <c r="J40" s="26" t="n">
        <v>1</v>
      </c>
      <c r="K40" s="27" t="n">
        <v>5</v>
      </c>
    </row>
    <row r="41" customFormat="false" ht="18" hidden="false" customHeight="true" outlineLevel="0" collapsed="false">
      <c r="A41" s="28" t="s">
        <v>59</v>
      </c>
      <c r="B41" s="29" t="s">
        <v>50</v>
      </c>
      <c r="C41" s="28" t="s">
        <v>46</v>
      </c>
      <c r="D41" s="30" t="n">
        <v>1</v>
      </c>
      <c r="E41" s="30" t="n">
        <v>4</v>
      </c>
      <c r="F41" s="30" t="n">
        <v>0</v>
      </c>
      <c r="G41" s="30" t="n">
        <v>0</v>
      </c>
      <c r="H41" s="30" t="n">
        <v>0</v>
      </c>
      <c r="I41" s="30" t="n">
        <v>0</v>
      </c>
      <c r="J41" s="30" t="n">
        <v>0</v>
      </c>
      <c r="K41" s="31" t="n">
        <v>5</v>
      </c>
    </row>
    <row r="42" customFormat="false" ht="18" hidden="false" customHeight="true" outlineLevel="0" collapsed="false">
      <c r="A42" s="32" t="s">
        <v>59</v>
      </c>
      <c r="B42" s="33" t="s">
        <v>47</v>
      </c>
      <c r="C42" s="32" t="s">
        <v>46</v>
      </c>
      <c r="D42" s="34" t="n">
        <v>0</v>
      </c>
      <c r="E42" s="34" t="n">
        <v>1</v>
      </c>
      <c r="F42" s="34" t="n">
        <v>0</v>
      </c>
      <c r="G42" s="34" t="n">
        <v>1</v>
      </c>
      <c r="H42" s="34" t="n">
        <v>0</v>
      </c>
      <c r="I42" s="34" t="n">
        <v>0</v>
      </c>
      <c r="J42" s="34" t="n">
        <v>0</v>
      </c>
      <c r="K42" s="35" t="n">
        <v>1</v>
      </c>
    </row>
    <row r="43" customFormat="false" ht="19.5" hidden="false" customHeight="true" outlineLevel="0" collapsed="false">
      <c r="A43" s="40" t="s">
        <v>60</v>
      </c>
      <c r="B43" s="41"/>
      <c r="C43" s="41"/>
      <c r="D43" s="41"/>
      <c r="E43" s="42" t="n">
        <f aca="false">SUM(E6:E42)</f>
        <v>101</v>
      </c>
      <c r="F43" s="42" t="n">
        <f aca="false">SUM(F6:F42)</f>
        <v>64</v>
      </c>
      <c r="G43" s="41"/>
      <c r="H43" s="41"/>
      <c r="I43" s="41"/>
      <c r="J43" s="41"/>
      <c r="K43" s="42" t="n">
        <f aca="false">SUM(K6:K42)</f>
        <v>63</v>
      </c>
    </row>
    <row r="45" customFormat="false" ht="13.5" hidden="false" customHeight="true" outlineLevel="0" collapsed="false">
      <c r="A45" s="43" t="s">
        <v>61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</row>
  </sheetData>
  <mergeCells count="3">
    <mergeCell ref="A2:K2"/>
    <mergeCell ref="A3:K3"/>
    <mergeCell ref="A45:K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19" t="s">
        <v>62</v>
      </c>
      <c r="B2" s="19"/>
      <c r="C2" s="19"/>
      <c r="D2" s="19"/>
      <c r="E2" s="19"/>
      <c r="F2" s="19"/>
      <c r="G2" s="19"/>
      <c r="H2" s="19"/>
    </row>
    <row r="3" customFormat="false" ht="18" hidden="false" customHeight="true" outlineLevel="0" collapsed="false">
      <c r="A3" s="3" t="s">
        <v>63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5" hidden="false" customHeight="false" outlineLevel="0" collapsed="false">
      <c r="A5" s="10" t="s">
        <v>34</v>
      </c>
      <c r="B5" s="10" t="s">
        <v>35</v>
      </c>
      <c r="C5" s="10" t="s">
        <v>64</v>
      </c>
      <c r="D5" s="9" t="s">
        <v>38</v>
      </c>
      <c r="E5" s="9" t="s">
        <v>65</v>
      </c>
      <c r="F5" s="10" t="s">
        <v>44</v>
      </c>
      <c r="G5" s="44" t="s">
        <v>66</v>
      </c>
      <c r="H5" s="10" t="s">
        <v>67</v>
      </c>
    </row>
    <row r="6" customFormat="false" ht="18" hidden="false" customHeight="true" outlineLevel="0" collapsed="false">
      <c r="A6" s="36" t="s">
        <v>48</v>
      </c>
      <c r="B6" s="37" t="s">
        <v>49</v>
      </c>
      <c r="C6" s="36" t="s">
        <v>68</v>
      </c>
      <c r="D6" s="38" t="n">
        <v>2</v>
      </c>
      <c r="E6" s="38" t="n">
        <v>2</v>
      </c>
      <c r="F6" s="39" t="n">
        <v>0</v>
      </c>
      <c r="G6" s="45" t="n">
        <v>2</v>
      </c>
      <c r="H6" s="45" t="n">
        <v>-2</v>
      </c>
    </row>
    <row r="7" customFormat="false" ht="18" hidden="false" customHeight="true" outlineLevel="0" collapsed="false">
      <c r="A7" s="28" t="s">
        <v>48</v>
      </c>
      <c r="B7" s="29" t="s">
        <v>45</v>
      </c>
      <c r="C7" s="28"/>
      <c r="D7" s="30" t="n">
        <v>11</v>
      </c>
      <c r="E7" s="30" t="n">
        <v>3</v>
      </c>
      <c r="F7" s="31" t="n">
        <v>8</v>
      </c>
      <c r="G7" s="46" t="n">
        <v>11</v>
      </c>
      <c r="H7" s="46" t="n">
        <v>-3</v>
      </c>
    </row>
    <row r="8" customFormat="false" ht="18" hidden="false" customHeight="true" outlineLevel="0" collapsed="false">
      <c r="A8" s="32" t="s">
        <v>48</v>
      </c>
      <c r="B8" s="33" t="s">
        <v>50</v>
      </c>
      <c r="C8" s="32"/>
      <c r="D8" s="34" t="n">
        <v>4</v>
      </c>
      <c r="E8" s="34" t="n">
        <v>1</v>
      </c>
      <c r="F8" s="35" t="n">
        <v>3</v>
      </c>
      <c r="G8" s="47" t="n">
        <v>4</v>
      </c>
      <c r="H8" s="47" t="n">
        <v>-1</v>
      </c>
    </row>
    <row r="9" customFormat="false" ht="18" hidden="false" customHeight="true" outlineLevel="0" collapsed="false">
      <c r="A9" s="28" t="s">
        <v>48</v>
      </c>
      <c r="B9" s="29" t="s">
        <v>50</v>
      </c>
      <c r="C9" s="28" t="s">
        <v>68</v>
      </c>
      <c r="D9" s="30" t="n">
        <v>3</v>
      </c>
      <c r="E9" s="30" t="n">
        <v>0</v>
      </c>
      <c r="F9" s="31" t="n">
        <v>3</v>
      </c>
      <c r="G9" s="46" t="n">
        <v>3</v>
      </c>
      <c r="H9" s="46" t="n">
        <v>0</v>
      </c>
    </row>
    <row r="10" customFormat="false" ht="18" hidden="false" customHeight="true" outlineLevel="0" collapsed="false">
      <c r="A10" s="32" t="s">
        <v>48</v>
      </c>
      <c r="B10" s="33" t="s">
        <v>47</v>
      </c>
      <c r="C10" s="32"/>
      <c r="D10" s="34" t="n">
        <v>2</v>
      </c>
      <c r="E10" s="34" t="n">
        <v>0</v>
      </c>
      <c r="F10" s="35" t="n">
        <v>2</v>
      </c>
      <c r="G10" s="47" t="n">
        <v>2</v>
      </c>
      <c r="H10" s="47" t="n">
        <v>0</v>
      </c>
    </row>
    <row r="11" customFormat="false" ht="18" hidden="false" customHeight="true" outlineLevel="0" collapsed="false">
      <c r="A11" s="28" t="s">
        <v>52</v>
      </c>
      <c r="B11" s="29" t="s">
        <v>49</v>
      </c>
      <c r="C11" s="28"/>
      <c r="D11" s="30" t="n">
        <v>2</v>
      </c>
      <c r="E11" s="30" t="n">
        <v>0</v>
      </c>
      <c r="F11" s="31" t="n">
        <v>2</v>
      </c>
      <c r="G11" s="46" t="n">
        <v>2</v>
      </c>
      <c r="H11" s="46" t="n">
        <v>0</v>
      </c>
    </row>
    <row r="12" customFormat="false" ht="18" hidden="false" customHeight="true" outlineLevel="0" collapsed="false">
      <c r="A12" s="32" t="s">
        <v>52</v>
      </c>
      <c r="B12" s="33" t="s">
        <v>49</v>
      </c>
      <c r="C12" s="32" t="s">
        <v>68</v>
      </c>
      <c r="D12" s="34" t="n">
        <v>8</v>
      </c>
      <c r="E12" s="34" t="n">
        <v>0</v>
      </c>
      <c r="F12" s="35" t="n">
        <v>8</v>
      </c>
      <c r="G12" s="47" t="n">
        <v>8</v>
      </c>
      <c r="H12" s="47" t="n">
        <v>0</v>
      </c>
    </row>
    <row r="13" customFormat="false" ht="18" hidden="false" customHeight="true" outlineLevel="0" collapsed="false">
      <c r="A13" s="28" t="s">
        <v>52</v>
      </c>
      <c r="B13" s="29" t="s">
        <v>45</v>
      </c>
      <c r="C13" s="28"/>
      <c r="D13" s="30" t="n">
        <v>5</v>
      </c>
      <c r="E13" s="30" t="n">
        <v>0</v>
      </c>
      <c r="F13" s="31" t="n">
        <v>5</v>
      </c>
      <c r="G13" s="46" t="n">
        <v>5</v>
      </c>
      <c r="H13" s="46" t="n">
        <v>0</v>
      </c>
    </row>
    <row r="14" customFormat="false" ht="18" hidden="false" customHeight="true" outlineLevel="0" collapsed="false">
      <c r="A14" s="24" t="s">
        <v>52</v>
      </c>
      <c r="B14" s="25" t="s">
        <v>45</v>
      </c>
      <c r="C14" s="24" t="s">
        <v>68</v>
      </c>
      <c r="D14" s="26" t="n">
        <v>27</v>
      </c>
      <c r="E14" s="26" t="n">
        <v>0</v>
      </c>
      <c r="F14" s="27" t="n">
        <v>27</v>
      </c>
      <c r="G14" s="48" t="n">
        <v>27</v>
      </c>
      <c r="H14" s="48" t="n">
        <v>0</v>
      </c>
    </row>
    <row r="15" customFormat="false" ht="18" hidden="false" customHeight="true" outlineLevel="0" collapsed="false">
      <c r="A15" s="28" t="s">
        <v>52</v>
      </c>
      <c r="B15" s="29" t="s">
        <v>50</v>
      </c>
      <c r="C15" s="28"/>
      <c r="D15" s="30" t="n">
        <v>1</v>
      </c>
      <c r="E15" s="30" t="n">
        <v>0</v>
      </c>
      <c r="F15" s="31" t="n">
        <v>1</v>
      </c>
      <c r="G15" s="46" t="n">
        <v>1</v>
      </c>
      <c r="H15" s="46" t="n">
        <v>0</v>
      </c>
    </row>
    <row r="16" customFormat="false" ht="18" hidden="false" customHeight="true" outlineLevel="0" collapsed="false">
      <c r="A16" s="32" t="s">
        <v>52</v>
      </c>
      <c r="B16" s="33" t="s">
        <v>50</v>
      </c>
      <c r="C16" s="32" t="s">
        <v>68</v>
      </c>
      <c r="D16" s="34" t="n">
        <v>13</v>
      </c>
      <c r="E16" s="34" t="n">
        <v>0</v>
      </c>
      <c r="F16" s="35" t="n">
        <v>13</v>
      </c>
      <c r="G16" s="47" t="n">
        <v>13</v>
      </c>
      <c r="H16" s="47" t="n">
        <v>0</v>
      </c>
    </row>
    <row r="17" customFormat="false" ht="18" hidden="false" customHeight="true" outlineLevel="0" collapsed="false">
      <c r="A17" s="28" t="s">
        <v>69</v>
      </c>
      <c r="B17" s="29" t="s">
        <v>49</v>
      </c>
      <c r="C17" s="28" t="s">
        <v>68</v>
      </c>
      <c r="D17" s="30" t="n">
        <v>7</v>
      </c>
      <c r="E17" s="30" t="n">
        <v>1</v>
      </c>
      <c r="F17" s="31" t="n">
        <v>6</v>
      </c>
      <c r="G17" s="46" t="n">
        <v>7</v>
      </c>
      <c r="H17" s="46" t="n">
        <v>-1</v>
      </c>
    </row>
    <row r="18" customFormat="false" ht="18" hidden="false" customHeight="true" outlineLevel="0" collapsed="false">
      <c r="A18" s="24" t="s">
        <v>69</v>
      </c>
      <c r="B18" s="25" t="s">
        <v>45</v>
      </c>
      <c r="C18" s="24" t="s">
        <v>68</v>
      </c>
      <c r="D18" s="26" t="n">
        <v>28</v>
      </c>
      <c r="E18" s="26" t="n">
        <v>1</v>
      </c>
      <c r="F18" s="27" t="n">
        <v>27</v>
      </c>
      <c r="G18" s="48" t="n">
        <v>28</v>
      </c>
      <c r="H18" s="48" t="n">
        <v>-1</v>
      </c>
    </row>
    <row r="19" customFormat="false" ht="18" hidden="false" customHeight="true" outlineLevel="0" collapsed="false">
      <c r="A19" s="28" t="s">
        <v>69</v>
      </c>
      <c r="B19" s="29" t="s">
        <v>50</v>
      </c>
      <c r="C19" s="28" t="s">
        <v>68</v>
      </c>
      <c r="D19" s="30" t="n">
        <v>8</v>
      </c>
      <c r="E19" s="30" t="n">
        <v>0</v>
      </c>
      <c r="F19" s="31" t="n">
        <v>8</v>
      </c>
      <c r="G19" s="46" t="n">
        <v>8</v>
      </c>
      <c r="H19" s="46" t="n">
        <v>0</v>
      </c>
    </row>
    <row r="20" customFormat="false" ht="18" hidden="false" customHeight="true" outlineLevel="0" collapsed="false">
      <c r="A20" s="32" t="s">
        <v>69</v>
      </c>
      <c r="B20" s="33" t="s">
        <v>47</v>
      </c>
      <c r="C20" s="32" t="s">
        <v>68</v>
      </c>
      <c r="D20" s="34" t="n">
        <v>3</v>
      </c>
      <c r="E20" s="34" t="n">
        <v>0</v>
      </c>
      <c r="F20" s="35" t="n">
        <v>3</v>
      </c>
      <c r="G20" s="47" t="n">
        <v>3</v>
      </c>
      <c r="H20" s="47" t="n">
        <v>0</v>
      </c>
    </row>
    <row r="21" customFormat="false" ht="18" hidden="false" customHeight="true" outlineLevel="0" collapsed="false">
      <c r="A21" s="28" t="s">
        <v>54</v>
      </c>
      <c r="B21" s="29" t="s">
        <v>45</v>
      </c>
      <c r="C21" s="28"/>
      <c r="D21" s="30" t="n">
        <v>1</v>
      </c>
      <c r="E21" s="30" t="n">
        <v>0</v>
      </c>
      <c r="F21" s="31" t="n">
        <v>1</v>
      </c>
      <c r="G21" s="46" t="n">
        <v>1</v>
      </c>
      <c r="H21" s="46" t="n">
        <v>0</v>
      </c>
    </row>
    <row r="22" customFormat="false" ht="18" hidden="false" customHeight="true" outlineLevel="0" collapsed="false">
      <c r="A22" s="24" t="s">
        <v>54</v>
      </c>
      <c r="B22" s="25" t="s">
        <v>45</v>
      </c>
      <c r="C22" s="24" t="s">
        <v>68</v>
      </c>
      <c r="D22" s="26" t="n">
        <v>27</v>
      </c>
      <c r="E22" s="26" t="n">
        <v>0</v>
      </c>
      <c r="F22" s="27" t="n">
        <v>27</v>
      </c>
      <c r="G22" s="48" t="n">
        <v>27</v>
      </c>
      <c r="H22" s="48" t="n">
        <v>0</v>
      </c>
    </row>
    <row r="23" customFormat="false" ht="18" hidden="false" customHeight="true" outlineLevel="0" collapsed="false">
      <c r="A23" s="36" t="s">
        <v>54</v>
      </c>
      <c r="B23" s="37" t="s">
        <v>50</v>
      </c>
      <c r="C23" s="37"/>
      <c r="D23" s="38" t="n">
        <v>1</v>
      </c>
      <c r="E23" s="38" t="n">
        <v>1</v>
      </c>
      <c r="F23" s="39" t="n">
        <v>0</v>
      </c>
      <c r="G23" s="45" t="n">
        <v>1</v>
      </c>
      <c r="H23" s="45" t="n">
        <v>-1</v>
      </c>
    </row>
    <row r="24" customFormat="false" ht="18" hidden="false" customHeight="true" outlineLevel="0" collapsed="false">
      <c r="A24" s="36" t="s">
        <v>54</v>
      </c>
      <c r="B24" s="37" t="s">
        <v>50</v>
      </c>
      <c r="C24" s="36" t="s">
        <v>68</v>
      </c>
      <c r="D24" s="38" t="n">
        <v>1</v>
      </c>
      <c r="E24" s="38" t="n">
        <v>1</v>
      </c>
      <c r="F24" s="39" t="n">
        <v>0</v>
      </c>
      <c r="G24" s="45" t="n">
        <v>1</v>
      </c>
      <c r="H24" s="45" t="n">
        <v>-1</v>
      </c>
    </row>
    <row r="25" customFormat="false" ht="18" hidden="false" customHeight="true" outlineLevel="0" collapsed="false">
      <c r="A25" s="28" t="s">
        <v>54</v>
      </c>
      <c r="B25" s="29" t="s">
        <v>47</v>
      </c>
      <c r="C25" s="28" t="s">
        <v>68</v>
      </c>
      <c r="D25" s="30" t="n">
        <v>6</v>
      </c>
      <c r="E25" s="30" t="n">
        <v>0</v>
      </c>
      <c r="F25" s="31" t="n">
        <v>6</v>
      </c>
      <c r="G25" s="46" t="n">
        <v>6</v>
      </c>
      <c r="H25" s="46" t="n">
        <v>0</v>
      </c>
    </row>
    <row r="26" customFormat="false" ht="18" hidden="false" customHeight="true" outlineLevel="0" collapsed="false">
      <c r="A26" s="32" t="s">
        <v>54</v>
      </c>
      <c r="B26" s="33" t="s">
        <v>70</v>
      </c>
      <c r="C26" s="32" t="s">
        <v>68</v>
      </c>
      <c r="D26" s="34" t="n">
        <v>6</v>
      </c>
      <c r="E26" s="34" t="n">
        <v>1</v>
      </c>
      <c r="F26" s="35" t="n">
        <v>5</v>
      </c>
      <c r="G26" s="47" t="n">
        <v>6</v>
      </c>
      <c r="H26" s="47" t="n">
        <v>-1</v>
      </c>
    </row>
    <row r="27" customFormat="false" ht="18" hidden="false" customHeight="true" outlineLevel="0" collapsed="false">
      <c r="A27" s="28" t="s">
        <v>58</v>
      </c>
      <c r="B27" s="29" t="s">
        <v>49</v>
      </c>
      <c r="C27" s="28" t="s">
        <v>68</v>
      </c>
      <c r="D27" s="30" t="n">
        <v>7</v>
      </c>
      <c r="E27" s="30" t="n">
        <v>0</v>
      </c>
      <c r="F27" s="31" t="n">
        <v>7</v>
      </c>
      <c r="G27" s="46" t="n">
        <v>7</v>
      </c>
      <c r="H27" s="46" t="n">
        <v>0</v>
      </c>
    </row>
    <row r="28" customFormat="false" ht="18" hidden="false" customHeight="true" outlineLevel="0" collapsed="false">
      <c r="A28" s="32" t="s">
        <v>58</v>
      </c>
      <c r="B28" s="33" t="s">
        <v>45</v>
      </c>
      <c r="C28" s="32"/>
      <c r="D28" s="34" t="n">
        <v>2</v>
      </c>
      <c r="E28" s="34" t="n">
        <v>0</v>
      </c>
      <c r="F28" s="35" t="n">
        <v>2</v>
      </c>
      <c r="G28" s="47" t="n">
        <v>2</v>
      </c>
      <c r="H28" s="47" t="n">
        <v>0</v>
      </c>
    </row>
    <row r="29" customFormat="false" ht="18" hidden="false" customHeight="true" outlineLevel="0" collapsed="false">
      <c r="A29" s="28" t="s">
        <v>58</v>
      </c>
      <c r="B29" s="29" t="s">
        <v>45</v>
      </c>
      <c r="C29" s="28" t="s">
        <v>68</v>
      </c>
      <c r="D29" s="30" t="n">
        <v>18</v>
      </c>
      <c r="E29" s="30" t="n">
        <v>0</v>
      </c>
      <c r="F29" s="31" t="n">
        <v>18</v>
      </c>
      <c r="G29" s="46" t="n">
        <v>18</v>
      </c>
      <c r="H29" s="46" t="n">
        <v>0</v>
      </c>
    </row>
    <row r="30" customFormat="false" ht="18" hidden="false" customHeight="true" outlineLevel="0" collapsed="false">
      <c r="A30" s="32" t="s">
        <v>58</v>
      </c>
      <c r="B30" s="33" t="s">
        <v>50</v>
      </c>
      <c r="C30" s="32"/>
      <c r="D30" s="34" t="n">
        <v>1</v>
      </c>
      <c r="E30" s="34" t="n">
        <v>0</v>
      </c>
      <c r="F30" s="35" t="n">
        <v>1</v>
      </c>
      <c r="G30" s="47" t="n">
        <v>1</v>
      </c>
      <c r="H30" s="47" t="n">
        <v>0</v>
      </c>
    </row>
    <row r="31" customFormat="false" ht="18" hidden="false" customHeight="true" outlineLevel="0" collapsed="false">
      <c r="A31" s="28" t="s">
        <v>58</v>
      </c>
      <c r="B31" s="29" t="s">
        <v>50</v>
      </c>
      <c r="C31" s="28" t="s">
        <v>68</v>
      </c>
      <c r="D31" s="30" t="n">
        <v>8</v>
      </c>
      <c r="E31" s="30" t="n">
        <v>0</v>
      </c>
      <c r="F31" s="31" t="n">
        <v>8</v>
      </c>
      <c r="G31" s="46" t="n">
        <v>8</v>
      </c>
      <c r="H31" s="46" t="n">
        <v>0</v>
      </c>
    </row>
    <row r="32" customFormat="false" ht="18" hidden="false" customHeight="true" outlineLevel="0" collapsed="false">
      <c r="A32" s="32" t="s">
        <v>58</v>
      </c>
      <c r="B32" s="33" t="s">
        <v>47</v>
      </c>
      <c r="C32" s="32"/>
      <c r="D32" s="34" t="n">
        <v>1</v>
      </c>
      <c r="E32" s="34" t="n">
        <v>0</v>
      </c>
      <c r="F32" s="35" t="n">
        <v>1</v>
      </c>
      <c r="G32" s="47" t="n">
        <v>1</v>
      </c>
      <c r="H32" s="47" t="n">
        <v>0</v>
      </c>
    </row>
    <row r="33" customFormat="false" ht="18" hidden="false" customHeight="true" outlineLevel="0" collapsed="false">
      <c r="A33" s="28" t="s">
        <v>58</v>
      </c>
      <c r="B33" s="29" t="s">
        <v>47</v>
      </c>
      <c r="C33" s="28" t="s">
        <v>68</v>
      </c>
      <c r="D33" s="30" t="n">
        <v>2</v>
      </c>
      <c r="E33" s="30" t="n">
        <v>0</v>
      </c>
      <c r="F33" s="31" t="n">
        <v>2</v>
      </c>
      <c r="G33" s="46" t="n">
        <v>2</v>
      </c>
      <c r="H33" s="46" t="n">
        <v>0</v>
      </c>
    </row>
    <row r="34" customFormat="false" ht="18" hidden="false" customHeight="true" outlineLevel="0" collapsed="false">
      <c r="A34" s="32" t="s">
        <v>71</v>
      </c>
      <c r="B34" s="33" t="s">
        <v>49</v>
      </c>
      <c r="C34" s="32"/>
      <c r="D34" s="34" t="n">
        <v>2</v>
      </c>
      <c r="E34" s="34" t="n">
        <v>0</v>
      </c>
      <c r="F34" s="35" t="n">
        <v>2</v>
      </c>
      <c r="G34" s="47" t="n">
        <v>2</v>
      </c>
      <c r="H34" s="47" t="n">
        <v>0</v>
      </c>
    </row>
    <row r="35" customFormat="false" ht="18" hidden="false" customHeight="true" outlineLevel="0" collapsed="false">
      <c r="A35" s="28" t="s">
        <v>71</v>
      </c>
      <c r="B35" s="29" t="s">
        <v>47</v>
      </c>
      <c r="C35" s="28"/>
      <c r="D35" s="30" t="n">
        <v>1</v>
      </c>
      <c r="E35" s="30" t="n">
        <v>0</v>
      </c>
      <c r="F35" s="31" t="n">
        <v>1</v>
      </c>
      <c r="G35" s="46" t="n">
        <v>1</v>
      </c>
      <c r="H35" s="46" t="n">
        <v>0</v>
      </c>
    </row>
    <row r="36" customFormat="false" ht="18" hidden="false" customHeight="true" outlineLevel="0" collapsed="false">
      <c r="A36" s="32" t="s">
        <v>72</v>
      </c>
      <c r="B36" s="33" t="s">
        <v>49</v>
      </c>
      <c r="C36" s="32"/>
      <c r="D36" s="34" t="n">
        <v>1</v>
      </c>
      <c r="E36" s="34" t="n">
        <v>0</v>
      </c>
      <c r="F36" s="35" t="n">
        <v>1</v>
      </c>
      <c r="G36" s="47" t="n">
        <v>1</v>
      </c>
      <c r="H36" s="47" t="n">
        <v>0</v>
      </c>
    </row>
    <row r="37" customFormat="false" ht="18" hidden="false" customHeight="true" outlineLevel="0" collapsed="false">
      <c r="A37" s="28" t="s">
        <v>72</v>
      </c>
      <c r="B37" s="29" t="s">
        <v>45</v>
      </c>
      <c r="C37" s="28"/>
      <c r="D37" s="30" t="n">
        <v>2</v>
      </c>
      <c r="E37" s="30" t="n">
        <v>0</v>
      </c>
      <c r="F37" s="31" t="n">
        <v>2</v>
      </c>
      <c r="G37" s="46" t="n">
        <v>2</v>
      </c>
      <c r="H37" s="46" t="n">
        <v>0</v>
      </c>
    </row>
    <row r="38" customFormat="false" ht="18" hidden="false" customHeight="true" outlineLevel="0" collapsed="false">
      <c r="A38" s="32" t="s">
        <v>72</v>
      </c>
      <c r="B38" s="33" t="s">
        <v>50</v>
      </c>
      <c r="C38" s="32"/>
      <c r="D38" s="34" t="n">
        <v>4</v>
      </c>
      <c r="E38" s="34" t="n">
        <v>0</v>
      </c>
      <c r="F38" s="35" t="n">
        <v>4</v>
      </c>
      <c r="G38" s="47" t="n">
        <v>4</v>
      </c>
      <c r="H38" s="47" t="n">
        <v>0</v>
      </c>
    </row>
    <row r="39" customFormat="false" ht="18" hidden="false" customHeight="true" outlineLevel="0" collapsed="false">
      <c r="A39" s="28" t="s">
        <v>72</v>
      </c>
      <c r="B39" s="29" t="s">
        <v>70</v>
      </c>
      <c r="C39" s="28"/>
      <c r="D39" s="30" t="n">
        <v>1</v>
      </c>
      <c r="E39" s="30" t="n">
        <v>0</v>
      </c>
      <c r="F39" s="31" t="n">
        <v>1</v>
      </c>
      <c r="G39" s="46" t="n">
        <v>1</v>
      </c>
      <c r="H39" s="46" t="n">
        <v>0</v>
      </c>
    </row>
    <row r="40" customFormat="false" ht="19.5" hidden="false" customHeight="true" outlineLevel="0" collapsed="false">
      <c r="A40" s="40" t="s">
        <v>60</v>
      </c>
      <c r="B40" s="41"/>
      <c r="C40" s="41"/>
      <c r="D40" s="42" t="n">
        <f aca="false">SUM(D6:D39)</f>
        <v>216</v>
      </c>
      <c r="E40" s="42" t="n">
        <f aca="false">SUM(E6:E39)</f>
        <v>11</v>
      </c>
      <c r="F40" s="42" t="n">
        <f aca="false">SUM(F6:F39)</f>
        <v>205</v>
      </c>
      <c r="G40" s="41"/>
      <c r="H40" s="41"/>
    </row>
    <row r="42" customFormat="false" ht="13.5" hidden="false" customHeight="true" outlineLevel="0" collapsed="false">
      <c r="A42" s="49" t="s">
        <v>73</v>
      </c>
      <c r="B42" s="49"/>
      <c r="C42" s="49"/>
      <c r="D42" s="49"/>
      <c r="E42" s="49"/>
      <c r="F42" s="49"/>
      <c r="G42" s="49"/>
      <c r="H42" s="49"/>
    </row>
  </sheetData>
  <mergeCells count="3">
    <mergeCell ref="A2:H2"/>
    <mergeCell ref="A3:H3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B6B"/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4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6" hidden="false" customHeight="true" outlineLevel="0" collapsed="false">
      <c r="A2" s="50" t="s">
        <v>74</v>
      </c>
      <c r="B2" s="50"/>
      <c r="C2" s="50"/>
      <c r="D2" s="50"/>
      <c r="E2" s="50"/>
      <c r="F2" s="50"/>
      <c r="G2" s="50"/>
      <c r="H2" s="50"/>
      <c r="I2" s="50"/>
    </row>
    <row r="3" customFormat="false" ht="18" hidden="false" customHeight="true" outlineLevel="0" collapsed="false">
      <c r="A3" s="3" t="s">
        <v>75</v>
      </c>
      <c r="B3" s="3"/>
      <c r="C3" s="3"/>
      <c r="D3" s="3"/>
      <c r="E3" s="3"/>
      <c r="F3" s="3"/>
      <c r="G3" s="3"/>
      <c r="H3" s="3"/>
      <c r="I3" s="3"/>
    </row>
    <row r="4" customFormat="false" ht="7.5" hidden="false" customHeight="true" outlineLevel="0" collapsed="false"/>
    <row r="5" customFormat="false" ht="15" hidden="false" customHeight="false" outlineLevel="0" collapsed="false">
      <c r="A5" s="10" t="s">
        <v>76</v>
      </c>
      <c r="B5" s="10" t="s">
        <v>77</v>
      </c>
      <c r="C5" s="10" t="s">
        <v>37</v>
      </c>
      <c r="D5" s="9" t="s">
        <v>38</v>
      </c>
      <c r="E5" s="9" t="s">
        <v>65</v>
      </c>
      <c r="F5" s="10" t="s">
        <v>44</v>
      </c>
      <c r="G5" s="10" t="s">
        <v>78</v>
      </c>
      <c r="H5" s="10" t="s">
        <v>79</v>
      </c>
      <c r="I5" s="10" t="s">
        <v>64</v>
      </c>
    </row>
    <row r="6" customFormat="false" ht="18" hidden="false" customHeight="true" outlineLevel="0" collapsed="false">
      <c r="A6" s="51" t="s">
        <v>80</v>
      </c>
      <c r="B6" s="24" t="s">
        <v>81</v>
      </c>
      <c r="C6" s="26" t="n">
        <v>3</v>
      </c>
      <c r="D6" s="26" t="n">
        <v>162</v>
      </c>
      <c r="E6" s="26" t="n">
        <v>65</v>
      </c>
      <c r="F6" s="27" t="n">
        <v>100</v>
      </c>
      <c r="G6" s="52"/>
      <c r="H6" s="53"/>
      <c r="I6" s="54" t="s">
        <v>82</v>
      </c>
    </row>
    <row r="7" customFormat="false" ht="18" hidden="false" customHeight="true" outlineLevel="0" collapsed="false">
      <c r="A7" s="28" t="s">
        <v>83</v>
      </c>
      <c r="B7" s="28" t="s">
        <v>84</v>
      </c>
      <c r="C7" s="30" t="n">
        <v>0</v>
      </c>
      <c r="D7" s="30" t="n">
        <v>97</v>
      </c>
      <c r="E7" s="30" t="n">
        <v>11</v>
      </c>
      <c r="F7" s="31" t="n">
        <v>86</v>
      </c>
      <c r="G7" s="55" t="n">
        <v>835</v>
      </c>
      <c r="H7" s="56" t="n">
        <f aca="false">F7*G7</f>
        <v>71810</v>
      </c>
      <c r="I7" s="57"/>
    </row>
    <row r="8" customFormat="false" ht="18" hidden="false" customHeight="true" outlineLevel="0" collapsed="false">
      <c r="A8" s="32" t="s">
        <v>85</v>
      </c>
      <c r="B8" s="32" t="s">
        <v>84</v>
      </c>
      <c r="C8" s="34" t="n">
        <v>20</v>
      </c>
      <c r="D8" s="34" t="n">
        <v>100</v>
      </c>
      <c r="E8" s="34" t="n">
        <v>58</v>
      </c>
      <c r="F8" s="35" t="n">
        <v>62</v>
      </c>
      <c r="G8" s="58" t="n">
        <v>927</v>
      </c>
      <c r="H8" s="59" t="n">
        <f aca="false">F8*G8</f>
        <v>57474</v>
      </c>
      <c r="I8" s="60"/>
    </row>
    <row r="9" customFormat="false" ht="18" hidden="false" customHeight="true" outlineLevel="0" collapsed="false">
      <c r="A9" s="51" t="s">
        <v>86</v>
      </c>
      <c r="B9" s="24" t="s">
        <v>87</v>
      </c>
      <c r="C9" s="26" t="n">
        <v>28</v>
      </c>
      <c r="D9" s="26" t="n">
        <v>0</v>
      </c>
      <c r="E9" s="26" t="n">
        <v>10</v>
      </c>
      <c r="F9" s="27" t="n">
        <v>18</v>
      </c>
      <c r="G9" s="52"/>
      <c r="H9" s="53"/>
      <c r="I9" s="54" t="s">
        <v>82</v>
      </c>
    </row>
    <row r="10" customFormat="false" ht="18" hidden="false" customHeight="true" outlineLevel="0" collapsed="false">
      <c r="A10" s="36" t="s">
        <v>88</v>
      </c>
      <c r="B10" s="36" t="s">
        <v>87</v>
      </c>
      <c r="C10" s="38" t="n">
        <v>42</v>
      </c>
      <c r="D10" s="38" t="n">
        <v>14</v>
      </c>
      <c r="E10" s="38" t="n">
        <v>56</v>
      </c>
      <c r="F10" s="39" t="n">
        <v>0</v>
      </c>
      <c r="G10" s="61"/>
      <c r="H10" s="62"/>
      <c r="I10" s="63" t="s">
        <v>89</v>
      </c>
    </row>
    <row r="11" customFormat="false" ht="18" hidden="false" customHeight="true" outlineLevel="0" collapsed="false">
      <c r="A11" s="51" t="s">
        <v>90</v>
      </c>
      <c r="B11" s="24" t="s">
        <v>91</v>
      </c>
      <c r="C11" s="26" t="n">
        <v>134</v>
      </c>
      <c r="D11" s="26" t="n">
        <v>271</v>
      </c>
      <c r="E11" s="26" t="n">
        <v>244</v>
      </c>
      <c r="F11" s="27" t="n">
        <v>161</v>
      </c>
      <c r="G11" s="52"/>
      <c r="H11" s="53"/>
      <c r="I11" s="54" t="s">
        <v>82</v>
      </c>
    </row>
    <row r="12" customFormat="false" ht="18" hidden="false" customHeight="true" outlineLevel="0" collapsed="false">
      <c r="A12" s="51" t="s">
        <v>92</v>
      </c>
      <c r="B12" s="24" t="s">
        <v>91</v>
      </c>
      <c r="C12" s="26" t="n">
        <v>0</v>
      </c>
      <c r="D12" s="26" t="n">
        <v>30</v>
      </c>
      <c r="E12" s="26" t="n">
        <v>8</v>
      </c>
      <c r="F12" s="27" t="n">
        <v>22</v>
      </c>
      <c r="G12" s="52"/>
      <c r="H12" s="53"/>
      <c r="I12" s="54" t="s">
        <v>82</v>
      </c>
    </row>
    <row r="13" customFormat="false" ht="18" hidden="false" customHeight="true" outlineLevel="0" collapsed="false">
      <c r="A13" s="51" t="s">
        <v>93</v>
      </c>
      <c r="B13" s="24" t="s">
        <v>94</v>
      </c>
      <c r="C13" s="26" t="n">
        <v>0</v>
      </c>
      <c r="D13" s="26" t="n">
        <v>16</v>
      </c>
      <c r="E13" s="26" t="n">
        <v>0</v>
      </c>
      <c r="F13" s="27" t="n">
        <v>16</v>
      </c>
      <c r="G13" s="52"/>
      <c r="H13" s="53"/>
      <c r="I13" s="54" t="s">
        <v>82</v>
      </c>
    </row>
    <row r="14" customFormat="false" ht="18" hidden="false" customHeight="true" outlineLevel="0" collapsed="false">
      <c r="A14" s="32" t="s">
        <v>95</v>
      </c>
      <c r="B14" s="32" t="s">
        <v>96</v>
      </c>
      <c r="C14" s="34" t="n">
        <v>8</v>
      </c>
      <c r="D14" s="34" t="n">
        <v>320</v>
      </c>
      <c r="E14" s="34" t="n">
        <v>71</v>
      </c>
      <c r="F14" s="35" t="n">
        <v>257</v>
      </c>
      <c r="G14" s="58" t="n">
        <v>119</v>
      </c>
      <c r="H14" s="59" t="n">
        <f aca="false">F14*G14</f>
        <v>30583</v>
      </c>
      <c r="I14" s="60"/>
    </row>
    <row r="15" customFormat="false" ht="18" hidden="false" customHeight="true" outlineLevel="0" collapsed="false">
      <c r="A15" s="28" t="s">
        <v>97</v>
      </c>
      <c r="B15" s="28" t="s">
        <v>96</v>
      </c>
      <c r="C15" s="30" t="n">
        <v>7</v>
      </c>
      <c r="D15" s="30" t="n">
        <v>17</v>
      </c>
      <c r="E15" s="30" t="n">
        <v>10</v>
      </c>
      <c r="F15" s="31" t="n">
        <v>14</v>
      </c>
      <c r="G15" s="55" t="n">
        <v>84</v>
      </c>
      <c r="H15" s="56" t="n">
        <f aca="false">F15*G15</f>
        <v>1176</v>
      </c>
      <c r="I15" s="57"/>
    </row>
    <row r="16" customFormat="false" ht="18" hidden="false" customHeight="true" outlineLevel="0" collapsed="false">
      <c r="A16" s="32" t="s">
        <v>98</v>
      </c>
      <c r="B16" s="32" t="s">
        <v>99</v>
      </c>
      <c r="C16" s="34" t="n">
        <v>121</v>
      </c>
      <c r="D16" s="34" t="n">
        <v>31</v>
      </c>
      <c r="E16" s="34" t="n">
        <v>79</v>
      </c>
      <c r="F16" s="35" t="n">
        <v>73</v>
      </c>
      <c r="G16" s="58" t="n">
        <v>44</v>
      </c>
      <c r="H16" s="59" t="n">
        <f aca="false">F16*G16</f>
        <v>3212</v>
      </c>
      <c r="I16" s="60"/>
    </row>
    <row r="17" customFormat="false" ht="18" hidden="false" customHeight="true" outlineLevel="0" collapsed="false">
      <c r="A17" s="28" t="s">
        <v>100</v>
      </c>
      <c r="B17" s="28" t="s">
        <v>99</v>
      </c>
      <c r="C17" s="30" t="n">
        <v>94</v>
      </c>
      <c r="D17" s="30" t="n">
        <v>24</v>
      </c>
      <c r="E17" s="30" t="n">
        <v>71</v>
      </c>
      <c r="F17" s="31" t="n">
        <v>47</v>
      </c>
      <c r="G17" s="55" t="n">
        <v>44</v>
      </c>
      <c r="H17" s="56" t="n">
        <f aca="false">F17*G17</f>
        <v>2068</v>
      </c>
      <c r="I17" s="57"/>
    </row>
    <row r="18" customFormat="false" ht="18" hidden="false" customHeight="true" outlineLevel="0" collapsed="false">
      <c r="A18" s="32" t="s">
        <v>101</v>
      </c>
      <c r="B18" s="32" t="s">
        <v>99</v>
      </c>
      <c r="C18" s="34" t="n">
        <v>31</v>
      </c>
      <c r="D18" s="34" t="n">
        <v>20</v>
      </c>
      <c r="E18" s="34" t="n">
        <v>7</v>
      </c>
      <c r="F18" s="35" t="n">
        <v>44</v>
      </c>
      <c r="G18" s="58" t="n">
        <v>500</v>
      </c>
      <c r="H18" s="59" t="n">
        <f aca="false">F18*G18</f>
        <v>22000</v>
      </c>
      <c r="I18" s="60"/>
    </row>
    <row r="19" customFormat="false" ht="18" hidden="false" customHeight="true" outlineLevel="0" collapsed="false">
      <c r="A19" s="51" t="s">
        <v>102</v>
      </c>
      <c r="B19" s="24" t="s">
        <v>99</v>
      </c>
      <c r="C19" s="26" t="n">
        <v>28</v>
      </c>
      <c r="D19" s="26" t="n">
        <v>1</v>
      </c>
      <c r="E19" s="26" t="n">
        <v>11</v>
      </c>
      <c r="F19" s="27" t="n">
        <v>18</v>
      </c>
      <c r="G19" s="52"/>
      <c r="H19" s="53"/>
      <c r="I19" s="54" t="s">
        <v>82</v>
      </c>
    </row>
    <row r="20" customFormat="false" ht="18" hidden="false" customHeight="true" outlineLevel="0" collapsed="false">
      <c r="A20" s="51" t="s">
        <v>103</v>
      </c>
      <c r="B20" s="24" t="s">
        <v>99</v>
      </c>
      <c r="C20" s="26" t="n">
        <v>0</v>
      </c>
      <c r="D20" s="26" t="n">
        <v>17</v>
      </c>
      <c r="E20" s="26" t="n">
        <v>0</v>
      </c>
      <c r="F20" s="27" t="n">
        <v>17</v>
      </c>
      <c r="G20" s="52"/>
      <c r="H20" s="53"/>
      <c r="I20" s="54" t="s">
        <v>104</v>
      </c>
    </row>
    <row r="21" customFormat="false" ht="18" hidden="false" customHeight="true" outlineLevel="0" collapsed="false">
      <c r="A21" s="28" t="s">
        <v>105</v>
      </c>
      <c r="B21" s="28" t="s">
        <v>99</v>
      </c>
      <c r="C21" s="30" t="n">
        <v>13</v>
      </c>
      <c r="D21" s="30" t="n">
        <v>0</v>
      </c>
      <c r="E21" s="30" t="n">
        <v>3</v>
      </c>
      <c r="F21" s="31" t="n">
        <v>10</v>
      </c>
      <c r="G21" s="55" t="n">
        <v>500</v>
      </c>
      <c r="H21" s="56" t="n">
        <f aca="false">F21*G21</f>
        <v>5000</v>
      </c>
      <c r="I21" s="57"/>
    </row>
    <row r="22" customFormat="false" ht="18" hidden="false" customHeight="true" outlineLevel="0" collapsed="false">
      <c r="A22" s="32" t="s">
        <v>106</v>
      </c>
      <c r="B22" s="32" t="s">
        <v>99</v>
      </c>
      <c r="C22" s="34" t="n">
        <v>9</v>
      </c>
      <c r="D22" s="34" t="n">
        <v>0</v>
      </c>
      <c r="E22" s="34" t="n">
        <v>1</v>
      </c>
      <c r="F22" s="35" t="n">
        <v>8</v>
      </c>
      <c r="G22" s="58" t="n">
        <v>500</v>
      </c>
      <c r="H22" s="59" t="n">
        <f aca="false">F22*G22</f>
        <v>4000</v>
      </c>
      <c r="I22" s="60"/>
    </row>
    <row r="23" customFormat="false" ht="18" hidden="false" customHeight="true" outlineLevel="0" collapsed="false">
      <c r="A23" s="51" t="s">
        <v>107</v>
      </c>
      <c r="B23" s="24" t="s">
        <v>99</v>
      </c>
      <c r="C23" s="26" t="n">
        <v>0</v>
      </c>
      <c r="D23" s="26" t="n">
        <v>3</v>
      </c>
      <c r="E23" s="26" t="n">
        <v>0</v>
      </c>
      <c r="F23" s="27" t="n">
        <v>3</v>
      </c>
      <c r="G23" s="52"/>
      <c r="H23" s="53"/>
      <c r="I23" s="54" t="s">
        <v>104</v>
      </c>
    </row>
    <row r="24" customFormat="false" ht="18" hidden="false" customHeight="true" outlineLevel="0" collapsed="false">
      <c r="A24" s="32" t="s">
        <v>108</v>
      </c>
      <c r="B24" s="32" t="s">
        <v>109</v>
      </c>
      <c r="C24" s="34" t="n">
        <v>56</v>
      </c>
      <c r="D24" s="34" t="n">
        <v>123</v>
      </c>
      <c r="E24" s="34" t="n">
        <v>76</v>
      </c>
      <c r="F24" s="35" t="n">
        <v>103</v>
      </c>
      <c r="G24" s="58" t="n">
        <v>101.7</v>
      </c>
      <c r="H24" s="59" t="n">
        <f aca="false">F24*G24</f>
        <v>10475.1</v>
      </c>
      <c r="I24" s="60"/>
    </row>
    <row r="25" customFormat="false" ht="18" hidden="false" customHeight="true" outlineLevel="0" collapsed="false">
      <c r="A25" s="28" t="s">
        <v>110</v>
      </c>
      <c r="B25" s="28" t="s">
        <v>111</v>
      </c>
      <c r="C25" s="30" t="n">
        <v>0</v>
      </c>
      <c r="D25" s="30" t="n">
        <v>70</v>
      </c>
      <c r="E25" s="30" t="n">
        <v>9</v>
      </c>
      <c r="F25" s="31" t="n">
        <v>61</v>
      </c>
      <c r="G25" s="55" t="n">
        <v>180</v>
      </c>
      <c r="H25" s="56" t="n">
        <f aca="false">F25*G25</f>
        <v>10980</v>
      </c>
      <c r="I25" s="57"/>
    </row>
    <row r="26" customFormat="false" ht="18" hidden="false" customHeight="true" outlineLevel="0" collapsed="false">
      <c r="A26" s="32" t="s">
        <v>112</v>
      </c>
      <c r="B26" s="32" t="s">
        <v>111</v>
      </c>
      <c r="C26" s="34" t="n">
        <v>14</v>
      </c>
      <c r="D26" s="34" t="n">
        <v>37</v>
      </c>
      <c r="E26" s="34" t="n">
        <v>22</v>
      </c>
      <c r="F26" s="35" t="n">
        <v>29</v>
      </c>
      <c r="G26" s="58" t="n">
        <v>400</v>
      </c>
      <c r="H26" s="59" t="n">
        <f aca="false">F26*G26</f>
        <v>11600</v>
      </c>
      <c r="I26" s="60"/>
    </row>
    <row r="27" customFormat="false" ht="18" hidden="false" customHeight="true" outlineLevel="0" collapsed="false">
      <c r="A27" s="28" t="s">
        <v>113</v>
      </c>
      <c r="B27" s="28" t="s">
        <v>111</v>
      </c>
      <c r="C27" s="30" t="n">
        <v>10</v>
      </c>
      <c r="D27" s="30" t="n">
        <v>26</v>
      </c>
      <c r="E27" s="30" t="n">
        <v>16</v>
      </c>
      <c r="F27" s="31" t="n">
        <v>20</v>
      </c>
      <c r="G27" s="55" t="n">
        <v>400</v>
      </c>
      <c r="H27" s="56" t="n">
        <f aca="false">F27*G27</f>
        <v>8000</v>
      </c>
      <c r="I27" s="57"/>
    </row>
    <row r="28" customFormat="false" ht="18" hidden="false" customHeight="true" outlineLevel="0" collapsed="false">
      <c r="A28" s="51" t="s">
        <v>114</v>
      </c>
      <c r="B28" s="24" t="s">
        <v>111</v>
      </c>
      <c r="C28" s="26" t="n">
        <v>2</v>
      </c>
      <c r="D28" s="26" t="n">
        <v>8</v>
      </c>
      <c r="E28" s="26" t="n">
        <v>0</v>
      </c>
      <c r="F28" s="27" t="n">
        <v>10</v>
      </c>
      <c r="G28" s="52"/>
      <c r="H28" s="53"/>
      <c r="I28" s="54" t="s">
        <v>82</v>
      </c>
    </row>
    <row r="29" customFormat="false" ht="18" hidden="false" customHeight="true" outlineLevel="0" collapsed="false">
      <c r="A29" s="51" t="s">
        <v>115</v>
      </c>
      <c r="B29" s="24" t="s">
        <v>111</v>
      </c>
      <c r="C29" s="26" t="n">
        <v>0</v>
      </c>
      <c r="D29" s="26" t="n">
        <v>8</v>
      </c>
      <c r="E29" s="26" t="n">
        <v>2</v>
      </c>
      <c r="F29" s="27" t="n">
        <v>6</v>
      </c>
      <c r="G29" s="52"/>
      <c r="H29" s="53"/>
      <c r="I29" s="54" t="s">
        <v>82</v>
      </c>
    </row>
    <row r="30" customFormat="false" ht="18" hidden="false" customHeight="true" outlineLevel="0" collapsed="false">
      <c r="A30" s="32" t="s">
        <v>116</v>
      </c>
      <c r="B30" s="32" t="s">
        <v>111</v>
      </c>
      <c r="C30" s="34" t="n">
        <v>5</v>
      </c>
      <c r="D30" s="34" t="n">
        <v>18</v>
      </c>
      <c r="E30" s="34" t="n">
        <v>18</v>
      </c>
      <c r="F30" s="35" t="n">
        <v>5</v>
      </c>
      <c r="G30" s="58" t="n">
        <v>400</v>
      </c>
      <c r="H30" s="59" t="n">
        <f aca="false">F30*G30</f>
        <v>2000</v>
      </c>
      <c r="I30" s="60"/>
    </row>
    <row r="31" customFormat="false" ht="18" hidden="false" customHeight="true" outlineLevel="0" collapsed="false">
      <c r="A31" s="51" t="s">
        <v>117</v>
      </c>
      <c r="B31" s="24" t="s">
        <v>111</v>
      </c>
      <c r="C31" s="26" t="n">
        <v>2</v>
      </c>
      <c r="D31" s="26" t="n">
        <v>4</v>
      </c>
      <c r="E31" s="26" t="n">
        <v>1</v>
      </c>
      <c r="F31" s="27" t="n">
        <v>5</v>
      </c>
      <c r="G31" s="52"/>
      <c r="H31" s="53"/>
      <c r="I31" s="54" t="s">
        <v>82</v>
      </c>
    </row>
    <row r="32" customFormat="false" ht="18" hidden="false" customHeight="true" outlineLevel="0" collapsed="false">
      <c r="A32" s="51" t="s">
        <v>118</v>
      </c>
      <c r="B32" s="24" t="s">
        <v>111</v>
      </c>
      <c r="C32" s="26" t="n">
        <v>0</v>
      </c>
      <c r="D32" s="26" t="n">
        <v>5</v>
      </c>
      <c r="E32" s="26" t="n">
        <v>1</v>
      </c>
      <c r="F32" s="27" t="n">
        <v>4</v>
      </c>
      <c r="G32" s="52"/>
      <c r="H32" s="53"/>
      <c r="I32" s="54" t="s">
        <v>82</v>
      </c>
    </row>
    <row r="33" customFormat="false" ht="18" hidden="false" customHeight="true" outlineLevel="0" collapsed="false">
      <c r="A33" s="51" t="s">
        <v>119</v>
      </c>
      <c r="B33" s="24" t="s">
        <v>111</v>
      </c>
      <c r="C33" s="26" t="n">
        <v>0</v>
      </c>
      <c r="D33" s="26" t="n">
        <v>4</v>
      </c>
      <c r="E33" s="26" t="n">
        <v>3</v>
      </c>
      <c r="F33" s="27" t="n">
        <v>1</v>
      </c>
      <c r="G33" s="52"/>
      <c r="H33" s="53"/>
      <c r="I33" s="54" t="s">
        <v>82</v>
      </c>
    </row>
    <row r="34" customFormat="false" ht="18" hidden="false" customHeight="true" outlineLevel="0" collapsed="false">
      <c r="A34" s="36" t="s">
        <v>120</v>
      </c>
      <c r="B34" s="36" t="s">
        <v>111</v>
      </c>
      <c r="C34" s="38" t="n">
        <v>0</v>
      </c>
      <c r="D34" s="38" t="n">
        <v>2</v>
      </c>
      <c r="E34" s="38" t="n">
        <v>2</v>
      </c>
      <c r="F34" s="39" t="n">
        <v>0</v>
      </c>
      <c r="G34" s="61"/>
      <c r="H34" s="62"/>
      <c r="I34" s="63"/>
    </row>
    <row r="35" customFormat="false" ht="19.5" hidden="false" customHeight="true" outlineLevel="0" collapsed="false">
      <c r="A35" s="40" t="s">
        <v>121</v>
      </c>
      <c r="B35" s="41"/>
      <c r="C35" s="41"/>
      <c r="D35" s="41"/>
      <c r="E35" s="41"/>
      <c r="F35" s="41"/>
      <c r="G35" s="41"/>
      <c r="H35" s="64" t="n">
        <f aca="false">H7+H8+H14+H15+H16+H17+H18+H21+H22+H24+H25+H26+H27+H30</f>
        <v>240378.1</v>
      </c>
      <c r="I35" s="41"/>
    </row>
    <row r="37" customFormat="false" ht="13.5" hidden="false" customHeight="true" outlineLevel="0" collapsed="false">
      <c r="A37" s="49" t="s">
        <v>122</v>
      </c>
      <c r="B37" s="49"/>
      <c r="C37" s="49"/>
      <c r="D37" s="49"/>
      <c r="E37" s="49"/>
      <c r="F37" s="49"/>
      <c r="G37" s="49"/>
      <c r="H37" s="49"/>
      <c r="I37" s="49"/>
    </row>
  </sheetData>
  <mergeCells count="3">
    <mergeCell ref="A2:I2"/>
    <mergeCell ref="A3:I3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2026-03-11T17:29:42Z</dcterms:created>
  <dc:creator>openpyxl</dc:creator>
  <dc:description/>
  <dc:language>en-US</dc:language>
  <cp:lastModifiedBy/>
  <dcterms:modified xsi:type="dcterms:W3CDTF">2026-03-11T17:29:42Z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