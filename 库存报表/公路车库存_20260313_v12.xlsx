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总览" sheetId="1" state="visible" r:id="rId1"/>
    <sheet name="库存SKU明细" sheetId="2" state="visible" r:id="rId2"/>
    <sheet name="库存变动对比" sheetId="3" state="visible" r:id="rId3"/>
    <sheet name="清理库存跟踪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10">
    <font>
      <name val="Calibri"/>
      <family val="2"/>
      <color theme="1"/>
      <sz val="11"/>
      <scheme val="minor"/>
    </font>
    <font>
      <name val="Calibri"/>
      <b val="1"/>
      <color rgb="00FFFFFF"/>
      <sz val="14"/>
    </font>
    <font>
      <name val="Calibri"/>
      <color rgb="00555555"/>
      <sz val="9"/>
    </font>
    <font>
      <name val="Calibri"/>
      <b val="1"/>
      <color rgb="00FFFFFF"/>
      <sz val="10"/>
    </font>
    <font>
      <name val="Calibri"/>
      <color rgb="00111111"/>
      <sz val="10"/>
    </font>
    <font>
      <name val="Calibri"/>
      <b val="1"/>
      <color rgb="00111111"/>
      <sz val="10"/>
    </font>
    <font>
      <name val="Calibri"/>
      <i val="1"/>
      <color rgb="00555555"/>
      <sz val="9"/>
    </font>
    <font>
      <name val="Calibri"/>
      <b val="1"/>
      <color rgb="00FFFFFF"/>
      <sz val="9"/>
    </font>
    <font>
      <name val="Calibri"/>
      <b val="1"/>
      <color rgb="008B1A1A"/>
      <sz val="10"/>
    </font>
    <font>
      <name val="Calibri"/>
      <b val="1"/>
      <color rgb="00FFFFFF"/>
      <sz val="11"/>
    </font>
  </fonts>
  <fills count="8">
    <fill>
      <patternFill/>
    </fill>
    <fill>
      <patternFill patternType="gray125"/>
    </fill>
    <fill>
      <patternFill patternType="solid">
        <fgColor rgb="00111111"/>
      </patternFill>
    </fill>
    <fill>
      <patternFill patternType="solid">
        <fgColor rgb="00FAF9F6"/>
      </patternFill>
    </fill>
    <fill>
      <patternFill patternType="solid">
        <fgColor rgb="00FFFFFF"/>
      </patternFill>
    </fill>
    <fill>
      <patternFill patternType="solid">
        <fgColor rgb="00F5F5F5"/>
      </patternFill>
    </fill>
    <fill>
      <patternFill patternType="solid">
        <fgColor rgb="00E8E8E8"/>
      </patternFill>
    </fill>
    <fill>
      <patternFill patternType="solid">
        <fgColor rgb="00FFF8E8"/>
      </patternFill>
    </fill>
  </fills>
  <borders count="4">
    <border>
      <left/>
      <right/>
      <top/>
      <bottom/>
      <diagonal/>
    </border>
    <border>
      <bottom style="medium">
        <color rgb="00111111"/>
      </bottom>
    </border>
    <border>
      <top style="thin">
        <color rgb="00CCCCCC"/>
      </top>
      <bottom style="thin">
        <color rgb="00CCCCCC"/>
      </bottom>
    </border>
    <border>
      <top style="medium">
        <color rgb="00111111"/>
      </top>
    </border>
  </borders>
  <cellStyleXfs count="1">
    <xf numFmtId="0" fontId="0" fillId="0" borderId="0"/>
  </cellStyleXfs>
  <cellXfs count="31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0" fillId="4" borderId="0" pivotButton="0" quotePrefix="0" xfId="0"/>
    <xf numFmtId="0" fontId="3" fillId="2" borderId="1" applyAlignment="1" pivotButton="0" quotePrefix="0" xfId="0">
      <alignment horizontal="center" vertical="center" wrapText="1"/>
    </xf>
    <xf numFmtId="0" fontId="4" fillId="4" borderId="2" applyAlignment="1" pivotButton="0" quotePrefix="0" xfId="0">
      <alignment horizontal="left" vertical="center"/>
    </xf>
    <xf numFmtId="3" fontId="0" fillId="4" borderId="2" pivotButton="0" quotePrefix="0" xfId="0"/>
    <xf numFmtId="164" fontId="0" fillId="4" borderId="2" pivotButton="0" quotePrefix="0" xfId="0"/>
    <xf numFmtId="0" fontId="4" fillId="5" borderId="2" applyAlignment="1" pivotButton="0" quotePrefix="0" xfId="0">
      <alignment horizontal="left" vertical="center"/>
    </xf>
    <xf numFmtId="3" fontId="0" fillId="5" borderId="2" pivotButton="0" quotePrefix="0" xfId="0"/>
    <xf numFmtId="164" fontId="0" fillId="5" borderId="2" pivotButton="0" quotePrefix="0" xfId="0"/>
    <xf numFmtId="0" fontId="5" fillId="6" borderId="3" applyAlignment="1" pivotButton="0" quotePrefix="0" xfId="0">
      <alignment horizontal="center" vertical="center"/>
    </xf>
    <xf numFmtId="3" fontId="5" fillId="6" borderId="3" applyAlignment="1" pivotButton="0" quotePrefix="0" xfId="0">
      <alignment horizontal="center" vertical="center"/>
    </xf>
    <xf numFmtId="0" fontId="6" fillId="4" borderId="0" applyAlignment="1" pivotButton="0" quotePrefix="0" xfId="0">
      <alignment horizontal="left" vertical="center"/>
    </xf>
    <xf numFmtId="0" fontId="5" fillId="5" borderId="0" applyAlignment="1" pivotButton="0" quotePrefix="0" xfId="0">
      <alignment horizontal="left" vertical="center"/>
    </xf>
    <xf numFmtId="0" fontId="4" fillId="4" borderId="2" applyAlignment="1" pivotButton="0" quotePrefix="0" xfId="0">
      <alignment horizontal="center" vertical="center"/>
    </xf>
    <xf numFmtId="3" fontId="4" fillId="4" borderId="2" applyAlignment="1" pivotButton="0" quotePrefix="0" xfId="0">
      <alignment horizontal="center" vertical="center"/>
    </xf>
    <xf numFmtId="0" fontId="4" fillId="5" borderId="2" applyAlignment="1" pivotButton="0" quotePrefix="0" xfId="0">
      <alignment horizontal="center" vertical="center"/>
    </xf>
    <xf numFmtId="3" fontId="4" fillId="5" borderId="2" applyAlignment="1" pivotButton="0" quotePrefix="0" xfId="0">
      <alignment horizontal="center" vertical="center"/>
    </xf>
    <xf numFmtId="0" fontId="5" fillId="6" borderId="3" applyAlignment="1" pivotButton="0" quotePrefix="0" xfId="0">
      <alignment horizontal="left" vertical="center"/>
    </xf>
    <xf numFmtId="0" fontId="5" fillId="3" borderId="0" applyAlignment="1" pivotButton="0" quotePrefix="0" xfId="0">
      <alignment horizontal="left" vertical="center"/>
    </xf>
    <xf numFmtId="0" fontId="7" fillId="2" borderId="0" applyAlignment="1" pivotButton="0" quotePrefix="0" xfId="0">
      <alignment horizontal="center" vertical="center"/>
    </xf>
    <xf numFmtId="3" fontId="5" fillId="6" borderId="0" applyAlignment="1" pivotButton="0" quotePrefix="0" xfId="0">
      <alignment horizontal="center" vertical="center"/>
    </xf>
    <xf numFmtId="3" fontId="8" fillId="6" borderId="0" applyAlignment="1" pivotButton="0" quotePrefix="0" xfId="0">
      <alignment horizontal="center" vertical="center"/>
    </xf>
    <xf numFmtId="0" fontId="0" fillId="6" borderId="0" pivotButton="0" quotePrefix="0" xfId="0"/>
    <xf numFmtId="3" fontId="8" fillId="5" borderId="2" applyAlignment="1" pivotButton="0" quotePrefix="0" xfId="0">
      <alignment horizontal="center" vertical="center"/>
    </xf>
    <xf numFmtId="3" fontId="8" fillId="4" borderId="2" applyAlignment="1" pivotButton="0" quotePrefix="0" xfId="0">
      <alignment horizontal="center" vertical="center"/>
    </xf>
    <xf numFmtId="0" fontId="9" fillId="2" borderId="0" applyAlignment="1" pivotButton="0" quotePrefix="0" xfId="0">
      <alignment horizontal="left" vertical="center"/>
    </xf>
    <xf numFmtId="0" fontId="8" fillId="5" borderId="0" applyAlignment="1" pivotButton="0" quotePrefix="0" xfId="0">
      <alignment horizontal="left" vertical="center"/>
    </xf>
    <xf numFmtId="3" fontId="5" fillId="7" borderId="3" applyAlignment="1" pivotButton="0" quotePrefix="0" xfId="0">
      <alignment horizontal="center" vertical="center"/>
    </xf>
    <xf numFmtId="164" fontId="5" fillId="6" borderId="3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tabColor rgb="00111111"/>
    <outlinePr summaryBelow="1" summaryRight="1"/>
    <pageSetUpPr/>
  </sheetPr>
  <dimension ref="B2:F19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20" customWidth="1" min="2" max="2"/>
    <col width="12" customWidth="1" min="3" max="3"/>
    <col width="12" customWidth="1" min="4" max="4"/>
    <col width="16" customWidth="1" min="5" max="5"/>
    <col width="12" customWidth="1" min="6" max="6"/>
  </cols>
  <sheetData>
    <row r="2" ht="32" customHeight="1">
      <c r="B2" s="1" t="inlineStr">
        <is>
          <t>宇宙销售统计中心  ·  公路车库存总览  ·  3/13</t>
        </is>
      </c>
    </row>
    <row r="3" ht="18" customHeight="1">
      <c r="B3" s="2" t="inlineStr">
        <is>
          <t>数据基准：3/13  ·  来源：宇宙销售统计中心_2026 商品SKU_031316.xlsx</t>
        </is>
      </c>
    </row>
    <row r="4" ht="6" customHeight="1">
      <c r="B4" s="3" t="n"/>
      <c r="C4" s="3" t="n"/>
      <c r="D4" s="3" t="n"/>
      <c r="E4" s="3" t="n"/>
      <c r="F4" s="3" t="n"/>
    </row>
    <row r="5" ht="28" customHeight="1">
      <c r="B5" s="4" t="inlineStr">
        <is>
          <t>库存级别</t>
        </is>
      </c>
      <c r="C5" s="4" t="inlineStr">
        <is>
          <t>SKU数量</t>
        </is>
      </c>
      <c r="D5" s="4" t="inlineStr">
        <is>
          <t>总件数</t>
        </is>
      </c>
      <c r="E5" s="4" t="inlineStr">
        <is>
          <t>总成本 (¥)</t>
        </is>
      </c>
      <c r="F5" s="4" t="inlineStr">
        <is>
          <t>占总成本比</t>
        </is>
      </c>
    </row>
    <row r="6" ht="22" customHeight="1">
      <c r="B6" s="5" t="inlineStr">
        <is>
          <t>🔵 Dogma 系列</t>
        </is>
      </c>
      <c r="C6" s="6" t="n">
        <v>13</v>
      </c>
      <c r="D6" s="6" t="n">
        <v>14</v>
      </c>
      <c r="E6" s="6" t="n">
        <v>570194.5</v>
      </c>
      <c r="F6" s="7">
        <f>E6/E17</f>
        <v/>
      </c>
    </row>
    <row r="7" ht="22" customHeight="1">
      <c r="B7" s="8" t="inlineStr">
        <is>
          <t>🔴 Pinarello 清理</t>
        </is>
      </c>
      <c r="C7" s="9" t="n">
        <v>20</v>
      </c>
      <c r="D7" s="9" t="n">
        <v>23</v>
      </c>
      <c r="E7" s="9" t="n">
        <v>577036</v>
      </c>
      <c r="F7" s="10">
        <f>E7/E17</f>
        <v/>
      </c>
    </row>
    <row r="8" ht="22" customHeight="1">
      <c r="B8" s="5" t="inlineStr">
        <is>
          <t>🔴 清理库存</t>
        </is>
      </c>
      <c r="C8" s="6" t="n">
        <v>51</v>
      </c>
      <c r="D8" s="6" t="n">
        <v>461</v>
      </c>
      <c r="E8" s="6" t="n">
        <v>1267161</v>
      </c>
      <c r="F8" s="7">
        <f>E8/E17</f>
        <v/>
      </c>
    </row>
    <row r="9" ht="22" customHeight="1">
      <c r="B9" s="8" t="inlineStr">
        <is>
          <t>🟢 正常商品</t>
        </is>
      </c>
      <c r="C9" s="9" t="n">
        <v>55</v>
      </c>
      <c r="D9" s="9" t="n">
        <v>1670</v>
      </c>
      <c r="E9" s="9" t="n">
        <v>693209.08</v>
      </c>
      <c r="F9" s="10">
        <f>E9/E17</f>
        <v/>
      </c>
    </row>
    <row r="10" ht="22" customHeight="1">
      <c r="B10" s="5" t="inlineStr">
        <is>
          <t>🔵 DA/Zipp 轮组</t>
        </is>
      </c>
      <c r="C10" s="6" t="n">
        <v>4</v>
      </c>
      <c r="D10" s="6" t="n">
        <v>50</v>
      </c>
      <c r="E10" s="6" t="n">
        <v>326731.56</v>
      </c>
      <c r="F10" s="7">
        <f>E10/E17</f>
        <v/>
      </c>
    </row>
    <row r="11" ht="22" customHeight="1">
      <c r="B11" s="8" t="inlineStr">
        <is>
          <t>🟡 换货回商品</t>
        </is>
      </c>
      <c r="C11" s="9" t="n">
        <v>4</v>
      </c>
      <c r="D11" s="9" t="n">
        <v>7</v>
      </c>
      <c r="E11" s="9" t="n">
        <v>147800</v>
      </c>
      <c r="F11" s="10">
        <f>E11/E17</f>
        <v/>
      </c>
    </row>
    <row r="12" ht="22" customHeight="1">
      <c r="B12" s="5" t="inlineStr">
        <is>
          <t>🟢 自营产品</t>
        </is>
      </c>
      <c r="C12" s="6" t="n">
        <v>5</v>
      </c>
      <c r="D12" s="6" t="n">
        <v>137</v>
      </c>
      <c r="E12" s="6" t="n">
        <v>306841.8</v>
      </c>
      <c r="F12" s="7">
        <f>E12/E17</f>
        <v/>
      </c>
    </row>
    <row r="13" ht="22" customHeight="1">
      <c r="B13" s="8" t="inlineStr">
        <is>
          <t>🟢 套件类</t>
        </is>
      </c>
      <c r="C13" s="9" t="n">
        <v>22</v>
      </c>
      <c r="D13" s="9" t="n">
        <v>368</v>
      </c>
      <c r="E13" s="9" t="n">
        <v>563960</v>
      </c>
      <c r="F13" s="10">
        <f>E13/E17</f>
        <v/>
      </c>
    </row>
    <row r="14" ht="22" customHeight="1">
      <c r="B14" s="5" t="inlineStr">
        <is>
          <t>🟡 FSA 系列</t>
        </is>
      </c>
      <c r="C14" s="6" t="n">
        <v>3</v>
      </c>
      <c r="D14" s="6" t="n">
        <v>20</v>
      </c>
      <c r="E14" s="6" t="n">
        <v>36176</v>
      </c>
      <c r="F14" s="7">
        <f>E14/E17</f>
        <v/>
      </c>
    </row>
    <row r="15" ht="22" customHeight="1">
      <c r="B15" s="8" t="inlineStr">
        <is>
          <t>⚪ 配件</t>
        </is>
      </c>
      <c r="C15" s="9" t="n">
        <v>119</v>
      </c>
      <c r="D15" s="9" t="n">
        <v>769</v>
      </c>
      <c r="E15" s="9" t="n">
        <v>241111.88</v>
      </c>
      <c r="F15" s="10">
        <f>E15/E17</f>
        <v/>
      </c>
    </row>
    <row r="16" ht="22" customHeight="1">
      <c r="B16" s="5" t="inlineStr">
        <is>
          <t>⚪ 铺货商品</t>
        </is>
      </c>
      <c r="C16" s="6" t="n">
        <v>19</v>
      </c>
      <c r="D16" s="6" t="n">
        <v>21</v>
      </c>
      <c r="E16" s="6" t="n">
        <v>0</v>
      </c>
      <c r="F16" s="7">
        <f>E16/E17</f>
        <v/>
      </c>
    </row>
    <row r="17" ht="22" customHeight="1">
      <c r="B17" s="11" t="inlineStr">
        <is>
          <t>合计</t>
        </is>
      </c>
      <c r="C17" s="12">
        <f>SUM(C6:C16)</f>
        <v/>
      </c>
      <c r="D17" s="12">
        <f>SUM(D6:D16)</f>
        <v/>
      </c>
      <c r="E17" s="12">
        <f>SUM(E6:E16)</f>
        <v/>
      </c>
      <c r="F17" s="11" t="n"/>
    </row>
    <row r="19" ht="16" customHeight="1">
      <c r="B19" s="13" t="inlineStr">
        <is>
          <t>数据来源：宇宙销售统计中心_2026 商品SKU_031316.xlsx  |  统计时间：3/13</t>
        </is>
      </c>
    </row>
  </sheetData>
  <mergeCells count="3">
    <mergeCell ref="B2:F2"/>
    <mergeCell ref="B3:F3"/>
    <mergeCell ref="B19:F19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tabColor rgb="002C3E6B"/>
    <outlinePr summaryBelow="1" summaryRight="1"/>
    <pageSetUpPr/>
  </sheetPr>
  <dimension ref="B2:L345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32" customWidth="1" min="3" max="3"/>
    <col width="14" customWidth="1" min="4" max="4"/>
    <col width="14" customWidth="1" min="5" max="5"/>
    <col width="8" customWidth="1" min="6" max="6"/>
    <col width="8" customWidth="1" min="7" max="7"/>
    <col width="8" customWidth="1" min="8" max="8"/>
    <col width="11" customWidth="1" min="9" max="9"/>
    <col width="13" customWidth="1" min="10" max="10"/>
    <col width="11" customWidth="1" min="11" max="11"/>
    <col width="14" customWidth="1" min="12" max="12"/>
  </cols>
  <sheetData>
    <row r="2" ht="32" customHeight="1">
      <c r="B2" s="1" t="inlineStr">
        <is>
          <t>库存 SKU 明细  ·  3/13</t>
        </is>
      </c>
    </row>
    <row r="3" ht="18" customHeight="1">
      <c r="B3" s="2" t="inlineStr">
        <is>
          <t>来源：宇宙销售统计中心_2026 商品SKU_031316.xlsx · 按级别→品类→系列→名称排序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</row>
    <row r="5" ht="28" customHeight="1">
      <c r="B5" s="4" t="inlineStr">
        <is>
          <t>品类</t>
        </is>
      </c>
      <c r="C5" s="4" t="inlineStr">
        <is>
          <t>SKU名称</t>
        </is>
      </c>
      <c r="D5" s="4" t="inlineStr">
        <is>
          <t>系列</t>
        </is>
      </c>
      <c r="E5" s="4" t="inlineStr">
        <is>
          <t>库存级别</t>
        </is>
      </c>
      <c r="F5" s="4" t="inlineStr">
        <is>
          <t>滨江</t>
        </is>
      </c>
      <c r="G5" s="4" t="inlineStr">
        <is>
          <t>常州</t>
        </is>
      </c>
      <c r="H5" s="4" t="inlineStr">
        <is>
          <t>总件数</t>
        </is>
      </c>
      <c r="I5" s="4" t="inlineStr">
        <is>
          <t>成本价</t>
        </is>
      </c>
      <c r="J5" s="4" t="inlineStr">
        <is>
          <t>总成本</t>
        </is>
      </c>
      <c r="K5" s="4" t="inlineStr">
        <is>
          <t>清理底价</t>
        </is>
      </c>
      <c r="L5" s="4" t="inlineStr">
        <is>
          <t>处理方式</t>
        </is>
      </c>
    </row>
    <row r="6" ht="22" customHeight="1">
      <c r="B6" s="14" t="inlineStr">
        <is>
          <t>🔵 Dogma 系列</t>
        </is>
      </c>
    </row>
    <row r="7" outlineLevel="1" ht="22" customHeight="1">
      <c r="B7" s="15" t="inlineStr">
        <is>
          <t>车架</t>
        </is>
      </c>
      <c r="C7" s="5" t="inlineStr">
        <is>
          <t>Dogma F 【25款】 车架 BOB 465</t>
        </is>
      </c>
      <c r="D7" s="15" t="inlineStr">
        <is>
          <t>Dogma F 【25款】</t>
        </is>
      </c>
      <c r="E7" s="15" t="inlineStr">
        <is>
          <t>Dogma 系列</t>
        </is>
      </c>
      <c r="F7" s="16" t="n">
        <v>1</v>
      </c>
      <c r="G7" s="16" t="n">
        <v>0</v>
      </c>
      <c r="H7" s="16">
        <f>F7+G7</f>
        <v/>
      </c>
      <c r="I7" s="16" t="n">
        <v>37200</v>
      </c>
      <c r="J7" s="16">
        <f>H7*I7</f>
        <v/>
      </c>
      <c r="K7" s="16" t="n">
        <v/>
      </c>
      <c r="L7" s="5" t="inlineStr"/>
    </row>
    <row r="8" outlineLevel="1" ht="22" customHeight="1">
      <c r="B8" s="17" t="inlineStr">
        <is>
          <t>车架</t>
        </is>
      </c>
      <c r="C8" s="8" t="inlineStr">
        <is>
          <t>Dogma F 【25款】 车架 BOB 500</t>
        </is>
      </c>
      <c r="D8" s="17" t="inlineStr">
        <is>
          <t>Dogma F 【25款】</t>
        </is>
      </c>
      <c r="E8" s="17" t="inlineStr">
        <is>
          <t>Dogma 系列</t>
        </is>
      </c>
      <c r="F8" s="18" t="n">
        <v>1</v>
      </c>
      <c r="G8" s="18" t="n">
        <v>0</v>
      </c>
      <c r="H8" s="18">
        <f>F8+G8</f>
        <v/>
      </c>
      <c r="I8" s="18" t="n">
        <v>37200</v>
      </c>
      <c r="J8" s="18">
        <f>H8*I8</f>
        <v/>
      </c>
      <c r="K8" s="18" t="n">
        <v/>
      </c>
      <c r="L8" s="8" t="inlineStr"/>
    </row>
    <row r="9" outlineLevel="1" ht="22" customHeight="1">
      <c r="B9" s="15" t="inlineStr">
        <is>
          <t>车架</t>
        </is>
      </c>
      <c r="C9" s="5" t="inlineStr">
        <is>
          <t>Dogma F 【25款】 车架 BOB 530</t>
        </is>
      </c>
      <c r="D9" s="15" t="inlineStr">
        <is>
          <t>Dogma F 【25款】</t>
        </is>
      </c>
      <c r="E9" s="15" t="inlineStr">
        <is>
          <t>Dogma 系列</t>
        </is>
      </c>
      <c r="F9" s="16" t="n">
        <v>2</v>
      </c>
      <c r="G9" s="16" t="n">
        <v>0</v>
      </c>
      <c r="H9" s="16">
        <f>F9+G9</f>
        <v/>
      </c>
      <c r="I9" s="16" t="n">
        <v>37200</v>
      </c>
      <c r="J9" s="16">
        <f>H9*I9</f>
        <v/>
      </c>
      <c r="K9" s="16" t="n">
        <v/>
      </c>
      <c r="L9" s="5" t="inlineStr"/>
    </row>
    <row r="10" outlineLevel="1" ht="22" customHeight="1">
      <c r="B10" s="17" t="inlineStr">
        <is>
          <t>车架</t>
        </is>
      </c>
      <c r="C10" s="8" t="inlineStr">
        <is>
          <t>Dogma F 【25款】 车架 星耀红 515</t>
        </is>
      </c>
      <c r="D10" s="17" t="inlineStr">
        <is>
          <t>Dogma F 【25款】</t>
        </is>
      </c>
      <c r="E10" s="17" t="inlineStr">
        <is>
          <t>Dogma 系列</t>
        </is>
      </c>
      <c r="F10" s="18" t="n">
        <v>1</v>
      </c>
      <c r="G10" s="18" t="n">
        <v>0</v>
      </c>
      <c r="H10" s="18">
        <f>F10+G10</f>
        <v/>
      </c>
      <c r="I10" s="18" t="n">
        <v>37200</v>
      </c>
      <c r="J10" s="18">
        <f>H10*I10</f>
        <v/>
      </c>
      <c r="K10" s="18" t="n">
        <v/>
      </c>
      <c r="L10" s="8" t="inlineStr"/>
    </row>
    <row r="11" outlineLevel="1" ht="22" customHeight="1">
      <c r="B11" s="15" t="inlineStr">
        <is>
          <t>车架</t>
        </is>
      </c>
      <c r="C11" s="5" t="inlineStr">
        <is>
          <t>Dogma F 【25款】 车架 星耀红 530</t>
        </is>
      </c>
      <c r="D11" s="15" t="inlineStr">
        <is>
          <t>Dogma F 【25款】</t>
        </is>
      </c>
      <c r="E11" s="15" t="inlineStr">
        <is>
          <t>Dogma 系列</t>
        </is>
      </c>
      <c r="F11" s="16" t="n">
        <v>1</v>
      </c>
      <c r="G11" s="16" t="n">
        <v>0</v>
      </c>
      <c r="H11" s="16">
        <f>F11+G11</f>
        <v/>
      </c>
      <c r="I11" s="16" t="n">
        <v>37200</v>
      </c>
      <c r="J11" s="16">
        <f>H11*I11</f>
        <v/>
      </c>
      <c r="K11" s="16" t="n">
        <v/>
      </c>
      <c r="L11" s="5" t="inlineStr"/>
    </row>
    <row r="12" outlineLevel="1" ht="22" customHeight="1">
      <c r="B12" s="17" t="inlineStr">
        <is>
          <t>车架</t>
        </is>
      </c>
      <c r="C12" s="8" t="inlineStr">
        <is>
          <t>Dogma F 【25款】 车架 水晶白 515</t>
        </is>
      </c>
      <c r="D12" s="17" t="inlineStr">
        <is>
          <t>Dogma F 【25款】</t>
        </is>
      </c>
      <c r="E12" s="17" t="inlineStr">
        <is>
          <t>Dogma 系列</t>
        </is>
      </c>
      <c r="F12" s="18" t="n">
        <v>1</v>
      </c>
      <c r="G12" s="18" t="n">
        <v>0</v>
      </c>
      <c r="H12" s="18">
        <f>F12+G12</f>
        <v/>
      </c>
      <c r="I12" s="18" t="n">
        <v>39707</v>
      </c>
      <c r="J12" s="18">
        <f>H12*I12</f>
        <v/>
      </c>
      <c r="K12" s="18" t="n">
        <v/>
      </c>
      <c r="L12" s="8" t="inlineStr"/>
    </row>
    <row r="13" outlineLevel="1" ht="22" customHeight="1">
      <c r="B13" s="15" t="inlineStr">
        <is>
          <t>车架</t>
        </is>
      </c>
      <c r="C13" s="5" t="inlineStr">
        <is>
          <t>Dogma F 【25款】 车架 绚丽蓝 530</t>
        </is>
      </c>
      <c r="D13" s="15" t="inlineStr">
        <is>
          <t>Dogma F 【25款】</t>
        </is>
      </c>
      <c r="E13" s="15" t="inlineStr">
        <is>
          <t>Dogma 系列</t>
        </is>
      </c>
      <c r="F13" s="16" t="n">
        <v>1</v>
      </c>
      <c r="G13" s="16" t="n">
        <v>0</v>
      </c>
      <c r="H13" s="16">
        <f>F13+G13</f>
        <v/>
      </c>
      <c r="I13" s="16" t="n">
        <v>37200</v>
      </c>
      <c r="J13" s="16">
        <f>H13*I13</f>
        <v/>
      </c>
      <c r="K13" s="16" t="n">
        <v/>
      </c>
      <c r="L13" s="5" t="inlineStr"/>
    </row>
    <row r="14" outlineLevel="1" ht="22" customHeight="1">
      <c r="B14" s="17" t="inlineStr">
        <is>
          <t>车架</t>
        </is>
      </c>
      <c r="C14" s="8" t="inlineStr">
        <is>
          <t>Dogma F 【25款】 车架 绚丽金 500</t>
        </is>
      </c>
      <c r="D14" s="17" t="inlineStr">
        <is>
          <t>Dogma F 【25款】</t>
        </is>
      </c>
      <c r="E14" s="17" t="inlineStr">
        <is>
          <t>Dogma 系列</t>
        </is>
      </c>
      <c r="F14" s="18" t="n">
        <v>1</v>
      </c>
      <c r="G14" s="18" t="n">
        <v>0</v>
      </c>
      <c r="H14" s="18">
        <f>F14+G14</f>
        <v/>
      </c>
      <c r="I14" s="18" t="n">
        <v>37200</v>
      </c>
      <c r="J14" s="18">
        <f>H14*I14</f>
        <v/>
      </c>
      <c r="K14" s="18" t="n">
        <v/>
      </c>
      <c r="L14" s="8" t="inlineStr"/>
    </row>
    <row r="15" outlineLevel="1" ht="22" customHeight="1">
      <c r="B15" s="15" t="inlineStr">
        <is>
          <t>车架</t>
        </is>
      </c>
      <c r="C15" s="5" t="inlineStr">
        <is>
          <t>Dogma F 【25款】 车架 绚丽金 530</t>
        </is>
      </c>
      <c r="D15" s="15" t="inlineStr">
        <is>
          <t>Dogma F 【25款】</t>
        </is>
      </c>
      <c r="E15" s="15" t="inlineStr">
        <is>
          <t>Dogma 系列</t>
        </is>
      </c>
      <c r="F15" s="16" t="n">
        <v>1</v>
      </c>
      <c r="G15" s="16" t="n">
        <v>0</v>
      </c>
      <c r="H15" s="16">
        <f>F15+G15</f>
        <v/>
      </c>
      <c r="I15" s="16" t="n">
        <v>37200</v>
      </c>
      <c r="J15" s="16">
        <f>H15*I15</f>
        <v/>
      </c>
      <c r="K15" s="16" t="n">
        <v/>
      </c>
      <c r="L15" s="5" t="inlineStr"/>
    </row>
    <row r="16" outlineLevel="1" ht="22" customHeight="1">
      <c r="B16" s="17" t="inlineStr">
        <is>
          <t>车架</t>
        </is>
      </c>
      <c r="C16" s="8" t="inlineStr">
        <is>
          <t>Dogma F 【25款】 车架 绚丽金 550</t>
        </is>
      </c>
      <c r="D16" s="17" t="inlineStr">
        <is>
          <t>Dogma F 【25款】</t>
        </is>
      </c>
      <c r="E16" s="17" t="inlineStr">
        <is>
          <t>Dogma 系列</t>
        </is>
      </c>
      <c r="F16" s="18" t="n">
        <v>1</v>
      </c>
      <c r="G16" s="18" t="n">
        <v>0</v>
      </c>
      <c r="H16" s="18">
        <f>F16+G16</f>
        <v/>
      </c>
      <c r="I16" s="18" t="n">
        <v>37200</v>
      </c>
      <c r="J16" s="18">
        <f>H16*I16</f>
        <v/>
      </c>
      <c r="K16" s="18" t="n">
        <v/>
      </c>
      <c r="L16" s="8" t="inlineStr"/>
    </row>
    <row r="17" outlineLevel="1" ht="22" customHeight="1">
      <c r="B17" s="15" t="inlineStr">
        <is>
          <t>车架</t>
        </is>
      </c>
      <c r="C17" s="5" t="inlineStr">
        <is>
          <t>Dogma F 【25款】 车架 英力士 515</t>
        </is>
      </c>
      <c r="D17" s="15" t="inlineStr">
        <is>
          <t>Dogma F 【25款】</t>
        </is>
      </c>
      <c r="E17" s="15" t="inlineStr">
        <is>
          <t>Dogma 系列</t>
        </is>
      </c>
      <c r="F17" s="16" t="n">
        <v>1</v>
      </c>
      <c r="G17" s="16" t="n">
        <v>0</v>
      </c>
      <c r="H17" s="16">
        <f>F17+G17</f>
        <v/>
      </c>
      <c r="I17" s="16" t="n">
        <v>37200</v>
      </c>
      <c r="J17" s="16">
        <f>H17*I17</f>
        <v/>
      </c>
      <c r="K17" s="16" t="n">
        <v/>
      </c>
      <c r="L17" s="5" t="inlineStr"/>
    </row>
    <row r="18" outlineLevel="1" ht="22" customHeight="1">
      <c r="B18" s="17" t="inlineStr">
        <is>
          <t>车架</t>
        </is>
      </c>
      <c r="C18" s="8" t="inlineStr">
        <is>
          <t>Dogma F 【25款】Myway 车架 蓝金 540</t>
        </is>
      </c>
      <c r="D18" s="17" t="inlineStr">
        <is>
          <t>Dogma F 【25款】Myway</t>
        </is>
      </c>
      <c r="E18" s="17" t="inlineStr">
        <is>
          <t>Dogma 系列</t>
        </is>
      </c>
      <c r="F18" s="18" t="n">
        <v>1</v>
      </c>
      <c r="G18" s="18" t="n">
        <v>0</v>
      </c>
      <c r="H18" s="18">
        <f>F18+G18</f>
        <v/>
      </c>
      <c r="I18" s="18" t="n">
        <v>62600</v>
      </c>
      <c r="J18" s="18">
        <f>H18*I18</f>
        <v/>
      </c>
      <c r="K18" s="18" t="n">
        <v/>
      </c>
      <c r="L18" s="8" t="inlineStr"/>
    </row>
    <row r="19" outlineLevel="1" ht="22" customHeight="1">
      <c r="B19" s="15" t="inlineStr">
        <is>
          <t>车架</t>
        </is>
      </c>
      <c r="C19" s="5" t="inlineStr">
        <is>
          <t>Dogma F 【25款】Myway 车架 黑金 515（带普通车把）</t>
        </is>
      </c>
      <c r="D19" s="15" t="inlineStr">
        <is>
          <t>Dogma F 【25款】Myway</t>
        </is>
      </c>
      <c r="E19" s="15" t="inlineStr">
        <is>
          <t>Dogma 系列</t>
        </is>
      </c>
      <c r="F19" s="16" t="n">
        <v>1</v>
      </c>
      <c r="G19" s="16" t="n">
        <v>0</v>
      </c>
      <c r="H19" s="16">
        <f>F19+G19</f>
        <v/>
      </c>
      <c r="I19" s="16" t="n">
        <v>58687.5</v>
      </c>
      <c r="J19" s="16">
        <f>H19*I19</f>
        <v/>
      </c>
      <c r="K19" s="16" t="n">
        <v/>
      </c>
      <c r="L19" s="5" t="inlineStr"/>
    </row>
    <row r="20" ht="22" customHeight="1">
      <c r="B20" s="19" t="inlineStr">
        <is>
          <t>小计</t>
        </is>
      </c>
      <c r="C20" s="11" t="n"/>
      <c r="D20" s="11">
        <f>COUNTA(C7:C19)</f>
        <v/>
      </c>
      <c r="E20" s="11" t="n"/>
      <c r="F20" s="11" t="n"/>
      <c r="G20" s="11" t="n"/>
      <c r="H20" s="12">
        <f>SUM(H7:H19)</f>
        <v/>
      </c>
      <c r="I20" s="11" t="n"/>
      <c r="J20" s="12">
        <f>SUM(J7:J19)</f>
        <v/>
      </c>
      <c r="K20" s="11" t="n"/>
      <c r="L20" s="11" t="n"/>
    </row>
    <row r="21" ht="22" customHeight="1">
      <c r="B21" s="14" t="inlineStr">
        <is>
          <t>🔴 Pinarello 清理</t>
        </is>
      </c>
    </row>
    <row r="22" outlineLevel="1" ht="22" customHeight="1">
      <c r="B22" s="17" t="inlineStr">
        <is>
          <t>整车</t>
        </is>
      </c>
      <c r="C22" s="8" t="inlineStr">
        <is>
          <t>Pinarello 整车 F5 白 530</t>
        </is>
      </c>
      <c r="D22" s="17" t="inlineStr">
        <is>
          <t>Pinarello</t>
        </is>
      </c>
      <c r="E22" s="17" t="inlineStr">
        <is>
          <t>Pinarello 清理</t>
        </is>
      </c>
      <c r="F22" s="18" t="n">
        <v>1</v>
      </c>
      <c r="G22" s="18" t="n">
        <v>0</v>
      </c>
      <c r="H22" s="18">
        <f>F22+G22</f>
        <v/>
      </c>
      <c r="I22" s="18" t="n">
        <v>24400</v>
      </c>
      <c r="J22" s="18">
        <f>H22*I22</f>
        <v/>
      </c>
      <c r="K22" s="18" t="n">
        <v>25000</v>
      </c>
      <c r="L22" s="8" t="inlineStr"/>
    </row>
    <row r="23" outlineLevel="1" ht="22" customHeight="1">
      <c r="B23" s="15" t="inlineStr">
        <is>
          <t>整车</t>
        </is>
      </c>
      <c r="C23" s="5" t="inlineStr">
        <is>
          <t>Pinarello 整车 F5 白 560</t>
        </is>
      </c>
      <c r="D23" s="15" t="inlineStr">
        <is>
          <t>Pinarello</t>
        </is>
      </c>
      <c r="E23" s="15" t="inlineStr">
        <is>
          <t>Pinarello 清理</t>
        </is>
      </c>
      <c r="F23" s="16" t="n">
        <v>1</v>
      </c>
      <c r="G23" s="16" t="n">
        <v>0</v>
      </c>
      <c r="H23" s="16">
        <f>F23+G23</f>
        <v/>
      </c>
      <c r="I23" s="16" t="n">
        <v>24400</v>
      </c>
      <c r="J23" s="16">
        <f>H23*I23</f>
        <v/>
      </c>
      <c r="K23" s="16" t="n">
        <v>25000</v>
      </c>
      <c r="L23" s="5" t="inlineStr"/>
    </row>
    <row r="24" outlineLevel="1" ht="22" customHeight="1">
      <c r="B24" s="17" t="inlineStr">
        <is>
          <t>整车</t>
        </is>
      </c>
      <c r="C24" s="8" t="inlineStr">
        <is>
          <t>Pinarello 整车 F5 蓝 465</t>
        </is>
      </c>
      <c r="D24" s="17" t="inlineStr">
        <is>
          <t>Pinarello</t>
        </is>
      </c>
      <c r="E24" s="17" t="inlineStr">
        <is>
          <t>Pinarello 清理</t>
        </is>
      </c>
      <c r="F24" s="18" t="n">
        <v>1</v>
      </c>
      <c r="G24" s="18" t="n">
        <v>0</v>
      </c>
      <c r="H24" s="18">
        <f>F24+G24</f>
        <v/>
      </c>
      <c r="I24" s="18" t="n">
        <v>24400</v>
      </c>
      <c r="J24" s="18">
        <f>H24*I24</f>
        <v/>
      </c>
      <c r="K24" s="18" t="n">
        <v>25000</v>
      </c>
      <c r="L24" s="8" t="inlineStr"/>
    </row>
    <row r="25" outlineLevel="1" ht="22" customHeight="1">
      <c r="B25" s="15" t="inlineStr">
        <is>
          <t>整车</t>
        </is>
      </c>
      <c r="C25" s="5" t="inlineStr">
        <is>
          <t>Pinarello 整车 F9 黑白 545</t>
        </is>
      </c>
      <c r="D25" s="15" t="inlineStr">
        <is>
          <t>Pinarello</t>
        </is>
      </c>
      <c r="E25" s="15" t="inlineStr">
        <is>
          <t>Pinarello 清理</t>
        </is>
      </c>
      <c r="F25" s="16" t="n">
        <v>1</v>
      </c>
      <c r="G25" s="16" t="n">
        <v>0</v>
      </c>
      <c r="H25" s="16">
        <f>F25+G25</f>
        <v/>
      </c>
      <c r="I25" s="16" t="n">
        <v>31500</v>
      </c>
      <c r="J25" s="16">
        <f>H25*I25</f>
        <v/>
      </c>
      <c r="K25" s="16" t="n">
        <v/>
      </c>
      <c r="L25" s="5" t="inlineStr"/>
    </row>
    <row r="26" outlineLevel="1" ht="22" customHeight="1">
      <c r="B26" s="17" t="inlineStr">
        <is>
          <t>整车</t>
        </is>
      </c>
      <c r="C26" s="8" t="inlineStr">
        <is>
          <t>Pinarello 整车 F9 黑绿 515</t>
        </is>
      </c>
      <c r="D26" s="17" t="inlineStr">
        <is>
          <t>Pinarello</t>
        </is>
      </c>
      <c r="E26" s="17" t="inlineStr">
        <is>
          <t>Pinarello 清理</t>
        </is>
      </c>
      <c r="F26" s="18" t="n">
        <v>1</v>
      </c>
      <c r="G26" s="18" t="n">
        <v>0</v>
      </c>
      <c r="H26" s="18">
        <f>F26+G26</f>
        <v/>
      </c>
      <c r="I26" s="18" t="n">
        <v>31500</v>
      </c>
      <c r="J26" s="18">
        <f>H26*I26</f>
        <v/>
      </c>
      <c r="K26" s="18" t="n">
        <v>32000</v>
      </c>
      <c r="L26" s="8" t="inlineStr"/>
    </row>
    <row r="27" outlineLevel="1" ht="22" customHeight="1">
      <c r="B27" s="15" t="inlineStr">
        <is>
          <t>整车</t>
        </is>
      </c>
      <c r="C27" s="5" t="inlineStr">
        <is>
          <t>Pinarello 整车 X5 白色蓝标</t>
        </is>
      </c>
      <c r="D27" s="15" t="inlineStr">
        <is>
          <t>Pinarello</t>
        </is>
      </c>
      <c r="E27" s="15" t="inlineStr">
        <is>
          <t>Pinarello 清理</t>
        </is>
      </c>
      <c r="F27" s="16" t="n">
        <v>1</v>
      </c>
      <c r="G27" s="16" t="n">
        <v>0</v>
      </c>
      <c r="H27" s="16">
        <f>F27+G27</f>
        <v/>
      </c>
      <c r="I27" s="16" t="n">
        <v>20000</v>
      </c>
      <c r="J27" s="16">
        <f>H27*I27</f>
        <v/>
      </c>
      <c r="K27" s="16" t="n">
        <v/>
      </c>
      <c r="L27" s="5" t="inlineStr"/>
    </row>
    <row r="28" outlineLevel="1" ht="22" customHeight="1">
      <c r="B28" s="17" t="inlineStr">
        <is>
          <t>整车</t>
        </is>
      </c>
      <c r="C28" s="8" t="inlineStr">
        <is>
          <t>Pinarello 整车 X5 黑色银标</t>
        </is>
      </c>
      <c r="D28" s="17" t="inlineStr">
        <is>
          <t>Pinarello</t>
        </is>
      </c>
      <c r="E28" s="17" t="inlineStr">
        <is>
          <t>Pinarello 清理</t>
        </is>
      </c>
      <c r="F28" s="18" t="n">
        <v>1</v>
      </c>
      <c r="G28" s="18" t="n">
        <v>0</v>
      </c>
      <c r="H28" s="18">
        <f>F28+G28</f>
        <v/>
      </c>
      <c r="I28" s="18" t="n">
        <v>20000</v>
      </c>
      <c r="J28" s="18">
        <f>H28*I28</f>
        <v/>
      </c>
      <c r="K28" s="18" t="n">
        <v/>
      </c>
      <c r="L28" s="8" t="inlineStr"/>
    </row>
    <row r="29" outlineLevel="1" ht="22" customHeight="1">
      <c r="B29" s="15" t="inlineStr">
        <is>
          <t>整车</t>
        </is>
      </c>
      <c r="C29" s="5" t="inlineStr">
        <is>
          <t>Pinarello 整车 X9 金色 530</t>
        </is>
      </c>
      <c r="D29" s="15" t="inlineStr">
        <is>
          <t>Pinarello</t>
        </is>
      </c>
      <c r="E29" s="15" t="inlineStr">
        <is>
          <t>Pinarello 清理</t>
        </is>
      </c>
      <c r="F29" s="16" t="n">
        <v>1</v>
      </c>
      <c r="G29" s="16" t="n">
        <v>0</v>
      </c>
      <c r="H29" s="16">
        <f>F29+G29</f>
        <v/>
      </c>
      <c r="I29" s="16" t="n">
        <v>33916</v>
      </c>
      <c r="J29" s="16">
        <f>H29*I29</f>
        <v/>
      </c>
      <c r="K29" s="16" t="n">
        <v>34000</v>
      </c>
      <c r="L29" s="5" t="inlineStr"/>
    </row>
    <row r="30" outlineLevel="1" ht="22" customHeight="1">
      <c r="B30" s="17" t="inlineStr">
        <is>
          <t>车架</t>
        </is>
      </c>
      <c r="C30" s="8" t="inlineStr">
        <is>
          <t>Dogma X 车架 BOB 515</t>
        </is>
      </c>
      <c r="D30" s="17" t="inlineStr">
        <is>
          <t>Dogma X</t>
        </is>
      </c>
      <c r="E30" s="17" t="inlineStr">
        <is>
          <t>Pinarello 清理</t>
        </is>
      </c>
      <c r="F30" s="18" t="n">
        <v>1</v>
      </c>
      <c r="G30" s="18" t="n">
        <v>0</v>
      </c>
      <c r="H30" s="18">
        <f>F30+G30</f>
        <v/>
      </c>
      <c r="I30" s="18" t="n">
        <v>28000</v>
      </c>
      <c r="J30" s="18">
        <f>H30*I30</f>
        <v/>
      </c>
      <c r="K30" s="18" t="n">
        <v/>
      </c>
      <c r="L30" s="8" t="inlineStr"/>
    </row>
    <row r="31" outlineLevel="1" ht="22" customHeight="1">
      <c r="B31" s="15" t="inlineStr">
        <is>
          <t>车架</t>
        </is>
      </c>
      <c r="C31" s="5" t="inlineStr">
        <is>
          <t>Pinarello 车架 F9  黑白 560</t>
        </is>
      </c>
      <c r="D31" s="15" t="inlineStr">
        <is>
          <t>Pinarello</t>
        </is>
      </c>
      <c r="E31" s="15" t="inlineStr">
        <is>
          <t>Pinarello 清理</t>
        </is>
      </c>
      <c r="F31" s="16" t="n">
        <v>1</v>
      </c>
      <c r="G31" s="16" t="n">
        <v>0</v>
      </c>
      <c r="H31" s="16">
        <f>F31+G31</f>
        <v/>
      </c>
      <c r="I31" s="16" t="n">
        <v>24400</v>
      </c>
      <c r="J31" s="16">
        <f>H31*I31</f>
        <v/>
      </c>
      <c r="K31" s="16" t="n">
        <v>25000</v>
      </c>
      <c r="L31" s="5" t="inlineStr"/>
    </row>
    <row r="32" outlineLevel="1" ht="22" customHeight="1">
      <c r="B32" s="17" t="inlineStr">
        <is>
          <t>车架</t>
        </is>
      </c>
      <c r="C32" s="8" t="inlineStr">
        <is>
          <t>Pinarello 车架 F9  黑白 575</t>
        </is>
      </c>
      <c r="D32" s="17" t="inlineStr">
        <is>
          <t>Pinarello</t>
        </is>
      </c>
      <c r="E32" s="17" t="inlineStr">
        <is>
          <t>Pinarello 清理</t>
        </is>
      </c>
      <c r="F32" s="18" t="n">
        <v>1</v>
      </c>
      <c r="G32" s="18" t="n">
        <v>0</v>
      </c>
      <c r="H32" s="18">
        <f>F32+G32</f>
        <v/>
      </c>
      <c r="I32" s="18" t="n">
        <v>24400</v>
      </c>
      <c r="J32" s="18">
        <f>H32*I32</f>
        <v/>
      </c>
      <c r="K32" s="18" t="n">
        <v>25000</v>
      </c>
      <c r="L32" s="8" t="inlineStr"/>
    </row>
    <row r="33" outlineLevel="1" ht="22" customHeight="1">
      <c r="B33" s="15" t="inlineStr">
        <is>
          <t>车架</t>
        </is>
      </c>
      <c r="C33" s="5" t="inlineStr">
        <is>
          <t>Pinarello 车架 F9 BOB 465</t>
        </is>
      </c>
      <c r="D33" s="15" t="inlineStr">
        <is>
          <t>Pinarello</t>
        </is>
      </c>
      <c r="E33" s="15" t="inlineStr">
        <is>
          <t>Pinarello 清理</t>
        </is>
      </c>
      <c r="F33" s="16" t="n">
        <v>1</v>
      </c>
      <c r="G33" s="16" t="n">
        <v>0</v>
      </c>
      <c r="H33" s="16">
        <f>F33+G33</f>
        <v/>
      </c>
      <c r="I33" s="16" t="n">
        <v>24400</v>
      </c>
      <c r="J33" s="16">
        <f>H33*I33</f>
        <v/>
      </c>
      <c r="K33" s="16" t="n">
        <v>25000</v>
      </c>
      <c r="L33" s="5" t="inlineStr"/>
    </row>
    <row r="34" outlineLevel="1" ht="22" customHeight="1">
      <c r="B34" s="17" t="inlineStr">
        <is>
          <t>车架</t>
        </is>
      </c>
      <c r="C34" s="8" t="inlineStr">
        <is>
          <t>Pinarello 车架 F9 BOB 515</t>
        </is>
      </c>
      <c r="D34" s="17" t="inlineStr">
        <is>
          <t>Pinarello</t>
        </is>
      </c>
      <c r="E34" s="17" t="inlineStr">
        <is>
          <t>Pinarello 清理</t>
        </is>
      </c>
      <c r="F34" s="18" t="n">
        <v>1</v>
      </c>
      <c r="G34" s="18" t="n">
        <v>0</v>
      </c>
      <c r="H34" s="18">
        <f>F34+G34</f>
        <v/>
      </c>
      <c r="I34" s="18" t="n">
        <v>24400</v>
      </c>
      <c r="J34" s="18">
        <f>H34*I34</f>
        <v/>
      </c>
      <c r="K34" s="18" t="n">
        <v>25000</v>
      </c>
      <c r="L34" s="8" t="inlineStr"/>
    </row>
    <row r="35" outlineLevel="1" ht="22" customHeight="1">
      <c r="B35" s="15" t="inlineStr">
        <is>
          <t>车架</t>
        </is>
      </c>
      <c r="C35" s="5" t="inlineStr">
        <is>
          <t>Pinarello 车架 F9 BOB 530</t>
        </is>
      </c>
      <c r="D35" s="15" t="inlineStr">
        <is>
          <t>Pinarello</t>
        </is>
      </c>
      <c r="E35" s="15" t="inlineStr">
        <is>
          <t>Pinarello 清理</t>
        </is>
      </c>
      <c r="F35" s="16" t="n">
        <v>1</v>
      </c>
      <c r="G35" s="16" t="n">
        <v>0</v>
      </c>
      <c r="H35" s="16">
        <f>F35+G35</f>
        <v/>
      </c>
      <c r="I35" s="16" t="n">
        <v>24400</v>
      </c>
      <c r="J35" s="16">
        <f>H35*I35</f>
        <v/>
      </c>
      <c r="K35" s="16" t="n">
        <v>25000</v>
      </c>
      <c r="L35" s="5" t="inlineStr"/>
    </row>
    <row r="36" outlineLevel="1" ht="22" customHeight="1">
      <c r="B36" s="17" t="inlineStr">
        <is>
          <t>车架</t>
        </is>
      </c>
      <c r="C36" s="8" t="inlineStr">
        <is>
          <t>Pinarello 车架 F9 宝石蓝 500</t>
        </is>
      </c>
      <c r="D36" s="17" t="inlineStr">
        <is>
          <t>Pinarello</t>
        </is>
      </c>
      <c r="E36" s="17" t="inlineStr">
        <is>
          <t>Pinarello 清理</t>
        </is>
      </c>
      <c r="F36" s="18" t="n">
        <v>2</v>
      </c>
      <c r="G36" s="18" t="n">
        <v>0</v>
      </c>
      <c r="H36" s="18">
        <f>F36+G36</f>
        <v/>
      </c>
      <c r="I36" s="18" t="n">
        <v>24400</v>
      </c>
      <c r="J36" s="18">
        <f>H36*I36</f>
        <v/>
      </c>
      <c r="K36" s="18" t="n">
        <v>25000</v>
      </c>
      <c r="L36" s="8" t="inlineStr"/>
    </row>
    <row r="37" outlineLevel="1" ht="22" customHeight="1">
      <c r="B37" s="15" t="inlineStr">
        <is>
          <t>车架</t>
        </is>
      </c>
      <c r="C37" s="5" t="inlineStr">
        <is>
          <t>Pinarello 车架 F9 宝石蓝 515</t>
        </is>
      </c>
      <c r="D37" s="15" t="inlineStr">
        <is>
          <t>Pinarello</t>
        </is>
      </c>
      <c r="E37" s="15" t="inlineStr">
        <is>
          <t>Pinarello 清理</t>
        </is>
      </c>
      <c r="F37" s="16" t="n">
        <v>2</v>
      </c>
      <c r="G37" s="16" t="n">
        <v>0</v>
      </c>
      <c r="H37" s="16">
        <f>F37+G37</f>
        <v/>
      </c>
      <c r="I37" s="16" t="n">
        <v>24400</v>
      </c>
      <c r="J37" s="16">
        <f>H37*I37</f>
        <v/>
      </c>
      <c r="K37" s="16" t="n">
        <v>25000</v>
      </c>
      <c r="L37" s="5" t="inlineStr"/>
    </row>
    <row r="38" outlineLevel="1" ht="22" customHeight="1">
      <c r="B38" s="17" t="inlineStr">
        <is>
          <t>车架</t>
        </is>
      </c>
      <c r="C38" s="8" t="inlineStr">
        <is>
          <t>Pinarello 车架 F9 宝石蓝 530</t>
        </is>
      </c>
      <c r="D38" s="17" t="inlineStr">
        <is>
          <t>Pinarello</t>
        </is>
      </c>
      <c r="E38" s="17" t="inlineStr">
        <is>
          <t>Pinarello 清理</t>
        </is>
      </c>
      <c r="F38" s="18" t="n">
        <v>1</v>
      </c>
      <c r="G38" s="18" t="n">
        <v>0</v>
      </c>
      <c r="H38" s="18">
        <f>F38+G38</f>
        <v/>
      </c>
      <c r="I38" s="18" t="n">
        <v>24400</v>
      </c>
      <c r="J38" s="18">
        <f>H38*I38</f>
        <v/>
      </c>
      <c r="K38" s="18" t="n">
        <v>25000</v>
      </c>
      <c r="L38" s="8" t="inlineStr"/>
    </row>
    <row r="39" outlineLevel="1" ht="22" customHeight="1">
      <c r="B39" s="15" t="inlineStr">
        <is>
          <t>车架</t>
        </is>
      </c>
      <c r="C39" s="5" t="inlineStr">
        <is>
          <t>Pinarello 车架 F9 宝石蓝 545</t>
        </is>
      </c>
      <c r="D39" s="15" t="inlineStr">
        <is>
          <t>Pinarello</t>
        </is>
      </c>
      <c r="E39" s="15" t="inlineStr">
        <is>
          <t>Pinarello 清理</t>
        </is>
      </c>
      <c r="F39" s="16" t="n">
        <v>2</v>
      </c>
      <c r="G39" s="16" t="n">
        <v>0</v>
      </c>
      <c r="H39" s="16">
        <f>F39+G39</f>
        <v/>
      </c>
      <c r="I39" s="16" t="n">
        <v>24400</v>
      </c>
      <c r="J39" s="16">
        <f>H39*I39</f>
        <v/>
      </c>
      <c r="K39" s="16" t="n">
        <v>25000</v>
      </c>
      <c r="L39" s="5" t="inlineStr"/>
    </row>
    <row r="40" outlineLevel="1" ht="22" customHeight="1">
      <c r="B40" s="17" t="inlineStr">
        <is>
          <t>车架</t>
        </is>
      </c>
      <c r="C40" s="8" t="inlineStr">
        <is>
          <t>Pinarello 车架 F9 蓝黑 530</t>
        </is>
      </c>
      <c r="D40" s="17" t="inlineStr">
        <is>
          <t>Pinarello</t>
        </is>
      </c>
      <c r="E40" s="17" t="inlineStr">
        <is>
          <t>Pinarello 清理</t>
        </is>
      </c>
      <c r="F40" s="18" t="n">
        <v>1</v>
      </c>
      <c r="G40" s="18" t="n">
        <v>0</v>
      </c>
      <c r="H40" s="18">
        <f>F40+G40</f>
        <v/>
      </c>
      <c r="I40" s="18" t="n">
        <v>24400</v>
      </c>
      <c r="J40" s="18">
        <f>H40*I40</f>
        <v/>
      </c>
      <c r="K40" s="18" t="n">
        <v>25000</v>
      </c>
      <c r="L40" s="8" t="inlineStr"/>
    </row>
    <row r="41" outlineLevel="1" ht="22" customHeight="1">
      <c r="B41" s="15" t="inlineStr">
        <is>
          <t>车架</t>
        </is>
      </c>
      <c r="C41" s="5" t="inlineStr">
        <is>
          <t>Pinarello 车架 X9 金色 545</t>
        </is>
      </c>
      <c r="D41" s="15" t="inlineStr">
        <is>
          <t>Pinarello</t>
        </is>
      </c>
      <c r="E41" s="15" t="inlineStr">
        <is>
          <t>Pinarello 清理</t>
        </is>
      </c>
      <c r="F41" s="16" t="n">
        <v>1</v>
      </c>
      <c r="G41" s="16" t="n">
        <v>0</v>
      </c>
      <c r="H41" s="16">
        <f>F41+G41</f>
        <v/>
      </c>
      <c r="I41" s="16" t="n">
        <v>21720</v>
      </c>
      <c r="J41" s="16">
        <f>H41*I41</f>
        <v/>
      </c>
      <c r="K41" s="16" t="n">
        <v>22000</v>
      </c>
      <c r="L41" s="5" t="inlineStr"/>
    </row>
    <row r="42" ht="22" customHeight="1">
      <c r="B42" s="19" t="inlineStr">
        <is>
          <t>小计</t>
        </is>
      </c>
      <c r="C42" s="11" t="n"/>
      <c r="D42" s="11">
        <f>COUNTA(C22:C41)</f>
        <v/>
      </c>
      <c r="E42" s="11" t="n"/>
      <c r="F42" s="11" t="n"/>
      <c r="G42" s="11" t="n"/>
      <c r="H42" s="12">
        <f>SUM(H22:H41)</f>
        <v/>
      </c>
      <c r="I42" s="11" t="n"/>
      <c r="J42" s="12">
        <f>SUM(J22:J41)</f>
        <v/>
      </c>
      <c r="K42" s="11" t="n"/>
      <c r="L42" s="11" t="n"/>
    </row>
    <row r="43" ht="22" customHeight="1">
      <c r="B43" s="14" t="inlineStr">
        <is>
          <t>🔴 清理库存</t>
        </is>
      </c>
    </row>
    <row r="44" outlineLevel="1" ht="22" customHeight="1">
      <c r="B44" s="17" t="inlineStr">
        <is>
          <t>整车</t>
        </is>
      </c>
      <c r="C44" s="8" t="inlineStr">
        <is>
          <t>CANYON 整车 Ultimate 爬坡架 XS</t>
        </is>
      </c>
      <c r="D44" s="17" t="inlineStr">
        <is>
          <t>CANYON</t>
        </is>
      </c>
      <c r="E44" s="17" t="inlineStr">
        <is>
          <t>清理库存</t>
        </is>
      </c>
      <c r="F44" s="18" t="n">
        <v>1</v>
      </c>
      <c r="G44" s="18" t="n">
        <v>0</v>
      </c>
      <c r="H44" s="18">
        <f>F44+G44</f>
        <v/>
      </c>
      <c r="I44" s="18" t="n">
        <v>33996</v>
      </c>
      <c r="J44" s="18">
        <f>H44*I44</f>
        <v/>
      </c>
      <c r="K44" s="18" t="n">
        <v>34000</v>
      </c>
      <c r="L44" s="8" t="inlineStr"/>
    </row>
    <row r="45" outlineLevel="1" ht="22" customHeight="1">
      <c r="B45" s="15" t="inlineStr">
        <is>
          <t>整车</t>
        </is>
      </c>
      <c r="C45" s="5" t="inlineStr">
        <is>
          <t>Colnago 整车 Colnago V4 红色 420</t>
        </is>
      </c>
      <c r="D45" s="15" t="inlineStr">
        <is>
          <t>Colnago</t>
        </is>
      </c>
      <c r="E45" s="15" t="inlineStr">
        <is>
          <t>清理库存</t>
        </is>
      </c>
      <c r="F45" s="16" t="n">
        <v>1</v>
      </c>
      <c r="G45" s="16" t="n">
        <v>0</v>
      </c>
      <c r="H45" s="16">
        <f>F45+G45</f>
        <v/>
      </c>
      <c r="I45" s="16" t="n">
        <v>41468</v>
      </c>
      <c r="J45" s="16">
        <f>H45*I45</f>
        <v/>
      </c>
      <c r="K45" s="16" t="n">
        <v>35000</v>
      </c>
      <c r="L45" s="5" t="inlineStr"/>
    </row>
    <row r="46" outlineLevel="1" ht="22" customHeight="1">
      <c r="B46" s="17" t="inlineStr">
        <is>
          <t>整车</t>
        </is>
      </c>
      <c r="C46" s="8" t="inlineStr">
        <is>
          <t>GUSTO 整车 GTR 白色 M</t>
        </is>
      </c>
      <c r="D46" s="17" t="inlineStr">
        <is>
          <t>GUSTO</t>
        </is>
      </c>
      <c r="E46" s="17" t="inlineStr">
        <is>
          <t>清理库存</t>
        </is>
      </c>
      <c r="F46" s="18" t="n">
        <v>1</v>
      </c>
      <c r="G46" s="18" t="n">
        <v>0</v>
      </c>
      <c r="H46" s="18">
        <f>F46+G46</f>
        <v/>
      </c>
      <c r="I46" s="18" t="n">
        <v>11800</v>
      </c>
      <c r="J46" s="18">
        <f>H46*I46</f>
        <v/>
      </c>
      <c r="K46" s="18" t="n">
        <v/>
      </c>
      <c r="L46" s="8" t="inlineStr"/>
    </row>
    <row r="47" outlineLevel="1" ht="22" customHeight="1">
      <c r="B47" s="15" t="inlineStr">
        <is>
          <t>整车</t>
        </is>
      </c>
      <c r="C47" s="5" t="inlineStr">
        <is>
          <t>Lykos 整车 Lykos 蓝 48</t>
        </is>
      </c>
      <c r="D47" s="15" t="inlineStr">
        <is>
          <t>Lykos</t>
        </is>
      </c>
      <c r="E47" s="15" t="inlineStr">
        <is>
          <t>清理库存</t>
        </is>
      </c>
      <c r="F47" s="16" t="n">
        <v>1</v>
      </c>
      <c r="G47" s="16" t="n">
        <v>0</v>
      </c>
      <c r="H47" s="16">
        <f>F47+G47</f>
        <v/>
      </c>
      <c r="I47" s="16" t="n">
        <v>22500</v>
      </c>
      <c r="J47" s="16">
        <f>H47*I47</f>
        <v/>
      </c>
      <c r="K47" s="16" t="n">
        <v>20000</v>
      </c>
      <c r="L47" s="5" t="inlineStr"/>
    </row>
    <row r="48" outlineLevel="1" ht="22" customHeight="1">
      <c r="B48" s="17" t="inlineStr">
        <is>
          <t>整车</t>
        </is>
      </c>
      <c r="C48" s="8" t="inlineStr">
        <is>
          <t>RIDLEY 整车 紫色 M码（带车把）</t>
        </is>
      </c>
      <c r="D48" s="17" t="inlineStr">
        <is>
          <t>RIDLEY</t>
        </is>
      </c>
      <c r="E48" s="17" t="inlineStr">
        <is>
          <t>清理库存</t>
        </is>
      </c>
      <c r="F48" s="18" t="n">
        <v>1</v>
      </c>
      <c r="G48" s="18" t="n">
        <v>0</v>
      </c>
      <c r="H48" s="18">
        <f>F48+G48</f>
        <v/>
      </c>
      <c r="I48" s="18" t="n">
        <v>16500</v>
      </c>
      <c r="J48" s="18">
        <f>H48*I48</f>
        <v/>
      </c>
      <c r="K48" s="18" t="n">
        <v/>
      </c>
      <c r="L48" s="8" t="inlineStr"/>
    </row>
    <row r="49" outlineLevel="1" ht="22" customHeight="1">
      <c r="B49" s="15" t="inlineStr">
        <is>
          <t>车架</t>
        </is>
      </c>
      <c r="C49" s="5" t="inlineStr">
        <is>
          <t>AURUM   车架 ESSENTIA 岩石灰 51</t>
        </is>
      </c>
      <c r="D49" s="15" t="inlineStr">
        <is>
          <t>AURUM</t>
        </is>
      </c>
      <c r="E49" s="15" t="inlineStr">
        <is>
          <t>清理库存</t>
        </is>
      </c>
      <c r="F49" s="16" t="n">
        <v>1</v>
      </c>
      <c r="G49" s="16" t="n">
        <v>0</v>
      </c>
      <c r="H49" s="16">
        <f>F49+G49</f>
        <v/>
      </c>
      <c r="I49" s="16" t="n">
        <v>22260</v>
      </c>
      <c r="J49" s="16">
        <f>H49*I49</f>
        <v/>
      </c>
      <c r="K49" s="16" t="n">
        <v>15000</v>
      </c>
      <c r="L49" s="5" t="inlineStr">
        <is>
          <t>以货换货</t>
        </is>
      </c>
    </row>
    <row r="50" outlineLevel="1" ht="22" customHeight="1">
      <c r="B50" s="17" t="inlineStr">
        <is>
          <t>车架</t>
        </is>
      </c>
      <c r="C50" s="8" t="inlineStr">
        <is>
          <t>AURUM   车架 MAGMA V1 玛瑙黑 48</t>
        </is>
      </c>
      <c r="D50" s="17" t="inlineStr">
        <is>
          <t>AURUM</t>
        </is>
      </c>
      <c r="E50" s="17" t="inlineStr">
        <is>
          <t>清理库存</t>
        </is>
      </c>
      <c r="F50" s="18" t="n">
        <v>1</v>
      </c>
      <c r="G50" s="18" t="n">
        <v>0</v>
      </c>
      <c r="H50" s="18">
        <f>F50+G50</f>
        <v/>
      </c>
      <c r="I50" s="18" t="n">
        <v>25220</v>
      </c>
      <c r="J50" s="18">
        <f>H50*I50</f>
        <v/>
      </c>
      <c r="K50" s="18" t="n">
        <v>18000</v>
      </c>
      <c r="L50" s="8" t="inlineStr"/>
    </row>
    <row r="51" outlineLevel="1" ht="22" customHeight="1">
      <c r="B51" s="15" t="inlineStr">
        <is>
          <t>车架</t>
        </is>
      </c>
      <c r="C51" s="5" t="inlineStr">
        <is>
          <t>AURUM   车架 MAGMA V2 白色 58（含座管）</t>
        </is>
      </c>
      <c r="D51" s="15" t="inlineStr">
        <is>
          <t>AURUM</t>
        </is>
      </c>
      <c r="E51" s="15" t="inlineStr">
        <is>
          <t>清理库存</t>
        </is>
      </c>
      <c r="F51" s="16" t="n">
        <v>1</v>
      </c>
      <c r="G51" s="16" t="n">
        <v>0</v>
      </c>
      <c r="H51" s="16">
        <f>F51+G51</f>
        <v/>
      </c>
      <c r="I51" s="16" t="n">
        <v>32760</v>
      </c>
      <c r="J51" s="16">
        <f>H51*I51</f>
        <v/>
      </c>
      <c r="K51" s="16" t="n">
        <v>25000</v>
      </c>
      <c r="L51" s="5" t="inlineStr"/>
    </row>
    <row r="52" outlineLevel="1" ht="22" customHeight="1">
      <c r="B52" s="17" t="inlineStr">
        <is>
          <t>车架</t>
        </is>
      </c>
      <c r="C52" s="8" t="inlineStr">
        <is>
          <t>Colnago 车架 C68 格雷金 510</t>
        </is>
      </c>
      <c r="D52" s="17" t="inlineStr">
        <is>
          <t>Colnago</t>
        </is>
      </c>
      <c r="E52" s="17" t="inlineStr">
        <is>
          <t>清理库存</t>
        </is>
      </c>
      <c r="F52" s="18" t="n">
        <v>1</v>
      </c>
      <c r="G52" s="18" t="n">
        <v>0</v>
      </c>
      <c r="H52" s="18">
        <f>F52+G52</f>
        <v/>
      </c>
      <c r="I52" s="18" t="n">
        <v>38000</v>
      </c>
      <c r="J52" s="18">
        <f>H52*I52</f>
        <v/>
      </c>
      <c r="K52" s="18" t="n">
        <v>25000</v>
      </c>
      <c r="L52" s="8" t="inlineStr"/>
    </row>
    <row r="53" outlineLevel="1" ht="22" customHeight="1">
      <c r="B53" s="15" t="inlineStr">
        <is>
          <t>车架</t>
        </is>
      </c>
      <c r="C53" s="5" t="inlineStr">
        <is>
          <t>De Rosa 车架 idol 红 53</t>
        </is>
      </c>
      <c r="D53" s="15" t="inlineStr">
        <is>
          <t>De Rosa</t>
        </is>
      </c>
      <c r="E53" s="15" t="inlineStr">
        <is>
          <t>清理库存</t>
        </is>
      </c>
      <c r="F53" s="16" t="n">
        <v>1</v>
      </c>
      <c r="G53" s="16" t="n">
        <v>0</v>
      </c>
      <c r="H53" s="16">
        <f>F53+G53</f>
        <v/>
      </c>
      <c r="I53" s="16" t="n">
        <v>18000</v>
      </c>
      <c r="J53" s="16">
        <f>H53*I53</f>
        <v/>
      </c>
      <c r="K53" s="16" t="n">
        <v>15000</v>
      </c>
      <c r="L53" s="5" t="inlineStr"/>
    </row>
    <row r="54" outlineLevel="1" ht="22" customHeight="1">
      <c r="B54" s="17" t="inlineStr">
        <is>
          <t>车架</t>
        </is>
      </c>
      <c r="C54" s="8" t="inlineStr">
        <is>
          <t>RIDLEY 车架 粉色 XS码（带车把）</t>
        </is>
      </c>
      <c r="D54" s="17" t="inlineStr">
        <is>
          <t>RIDLEY</t>
        </is>
      </c>
      <c r="E54" s="17" t="inlineStr">
        <is>
          <t>清理库存</t>
        </is>
      </c>
      <c r="F54" s="18" t="n">
        <v>1</v>
      </c>
      <c r="G54" s="18" t="n">
        <v>0</v>
      </c>
      <c r="H54" s="18">
        <f>F54+G54</f>
        <v/>
      </c>
      <c r="I54" s="18" t="n">
        <v>7825</v>
      </c>
      <c r="J54" s="18">
        <f>H54*I54</f>
        <v/>
      </c>
      <c r="K54" s="18" t="n">
        <v/>
      </c>
      <c r="L54" s="8" t="inlineStr"/>
    </row>
    <row r="55" outlineLevel="1" ht="22" customHeight="1">
      <c r="B55" s="15" t="inlineStr">
        <is>
          <t>车架</t>
        </is>
      </c>
      <c r="C55" s="5" t="inlineStr">
        <is>
          <t>RIDLEY 车架 黑白 L码（带车把）</t>
        </is>
      </c>
      <c r="D55" s="15" t="inlineStr">
        <is>
          <t>RIDLEY</t>
        </is>
      </c>
      <c r="E55" s="15" t="inlineStr">
        <is>
          <t>清理库存</t>
        </is>
      </c>
      <c r="F55" s="16" t="n">
        <v>1</v>
      </c>
      <c r="G55" s="16" t="n">
        <v>0</v>
      </c>
      <c r="H55" s="16">
        <f>F55+G55</f>
        <v/>
      </c>
      <c r="I55" s="16" t="n">
        <v>7825</v>
      </c>
      <c r="J55" s="16">
        <f>H55*I55</f>
        <v/>
      </c>
      <c r="K55" s="16" t="n">
        <v/>
      </c>
      <c r="L55" s="5" t="inlineStr"/>
    </row>
    <row r="56" outlineLevel="1" ht="22" customHeight="1">
      <c r="B56" s="17" t="inlineStr">
        <is>
          <t>车架</t>
        </is>
      </c>
      <c r="C56" s="8" t="inlineStr">
        <is>
          <t>SPECIALIZED 车架 SL8 玫瑰金 54</t>
        </is>
      </c>
      <c r="D56" s="17" t="inlineStr">
        <is>
          <t>SPECIALIZED</t>
        </is>
      </c>
      <c r="E56" s="17" t="inlineStr">
        <is>
          <t>清理库存</t>
        </is>
      </c>
      <c r="F56" s="18" t="n">
        <v>1</v>
      </c>
      <c r="G56" s="18" t="n">
        <v>0</v>
      </c>
      <c r="H56" s="18">
        <f>F56+G56</f>
        <v/>
      </c>
      <c r="I56" s="18" t="n">
        <v>31550</v>
      </c>
      <c r="J56" s="18">
        <f>H56*I56</f>
        <v/>
      </c>
      <c r="K56" s="18" t="n">
        <v>29999</v>
      </c>
      <c r="L56" s="8" t="inlineStr"/>
    </row>
    <row r="57" outlineLevel="1" ht="22" customHeight="1">
      <c r="B57" s="15" t="inlineStr">
        <is>
          <t>车架</t>
        </is>
      </c>
      <c r="C57" s="5" t="inlineStr">
        <is>
          <t>Standert 车架 白咖 52</t>
        </is>
      </c>
      <c r="D57" s="15" t="inlineStr">
        <is>
          <t>Standert</t>
        </is>
      </c>
      <c r="E57" s="15" t="inlineStr">
        <is>
          <t>清理库存</t>
        </is>
      </c>
      <c r="F57" s="16" t="n">
        <v>2</v>
      </c>
      <c r="G57" s="16" t="n">
        <v>0</v>
      </c>
      <c r="H57" s="16">
        <f>F57+G57</f>
        <v/>
      </c>
      <c r="I57" s="16" t="n">
        <v>15000</v>
      </c>
      <c r="J57" s="16">
        <f>H57*I57</f>
        <v/>
      </c>
      <c r="K57" s="16" t="n">
        <v>15000</v>
      </c>
      <c r="L57" s="5" t="inlineStr"/>
    </row>
    <row r="58" outlineLevel="1" ht="22" customHeight="1">
      <c r="B58" s="17" t="inlineStr">
        <is>
          <t>车架</t>
        </is>
      </c>
      <c r="C58" s="8" t="inlineStr">
        <is>
          <t>Standert 车架 黑 48</t>
        </is>
      </c>
      <c r="D58" s="17" t="inlineStr">
        <is>
          <t>Standert</t>
        </is>
      </c>
      <c r="E58" s="17" t="inlineStr">
        <is>
          <t>清理库存</t>
        </is>
      </c>
      <c r="F58" s="18" t="n">
        <v>1</v>
      </c>
      <c r="G58" s="18" t="n">
        <v>0</v>
      </c>
      <c r="H58" s="18">
        <f>F58+G58</f>
        <v/>
      </c>
      <c r="I58" s="18" t="n">
        <v>15000</v>
      </c>
      <c r="J58" s="18">
        <f>H58*I58</f>
        <v/>
      </c>
      <c r="K58" s="18" t="n">
        <v>13000</v>
      </c>
      <c r="L58" s="8" t="inlineStr"/>
    </row>
    <row r="59" outlineLevel="1" ht="22" customHeight="1">
      <c r="B59" s="15" t="inlineStr">
        <is>
          <t>轮组</t>
        </is>
      </c>
      <c r="C59" s="5" t="inlineStr">
        <is>
          <t>DT 轮组 ARC 1100 38 (SH)</t>
        </is>
      </c>
      <c r="D59" s="15" t="inlineStr">
        <is>
          <t>DT</t>
        </is>
      </c>
      <c r="E59" s="15" t="inlineStr">
        <is>
          <t>清理库存</t>
        </is>
      </c>
      <c r="F59" s="16" t="n">
        <v>1</v>
      </c>
      <c r="G59" s="16" t="n">
        <v>0</v>
      </c>
      <c r="H59" s="16">
        <f>F59+G59</f>
        <v/>
      </c>
      <c r="I59" s="16" t="n">
        <v>13100</v>
      </c>
      <c r="J59" s="16">
        <f>H59*I59</f>
        <v/>
      </c>
      <c r="K59" s="16" t="n">
        <v/>
      </c>
      <c r="L59" s="5" t="inlineStr"/>
    </row>
    <row r="60" outlineLevel="1" ht="22" customHeight="1">
      <c r="B60" s="17" t="inlineStr">
        <is>
          <t>轮组</t>
        </is>
      </c>
      <c r="C60" s="8" t="inlineStr">
        <is>
          <t>FSA 轮组 vision 45 RS</t>
        </is>
      </c>
      <c r="D60" s="17" t="inlineStr">
        <is>
          <t>FSA</t>
        </is>
      </c>
      <c r="E60" s="17" t="inlineStr">
        <is>
          <t>清理库存</t>
        </is>
      </c>
      <c r="F60" s="18" t="n">
        <v>1</v>
      </c>
      <c r="G60" s="18" t="n">
        <v>0</v>
      </c>
      <c r="H60" s="18">
        <f>F60+G60</f>
        <v/>
      </c>
      <c r="I60" s="18" t="n">
        <v>18488</v>
      </c>
      <c r="J60" s="18">
        <f>H60*I60</f>
        <v/>
      </c>
      <c r="K60" s="18" t="n">
        <v/>
      </c>
      <c r="L60" s="8" t="inlineStr"/>
    </row>
    <row r="61" outlineLevel="1" ht="22" customHeight="1">
      <c r="B61" s="15" t="inlineStr">
        <is>
          <t>轮组</t>
        </is>
      </c>
      <c r="C61" s="5" t="inlineStr">
        <is>
          <t>PCW 轮组 古铜金6560</t>
        </is>
      </c>
      <c r="D61" s="15" t="inlineStr">
        <is>
          <t>PCW</t>
        </is>
      </c>
      <c r="E61" s="15" t="inlineStr">
        <is>
          <t>清理库存</t>
        </is>
      </c>
      <c r="F61" s="16" t="n">
        <v>1</v>
      </c>
      <c r="G61" s="16" t="n">
        <v>0</v>
      </c>
      <c r="H61" s="16">
        <f>F61+G61</f>
        <v/>
      </c>
      <c r="I61" s="16" t="n">
        <v>25000</v>
      </c>
      <c r="J61" s="16">
        <f>H61*I61</f>
        <v/>
      </c>
      <c r="K61" s="16" t="n">
        <v/>
      </c>
      <c r="L61" s="5" t="inlineStr"/>
    </row>
    <row r="62" outlineLevel="1" ht="22" customHeight="1">
      <c r="B62" s="17" t="inlineStr">
        <is>
          <t>轮组</t>
        </is>
      </c>
      <c r="C62" s="8" t="inlineStr">
        <is>
          <t>PCW 轮组 黑 4540 CK花鼓 (SH)</t>
        </is>
      </c>
      <c r="D62" s="17" t="inlineStr">
        <is>
          <t>PCW</t>
        </is>
      </c>
      <c r="E62" s="17" t="inlineStr">
        <is>
          <t>清理库存</t>
        </is>
      </c>
      <c r="F62" s="18" t="n">
        <v>2</v>
      </c>
      <c r="G62" s="18" t="n">
        <v>0</v>
      </c>
      <c r="H62" s="18">
        <f>F62+G62</f>
        <v/>
      </c>
      <c r="I62" s="18" t="n">
        <v>24000</v>
      </c>
      <c r="J62" s="18">
        <f>H62*I62</f>
        <v/>
      </c>
      <c r="K62" s="18" t="n">
        <v>18000</v>
      </c>
      <c r="L62" s="8" t="inlineStr"/>
    </row>
    <row r="63" outlineLevel="1" ht="22" customHeight="1">
      <c r="B63" s="15" t="inlineStr">
        <is>
          <t>轮组</t>
        </is>
      </c>
      <c r="C63" s="5" t="inlineStr">
        <is>
          <t>PCW 轮组 黑粉 6560</t>
        </is>
      </c>
      <c r="D63" s="15" t="inlineStr">
        <is>
          <t>PCW</t>
        </is>
      </c>
      <c r="E63" s="15" t="inlineStr">
        <is>
          <t>清理库存</t>
        </is>
      </c>
      <c r="F63" s="16" t="n">
        <v>1</v>
      </c>
      <c r="G63" s="16" t="n">
        <v>0</v>
      </c>
      <c r="H63" s="16">
        <f>F63+G63</f>
        <v/>
      </c>
      <c r="I63" s="16" t="n">
        <v>22150</v>
      </c>
      <c r="J63" s="16">
        <f>H63*I63</f>
        <v/>
      </c>
      <c r="K63" s="16" t="n">
        <v/>
      </c>
      <c r="L63" s="5" t="inlineStr"/>
    </row>
    <row r="64" outlineLevel="1" ht="22" customHeight="1">
      <c r="B64" s="17" t="inlineStr">
        <is>
          <t>轮组</t>
        </is>
      </c>
      <c r="C64" s="8" t="inlineStr">
        <is>
          <t>SCOM 风刃 轮组 49/67 银标 碟刹</t>
        </is>
      </c>
      <c r="D64" s="17" t="inlineStr">
        <is>
          <t>SCOM 风刃</t>
        </is>
      </c>
      <c r="E64" s="17" t="inlineStr">
        <is>
          <t>清理库存</t>
        </is>
      </c>
      <c r="F64" s="18" t="n">
        <v>2</v>
      </c>
      <c r="G64" s="18" t="n">
        <v>0</v>
      </c>
      <c r="H64" s="18">
        <f>F64+G64</f>
        <v/>
      </c>
      <c r="I64" s="18" t="n">
        <v>3500</v>
      </c>
      <c r="J64" s="18">
        <f>H64*I64</f>
        <v/>
      </c>
      <c r="K64" s="18" t="n">
        <v/>
      </c>
      <c r="L64" s="8" t="inlineStr"/>
    </row>
    <row r="65" outlineLevel="1" ht="22" customHeight="1">
      <c r="B65" s="15" t="inlineStr">
        <is>
          <t>轮组</t>
        </is>
      </c>
      <c r="C65" s="5" t="inlineStr">
        <is>
          <t>SCOM 风刃 轮组 49/67 黑标 碟刹</t>
        </is>
      </c>
      <c r="D65" s="15" t="inlineStr">
        <is>
          <t>SCOM 风刃</t>
        </is>
      </c>
      <c r="E65" s="15" t="inlineStr">
        <is>
          <t>清理库存</t>
        </is>
      </c>
      <c r="F65" s="16" t="n">
        <v>6</v>
      </c>
      <c r="G65" s="16" t="n">
        <v>0</v>
      </c>
      <c r="H65" s="16">
        <f>F65+G65</f>
        <v/>
      </c>
      <c r="I65" s="16" t="n">
        <v>3500</v>
      </c>
      <c r="J65" s="16">
        <f>H65*I65</f>
        <v/>
      </c>
      <c r="K65" s="16" t="n">
        <v/>
      </c>
      <c r="L65" s="5" t="inlineStr"/>
    </row>
    <row r="66" outlineLevel="1" ht="22" customHeight="1">
      <c r="B66" s="17" t="inlineStr">
        <is>
          <t>轮组</t>
        </is>
      </c>
      <c r="C66" s="8" t="inlineStr">
        <is>
          <t>Superteam 轮组 水滴纹 (SH)</t>
        </is>
      </c>
      <c r="D66" s="17" t="inlineStr">
        <is>
          <t>Superteam</t>
        </is>
      </c>
      <c r="E66" s="17" t="inlineStr">
        <is>
          <t>清理库存</t>
        </is>
      </c>
      <c r="F66" s="18" t="n">
        <v>1</v>
      </c>
      <c r="G66" s="18" t="n">
        <v>0</v>
      </c>
      <c r="H66" s="18">
        <f>F66+G66</f>
        <v/>
      </c>
      <c r="I66" s="18" t="n">
        <v>6099</v>
      </c>
      <c r="J66" s="18">
        <f>H66*I66</f>
        <v/>
      </c>
      <c r="K66" s="18" t="n">
        <v/>
      </c>
      <c r="L66" s="8" t="inlineStr"/>
    </row>
    <row r="67" outlineLevel="1" ht="22" customHeight="1">
      <c r="B67" s="15" t="inlineStr">
        <is>
          <t>轮组</t>
        </is>
      </c>
      <c r="C67" s="5" t="inlineStr">
        <is>
          <t>Superteam 轮组 鲨鱼纹 (SH)</t>
        </is>
      </c>
      <c r="D67" s="15" t="inlineStr">
        <is>
          <t>Superteam</t>
        </is>
      </c>
      <c r="E67" s="15" t="inlineStr">
        <is>
          <t>清理库存</t>
        </is>
      </c>
      <c r="F67" s="16" t="n">
        <v>1</v>
      </c>
      <c r="G67" s="16" t="n">
        <v>0</v>
      </c>
      <c r="H67" s="16">
        <f>F67+G67</f>
        <v/>
      </c>
      <c r="I67" s="16" t="n">
        <v>4199</v>
      </c>
      <c r="J67" s="16">
        <f>H67*I67</f>
        <v/>
      </c>
      <c r="K67" s="16" t="n">
        <v/>
      </c>
      <c r="L67" s="5" t="inlineStr"/>
    </row>
    <row r="68" outlineLevel="1" ht="22" customHeight="1">
      <c r="B68" s="17" t="inlineStr">
        <is>
          <t>轮组</t>
        </is>
      </c>
      <c r="C68" s="8" t="inlineStr">
        <is>
          <t>ZIPP 轮组 353 (SH)</t>
        </is>
      </c>
      <c r="D68" s="17" t="inlineStr">
        <is>
          <t>ZIPP</t>
        </is>
      </c>
      <c r="E68" s="17" t="inlineStr">
        <is>
          <t>清理库存</t>
        </is>
      </c>
      <c r="F68" s="18" t="n">
        <v>17</v>
      </c>
      <c r="G68" s="18" t="n">
        <v>0</v>
      </c>
      <c r="H68" s="18">
        <f>F68+G68</f>
        <v/>
      </c>
      <c r="I68" s="18" t="n">
        <v>14295</v>
      </c>
      <c r="J68" s="18">
        <f>H68*I68</f>
        <v/>
      </c>
      <c r="K68" s="18" t="n">
        <v>14000</v>
      </c>
      <c r="L68" s="8" t="inlineStr">
        <is>
          <t>先14000挂着</t>
        </is>
      </c>
    </row>
    <row r="69" outlineLevel="1" ht="22" customHeight="1">
      <c r="B69" s="15" t="inlineStr">
        <is>
          <t>盘片</t>
        </is>
      </c>
      <c r="C69" s="5" t="inlineStr">
        <is>
          <t>CARBON—TI 盘片 55-40</t>
        </is>
      </c>
      <c r="D69" s="15" t="inlineStr">
        <is>
          <t>CARBON—TI</t>
        </is>
      </c>
      <c r="E69" s="15" t="inlineStr">
        <is>
          <t>清理库存</t>
        </is>
      </c>
      <c r="F69" s="16" t="n">
        <v>1</v>
      </c>
      <c r="G69" s="16" t="n">
        <v>0</v>
      </c>
      <c r="H69" s="16">
        <f>F69+G69</f>
        <v/>
      </c>
      <c r="I69" s="16" t="n">
        <v>3000</v>
      </c>
      <c r="J69" s="16">
        <f>H69*I69</f>
        <v/>
      </c>
      <c r="K69" s="16" t="n">
        <v/>
      </c>
      <c r="L69" s="5" t="inlineStr"/>
    </row>
    <row r="70" outlineLevel="1" ht="22" customHeight="1">
      <c r="B70" s="17" t="inlineStr">
        <is>
          <t>曲柄组</t>
        </is>
      </c>
      <c r="C70" s="8" t="inlineStr">
        <is>
          <t>POWER 2 MAX 曲柄组 ngeco 170</t>
        </is>
      </c>
      <c r="D70" s="17" t="inlineStr">
        <is>
          <t>POWER 2 MAX</t>
        </is>
      </c>
      <c r="E70" s="17" t="inlineStr">
        <is>
          <t>清理库存</t>
        </is>
      </c>
      <c r="F70" s="18" t="n">
        <v>5</v>
      </c>
      <c r="G70" s="18" t="n">
        <v>0</v>
      </c>
      <c r="H70" s="18">
        <f>F70+G70</f>
        <v/>
      </c>
      <c r="I70" s="18" t="n">
        <v>494</v>
      </c>
      <c r="J70" s="18">
        <f>H70*I70</f>
        <v/>
      </c>
      <c r="K70" s="18" t="n">
        <v/>
      </c>
      <c r="L70" s="8" t="inlineStr">
        <is>
          <t>对应一套按2600算</t>
        </is>
      </c>
    </row>
    <row r="71" outlineLevel="1" ht="22" customHeight="1">
      <c r="B71" s="15" t="inlineStr">
        <is>
          <t>曲柄组</t>
        </is>
      </c>
      <c r="C71" s="5" t="inlineStr">
        <is>
          <t>POWER 2 MAX 曲柄组 ngeco 172.5</t>
        </is>
      </c>
      <c r="D71" s="15" t="inlineStr">
        <is>
          <t>POWER 2 MAX</t>
        </is>
      </c>
      <c r="E71" s="15" t="inlineStr">
        <is>
          <t>清理库存</t>
        </is>
      </c>
      <c r="F71" s="16" t="n">
        <v>1</v>
      </c>
      <c r="G71" s="16" t="n">
        <v>0</v>
      </c>
      <c r="H71" s="16">
        <f>F71+G71</f>
        <v/>
      </c>
      <c r="I71" s="16" t="n">
        <v>494</v>
      </c>
      <c r="J71" s="16">
        <f>H71*I71</f>
        <v/>
      </c>
      <c r="K71" s="16" t="n">
        <v/>
      </c>
      <c r="L71" s="5" t="inlineStr">
        <is>
          <t>对应一套按2600算</t>
        </is>
      </c>
    </row>
    <row r="72" outlineLevel="1" ht="22" customHeight="1">
      <c r="B72" s="17" t="inlineStr">
        <is>
          <t>功率计</t>
        </is>
      </c>
      <c r="C72" s="8" t="inlineStr">
        <is>
          <t>POWER 2 MAX 功率计 适用（SHIMANO）</t>
        </is>
      </c>
      <c r="D72" s="17" t="inlineStr">
        <is>
          <t>POWER 2 MAX</t>
        </is>
      </c>
      <c r="E72" s="17" t="inlineStr">
        <is>
          <t>清理库存</t>
        </is>
      </c>
      <c r="F72" s="18" t="n">
        <v>1</v>
      </c>
      <c r="G72" s="18" t="n">
        <v>0</v>
      </c>
      <c r="H72" s="18">
        <f>F72+G72</f>
        <v/>
      </c>
      <c r="I72" s="18" t="n">
        <v>2050</v>
      </c>
      <c r="J72" s="18">
        <f>H72*I72</f>
        <v/>
      </c>
      <c r="K72" s="18" t="n">
        <v/>
      </c>
      <c r="L72" s="8" t="inlineStr">
        <is>
          <t>对应一套按2600算</t>
        </is>
      </c>
    </row>
    <row r="73" outlineLevel="1" ht="22" customHeight="1">
      <c r="B73" s="15" t="inlineStr">
        <is>
          <t>功率计</t>
        </is>
      </c>
      <c r="C73" s="5" t="inlineStr">
        <is>
          <t>SRM 功率计 适用 绿色（DUB中轴）</t>
        </is>
      </c>
      <c r="D73" s="15" t="inlineStr">
        <is>
          <t>SRM</t>
        </is>
      </c>
      <c r="E73" s="15" t="inlineStr">
        <is>
          <t>清理库存</t>
        </is>
      </c>
      <c r="F73" s="16" t="n">
        <v>1</v>
      </c>
      <c r="G73" s="16" t="n">
        <v>0</v>
      </c>
      <c r="H73" s="16">
        <f>F73+G73</f>
        <v/>
      </c>
      <c r="I73" s="16" t="n">
        <v>12500</v>
      </c>
      <c r="J73" s="16">
        <f>H73*I73</f>
        <v/>
      </c>
      <c r="K73" s="16" t="n">
        <v/>
      </c>
      <c r="L73" s="5" t="inlineStr"/>
    </row>
    <row r="74" outlineLevel="1" ht="22" customHeight="1">
      <c r="B74" s="17" t="inlineStr">
        <is>
          <t>座垫</t>
        </is>
      </c>
      <c r="C74" s="8" t="inlineStr">
        <is>
          <t>Selle Italia  座垫 3D 碳轨 黑色（散装）</t>
        </is>
      </c>
      <c r="D74" s="17" t="inlineStr">
        <is>
          <t>Selle Italia</t>
        </is>
      </c>
      <c r="E74" s="17" t="inlineStr">
        <is>
          <t>清理库存</t>
        </is>
      </c>
      <c r="F74" s="18" t="n">
        <v>222</v>
      </c>
      <c r="G74" s="18" t="n">
        <v>0</v>
      </c>
      <c r="H74" s="18">
        <f>F74+G74</f>
        <v/>
      </c>
      <c r="I74" s="18" t="n">
        <v>1200</v>
      </c>
      <c r="J74" s="18">
        <f>H74*I74</f>
        <v/>
      </c>
      <c r="K74" s="18" t="n">
        <v/>
      </c>
      <c r="L74" s="8" t="inlineStr"/>
    </row>
    <row r="75" outlineLevel="1" ht="22" customHeight="1">
      <c r="B75" s="15" t="inlineStr">
        <is>
          <t>座垫</t>
        </is>
      </c>
      <c r="C75" s="5" t="inlineStr">
        <is>
          <t>SMP 座垫 EVO EVO 30C 白</t>
        </is>
      </c>
      <c r="D75" s="15" t="inlineStr">
        <is>
          <t>SMP</t>
        </is>
      </c>
      <c r="E75" s="15" t="inlineStr">
        <is>
          <t>清理库存</t>
        </is>
      </c>
      <c r="F75" s="16" t="n">
        <v>1</v>
      </c>
      <c r="G75" s="16" t="n">
        <v>0</v>
      </c>
      <c r="H75" s="16">
        <f>F75+G75</f>
        <v/>
      </c>
      <c r="I75" s="16" t="n">
        <v>1200</v>
      </c>
      <c r="J75" s="16">
        <f>H75*I75</f>
        <v/>
      </c>
      <c r="K75" s="16" t="n">
        <v/>
      </c>
      <c r="L75" s="5" t="inlineStr"/>
    </row>
    <row r="76" outlineLevel="1" ht="22" customHeight="1">
      <c r="B76" s="17" t="inlineStr">
        <is>
          <t>座垫</t>
        </is>
      </c>
      <c r="C76" s="8" t="inlineStr">
        <is>
          <t>SMP 座垫 EVO EVO PLUS</t>
        </is>
      </c>
      <c r="D76" s="17" t="inlineStr">
        <is>
          <t>SMP</t>
        </is>
      </c>
      <c r="E76" s="17" t="inlineStr">
        <is>
          <t>清理库存</t>
        </is>
      </c>
      <c r="F76" s="18" t="n">
        <v>1</v>
      </c>
      <c r="G76" s="18" t="n">
        <v>0</v>
      </c>
      <c r="H76" s="18">
        <f>F76+G76</f>
        <v/>
      </c>
      <c r="I76" s="18" t="n">
        <v>1126</v>
      </c>
      <c r="J76" s="18">
        <f>H76*I76</f>
        <v/>
      </c>
      <c r="K76" s="18" t="n">
        <v/>
      </c>
      <c r="L76" s="8" t="inlineStr"/>
    </row>
    <row r="77" outlineLevel="1" ht="22" customHeight="1">
      <c r="B77" s="15" t="inlineStr">
        <is>
          <t>座垫</t>
        </is>
      </c>
      <c r="C77" s="5" t="inlineStr">
        <is>
          <t>SMP 座垫 F20C SI CARBON RAIL</t>
        </is>
      </c>
      <c r="D77" s="15" t="inlineStr">
        <is>
          <t>SMP</t>
        </is>
      </c>
      <c r="E77" s="15" t="inlineStr">
        <is>
          <t>清理库存</t>
        </is>
      </c>
      <c r="F77" s="16" t="n">
        <v>1</v>
      </c>
      <c r="G77" s="16" t="n">
        <v>0</v>
      </c>
      <c r="H77" s="16">
        <f>F77+G77</f>
        <v/>
      </c>
      <c r="I77" s="16" t="n">
        <v>1596</v>
      </c>
      <c r="J77" s="16">
        <f>H77*I77</f>
        <v/>
      </c>
      <c r="K77" s="16" t="n">
        <v/>
      </c>
      <c r="L77" s="5" t="inlineStr"/>
    </row>
    <row r="78" outlineLevel="1" ht="22" customHeight="1">
      <c r="B78" s="17" t="inlineStr">
        <is>
          <t>座垫</t>
        </is>
      </c>
      <c r="C78" s="8" t="inlineStr">
        <is>
          <t>SMP 座垫 F20C SI TEST 红色黄色</t>
        </is>
      </c>
      <c r="D78" s="17" t="inlineStr">
        <is>
          <t>SMP</t>
        </is>
      </c>
      <c r="E78" s="17" t="inlineStr">
        <is>
          <t>清理库存</t>
        </is>
      </c>
      <c r="F78" s="18" t="n">
        <v>1</v>
      </c>
      <c r="G78" s="18" t="n">
        <v>0</v>
      </c>
      <c r="H78" s="18">
        <f>F78+G78</f>
        <v/>
      </c>
      <c r="I78" s="18" t="n">
        <v>645</v>
      </c>
      <c r="J78" s="18">
        <f>H78*I78</f>
        <v/>
      </c>
      <c r="K78" s="18" t="n">
        <v/>
      </c>
      <c r="L78" s="8" t="inlineStr"/>
    </row>
    <row r="79" outlineLevel="1" ht="22" customHeight="1">
      <c r="B79" s="15" t="inlineStr">
        <is>
          <t>座垫</t>
        </is>
      </c>
      <c r="C79" s="5" t="inlineStr">
        <is>
          <t>SMP 座垫 F30C SI TEST 红色黄色</t>
        </is>
      </c>
      <c r="D79" s="15" t="inlineStr">
        <is>
          <t>SMP</t>
        </is>
      </c>
      <c r="E79" s="15" t="inlineStr">
        <is>
          <t>清理库存</t>
        </is>
      </c>
      <c r="F79" s="16" t="n">
        <v>1</v>
      </c>
      <c r="G79" s="16" t="n">
        <v>0</v>
      </c>
      <c r="H79" s="16">
        <f>F79+G79</f>
        <v/>
      </c>
      <c r="I79" s="16" t="n">
        <v>645</v>
      </c>
      <c r="J79" s="16">
        <f>H79*I79</f>
        <v/>
      </c>
      <c r="K79" s="16" t="n">
        <v/>
      </c>
      <c r="L79" s="5" t="inlineStr"/>
    </row>
    <row r="80" outlineLevel="1" ht="22" customHeight="1">
      <c r="B80" s="17" t="inlineStr">
        <is>
          <t>座垫</t>
        </is>
      </c>
      <c r="C80" s="8" t="inlineStr">
        <is>
          <t>萨玛仕 座垫 3D打印（电助力用）</t>
        </is>
      </c>
      <c r="D80" s="17" t="inlineStr">
        <is>
          <t>萨玛仕</t>
        </is>
      </c>
      <c r="E80" s="17" t="inlineStr">
        <is>
          <t>清理库存</t>
        </is>
      </c>
      <c r="F80" s="18" t="n">
        <v>113</v>
      </c>
      <c r="G80" s="18" t="n">
        <v>0</v>
      </c>
      <c r="H80" s="18">
        <f>F80+G80</f>
        <v/>
      </c>
      <c r="I80" s="18" t="n">
        <v>200</v>
      </c>
      <c r="J80" s="18">
        <f>H80*I80</f>
        <v/>
      </c>
      <c r="K80" s="18" t="n">
        <v/>
      </c>
      <c r="L80" s="8" t="inlineStr"/>
    </row>
    <row r="81" outlineLevel="1" ht="22" customHeight="1">
      <c r="B81" s="15" t="inlineStr">
        <is>
          <t>车把一体把</t>
        </is>
      </c>
      <c r="C81" s="5" t="inlineStr">
        <is>
          <t>DEDA 车把一体把 Alanera RS 40-100</t>
        </is>
      </c>
      <c r="D81" s="15" t="inlineStr">
        <is>
          <t>DEDA</t>
        </is>
      </c>
      <c r="E81" s="15" t="inlineStr">
        <is>
          <t>清理库存</t>
        </is>
      </c>
      <c r="F81" s="16" t="n">
        <v>15</v>
      </c>
      <c r="G81" s="16" t="n">
        <v>0</v>
      </c>
      <c r="H81" s="16">
        <f>F81+G81</f>
        <v/>
      </c>
      <c r="I81" s="16" t="n">
        <v>2800</v>
      </c>
      <c r="J81" s="16">
        <f>H81*I81</f>
        <v/>
      </c>
      <c r="K81" s="16" t="n">
        <v/>
      </c>
      <c r="L81" s="5" t="inlineStr"/>
    </row>
    <row r="82" outlineLevel="1" ht="22" customHeight="1">
      <c r="B82" s="17" t="inlineStr">
        <is>
          <t>车把一体把</t>
        </is>
      </c>
      <c r="C82" s="8" t="inlineStr">
        <is>
          <t>DEDA 车把一体把 Alanera RS 40-110</t>
        </is>
      </c>
      <c r="D82" s="17" t="inlineStr">
        <is>
          <t>DEDA</t>
        </is>
      </c>
      <c r="E82" s="17" t="inlineStr">
        <is>
          <t>清理库存</t>
        </is>
      </c>
      <c r="F82" s="18" t="n">
        <v>11</v>
      </c>
      <c r="G82" s="18" t="n">
        <v>0</v>
      </c>
      <c r="H82" s="18">
        <f>F82+G82</f>
        <v/>
      </c>
      <c r="I82" s="18" t="n">
        <v>2800</v>
      </c>
      <c r="J82" s="18">
        <f>H82*I82</f>
        <v/>
      </c>
      <c r="K82" s="18" t="n">
        <v/>
      </c>
      <c r="L82" s="8" t="inlineStr">
        <is>
          <t>留1-2根</t>
        </is>
      </c>
    </row>
    <row r="83" outlineLevel="1" ht="22" customHeight="1">
      <c r="B83" s="15" t="inlineStr">
        <is>
          <t>车把一体把</t>
        </is>
      </c>
      <c r="C83" s="5" t="inlineStr">
        <is>
          <t>DEDA 车把一体把 Alanera RS 42-100</t>
        </is>
      </c>
      <c r="D83" s="15" t="inlineStr">
        <is>
          <t>DEDA</t>
        </is>
      </c>
      <c r="E83" s="15" t="inlineStr">
        <is>
          <t>清理库存</t>
        </is>
      </c>
      <c r="F83" s="16" t="n">
        <v>1</v>
      </c>
      <c r="G83" s="16" t="n">
        <v>0</v>
      </c>
      <c r="H83" s="16">
        <f>F83+G83</f>
        <v/>
      </c>
      <c r="I83" s="16" t="n">
        <v>2800</v>
      </c>
      <c r="J83" s="16">
        <f>H83*I83</f>
        <v/>
      </c>
      <c r="K83" s="16" t="n">
        <v/>
      </c>
      <c r="L83" s="5" t="inlineStr"/>
    </row>
    <row r="84" outlineLevel="1" ht="22" customHeight="1">
      <c r="B84" s="17" t="inlineStr">
        <is>
          <t>车把一体把</t>
        </is>
      </c>
      <c r="C84" s="8" t="inlineStr">
        <is>
          <t>DEDA 车把一体把 Alanera RS 42-110</t>
        </is>
      </c>
      <c r="D84" s="17" t="inlineStr">
        <is>
          <t>DEDA</t>
        </is>
      </c>
      <c r="E84" s="17" t="inlineStr">
        <is>
          <t>清理库存</t>
        </is>
      </c>
      <c r="F84" s="18" t="n">
        <v>1</v>
      </c>
      <c r="G84" s="18" t="n">
        <v>0</v>
      </c>
      <c r="H84" s="18">
        <f>F84+G84</f>
        <v/>
      </c>
      <c r="I84" s="18" t="n">
        <v>2800</v>
      </c>
      <c r="J84" s="18">
        <f>H84*I84</f>
        <v/>
      </c>
      <c r="K84" s="18" t="n">
        <v/>
      </c>
      <c r="L84" s="8" t="inlineStr">
        <is>
          <t>留1-2根</t>
        </is>
      </c>
    </row>
    <row r="85" outlineLevel="1" ht="22" customHeight="1">
      <c r="B85" s="15" t="inlineStr">
        <is>
          <t>车把一体把</t>
        </is>
      </c>
      <c r="C85" s="5" t="inlineStr">
        <is>
          <t>DEDA 车把一体把 Alanera RS 44-100</t>
        </is>
      </c>
      <c r="D85" s="15" t="inlineStr">
        <is>
          <t>DEDA</t>
        </is>
      </c>
      <c r="E85" s="15" t="inlineStr">
        <is>
          <t>清理库存</t>
        </is>
      </c>
      <c r="F85" s="16" t="n">
        <v>9</v>
      </c>
      <c r="G85" s="16" t="n">
        <v>0</v>
      </c>
      <c r="H85" s="16">
        <f>F85+G85</f>
        <v/>
      </c>
      <c r="I85" s="16" t="n">
        <v>2800</v>
      </c>
      <c r="J85" s="16">
        <f>H85*I85</f>
        <v/>
      </c>
      <c r="K85" s="16" t="n">
        <v/>
      </c>
      <c r="L85" s="5" t="inlineStr">
        <is>
          <t>留1-2根</t>
        </is>
      </c>
    </row>
    <row r="86" outlineLevel="1" ht="22" customHeight="1">
      <c r="B86" s="17" t="inlineStr">
        <is>
          <t>车把一体把</t>
        </is>
      </c>
      <c r="C86" s="8" t="inlineStr">
        <is>
          <t>DEDA 车把一体把 Alanera RS 44-110</t>
        </is>
      </c>
      <c r="D86" s="17" t="inlineStr">
        <is>
          <t>DEDA</t>
        </is>
      </c>
      <c r="E86" s="17" t="inlineStr">
        <is>
          <t>清理库存</t>
        </is>
      </c>
      <c r="F86" s="18" t="n">
        <v>7</v>
      </c>
      <c r="G86" s="18" t="n">
        <v>0</v>
      </c>
      <c r="H86" s="18">
        <f>F86+G86</f>
        <v/>
      </c>
      <c r="I86" s="18" t="n">
        <v>2800</v>
      </c>
      <c r="J86" s="18">
        <f>H86*I86</f>
        <v/>
      </c>
      <c r="K86" s="18" t="n">
        <v/>
      </c>
      <c r="L86" s="8" t="inlineStr">
        <is>
          <t>留1-2根</t>
        </is>
      </c>
    </row>
    <row r="87" outlineLevel="1" ht="22" customHeight="1">
      <c r="B87" s="15" t="inlineStr">
        <is>
          <t>车把一体把</t>
        </is>
      </c>
      <c r="C87" s="5" t="inlineStr">
        <is>
          <t>DEDA 车把一体把 Alanera RS 44-120</t>
        </is>
      </c>
      <c r="D87" s="15" t="inlineStr">
        <is>
          <t>DEDA</t>
        </is>
      </c>
      <c r="E87" s="15" t="inlineStr">
        <is>
          <t>清理库存</t>
        </is>
      </c>
      <c r="F87" s="16" t="n">
        <v>8</v>
      </c>
      <c r="G87" s="16" t="n">
        <v>0</v>
      </c>
      <c r="H87" s="16">
        <f>F87+G87</f>
        <v/>
      </c>
      <c r="I87" s="16" t="n">
        <v>2800</v>
      </c>
      <c r="J87" s="16">
        <f>H87*I87</f>
        <v/>
      </c>
      <c r="K87" s="16" t="n">
        <v/>
      </c>
      <c r="L87" s="5" t="inlineStr">
        <is>
          <t>留1-2根</t>
        </is>
      </c>
    </row>
    <row r="88" outlineLevel="1" ht="22" customHeight="1">
      <c r="B88" s="17" t="inlineStr">
        <is>
          <t>车把一体把</t>
        </is>
      </c>
      <c r="C88" s="8" t="inlineStr">
        <is>
          <t>EASTON 车把一体把 分体 44-31.8</t>
        </is>
      </c>
      <c r="D88" s="17" t="inlineStr">
        <is>
          <t>EASTON</t>
        </is>
      </c>
      <c r="E88" s="17" t="inlineStr">
        <is>
          <t>清理库存</t>
        </is>
      </c>
      <c r="F88" s="18" t="n">
        <v>1</v>
      </c>
      <c r="G88" s="18" t="n">
        <v>0</v>
      </c>
      <c r="H88" s="18">
        <f>F88+G88</f>
        <v/>
      </c>
      <c r="I88" s="18" t="n">
        <v>600</v>
      </c>
      <c r="J88" s="18">
        <f>H88*I88</f>
        <v/>
      </c>
      <c r="K88" s="18" t="n">
        <v/>
      </c>
      <c r="L88" s="8" t="inlineStr"/>
    </row>
    <row r="89" outlineLevel="1" ht="22" customHeight="1">
      <c r="B89" s="15" t="inlineStr">
        <is>
          <t>车把一体把</t>
        </is>
      </c>
      <c r="C89" s="5" t="inlineStr">
        <is>
          <t>Rapantahi 车把一体把 420-100</t>
        </is>
      </c>
      <c r="D89" s="15" t="inlineStr">
        <is>
          <t>Rapantahi</t>
        </is>
      </c>
      <c r="E89" s="15" t="inlineStr">
        <is>
          <t>清理库存</t>
        </is>
      </c>
      <c r="F89" s="16" t="n">
        <v>1</v>
      </c>
      <c r="G89" s="16" t="n">
        <v>0</v>
      </c>
      <c r="H89" s="16">
        <f>F89+G89</f>
        <v/>
      </c>
      <c r="I89" s="16" t="n">
        <v>600</v>
      </c>
      <c r="J89" s="16">
        <f>H89*I89</f>
        <v/>
      </c>
      <c r="K89" s="16" t="n">
        <v/>
      </c>
      <c r="L89" s="5" t="inlineStr"/>
    </row>
    <row r="90" outlineLevel="1" ht="22" customHeight="1">
      <c r="B90" s="17" t="inlineStr">
        <is>
          <t>车把一体把</t>
        </is>
      </c>
      <c r="C90" s="8" t="inlineStr">
        <is>
          <t>THM 车把一体把 Frontale 400-100</t>
        </is>
      </c>
      <c r="D90" s="17" t="inlineStr">
        <is>
          <t>THM</t>
        </is>
      </c>
      <c r="E90" s="17" t="inlineStr">
        <is>
          <t>清理库存</t>
        </is>
      </c>
      <c r="F90" s="18" t="n">
        <v>1</v>
      </c>
      <c r="G90" s="18" t="n">
        <v>0</v>
      </c>
      <c r="H90" s="18">
        <f>F90+G90</f>
        <v/>
      </c>
      <c r="I90" s="18" t="n">
        <v>7520</v>
      </c>
      <c r="J90" s="18">
        <f>H90*I90</f>
        <v/>
      </c>
      <c r="K90" s="18" t="n">
        <v>6999</v>
      </c>
      <c r="L90" s="8" t="inlineStr"/>
    </row>
    <row r="91" outlineLevel="1" ht="22" customHeight="1">
      <c r="B91" s="15" t="inlineStr">
        <is>
          <t>车把一体把</t>
        </is>
      </c>
      <c r="C91" s="5" t="inlineStr">
        <is>
          <t>THM 车把一体把 Frontale 400-110</t>
        </is>
      </c>
      <c r="D91" s="15" t="inlineStr">
        <is>
          <t>THM</t>
        </is>
      </c>
      <c r="E91" s="15" t="inlineStr">
        <is>
          <t>清理库存</t>
        </is>
      </c>
      <c r="F91" s="16" t="n">
        <v>3</v>
      </c>
      <c r="G91" s="16" t="n">
        <v>0</v>
      </c>
      <c r="H91" s="16">
        <f>F91+G91</f>
        <v/>
      </c>
      <c r="I91" s="16" t="n">
        <v>7520</v>
      </c>
      <c r="J91" s="16">
        <f>H91*I91</f>
        <v/>
      </c>
      <c r="K91" s="16" t="n">
        <v>6999</v>
      </c>
      <c r="L91" s="5" t="inlineStr"/>
    </row>
    <row r="92" outlineLevel="1" ht="22" customHeight="1">
      <c r="B92" s="17" t="inlineStr">
        <is>
          <t>后拨导轮</t>
        </is>
      </c>
      <c r="C92" s="8" t="inlineStr">
        <is>
          <t>CS 后拨导轮 Alpha AXS 队版（适用于速联）终身质保</t>
        </is>
      </c>
      <c r="D92" s="17" t="inlineStr">
        <is>
          <t>CS</t>
        </is>
      </c>
      <c r="E92" s="17" t="inlineStr">
        <is>
          <t>清理库存</t>
        </is>
      </c>
      <c r="F92" s="18" t="n">
        <v>1</v>
      </c>
      <c r="G92" s="18" t="n">
        <v>0</v>
      </c>
      <c r="H92" s="18">
        <f>F92+G92</f>
        <v/>
      </c>
      <c r="I92" s="18" t="n">
        <v>2200</v>
      </c>
      <c r="J92" s="18">
        <f>H92*I92</f>
        <v/>
      </c>
      <c r="K92" s="18" t="n">
        <v/>
      </c>
      <c r="L92" s="8" t="inlineStr"/>
    </row>
    <row r="93" outlineLevel="1" ht="22" customHeight="1">
      <c r="B93" s="15" t="inlineStr">
        <is>
          <t>后拨导轮</t>
        </is>
      </c>
      <c r="C93" s="5" t="inlineStr">
        <is>
          <t>CS 后拨导轮 后拨导轮 银色</t>
        </is>
      </c>
      <c r="D93" s="15" t="inlineStr">
        <is>
          <t>CS</t>
        </is>
      </c>
      <c r="E93" s="15" t="inlineStr">
        <is>
          <t>清理库存</t>
        </is>
      </c>
      <c r="F93" s="16" t="n">
        <v>2</v>
      </c>
      <c r="G93" s="16" t="n">
        <v>0</v>
      </c>
      <c r="H93" s="16">
        <f>F93+G93</f>
        <v/>
      </c>
      <c r="I93" s="16" t="n">
        <v>3300</v>
      </c>
      <c r="J93" s="16">
        <f>H93*I93</f>
        <v/>
      </c>
      <c r="K93" s="16" t="n">
        <v/>
      </c>
      <c r="L93" s="5" t="inlineStr"/>
    </row>
    <row r="94" outlineLevel="1" ht="22" customHeight="1">
      <c r="B94" s="17" t="inlineStr">
        <is>
          <t>后拨导轮</t>
        </is>
      </c>
      <c r="C94" s="8" t="inlineStr">
        <is>
          <t>CS 后拨导轮 蓝色（适用于禧玛诺）6年质保</t>
        </is>
      </c>
      <c r="D94" s="17" t="inlineStr">
        <is>
          <t>CS</t>
        </is>
      </c>
      <c r="E94" s="17" t="inlineStr">
        <is>
          <t>清理库存</t>
        </is>
      </c>
      <c r="F94" s="18" t="n">
        <v>2</v>
      </c>
      <c r="G94" s="18" t="n">
        <v>0</v>
      </c>
      <c r="H94" s="18">
        <f>F94+G94</f>
        <v/>
      </c>
      <c r="I94" s="18" t="n">
        <v>2000</v>
      </c>
      <c r="J94" s="18">
        <f>H94*I94</f>
        <v/>
      </c>
      <c r="K94" s="18" t="n">
        <v/>
      </c>
      <c r="L94" s="8" t="inlineStr"/>
    </row>
    <row r="95" ht="22" customHeight="1">
      <c r="B95" s="19" t="inlineStr">
        <is>
          <t>小计</t>
        </is>
      </c>
      <c r="C95" s="11" t="n"/>
      <c r="D95" s="11">
        <f>COUNTA(C44:C94)</f>
        <v/>
      </c>
      <c r="E95" s="11" t="n"/>
      <c r="F95" s="11" t="n"/>
      <c r="G95" s="11" t="n"/>
      <c r="H95" s="12">
        <f>SUM(H44:H94)</f>
        <v/>
      </c>
      <c r="I95" s="11" t="n"/>
      <c r="J95" s="12">
        <f>SUM(J44:J94)</f>
        <v/>
      </c>
      <c r="K95" s="11" t="n"/>
      <c r="L95" s="11" t="n"/>
    </row>
    <row r="96" ht="22" customHeight="1">
      <c r="B96" s="14" t="inlineStr">
        <is>
          <t>🟢 正常商品</t>
        </is>
      </c>
    </row>
    <row r="97" outlineLevel="1" ht="22" customHeight="1">
      <c r="B97" s="15" t="inlineStr">
        <is>
          <t>轮组</t>
        </is>
      </c>
      <c r="C97" s="5" t="inlineStr">
        <is>
          <t>Natwin 轮组 PFX5</t>
        </is>
      </c>
      <c r="D97" s="15" t="inlineStr">
        <is>
          <t>Natwin</t>
        </is>
      </c>
      <c r="E97" s="15" t="inlineStr">
        <is>
          <t>正常商品</t>
        </is>
      </c>
      <c r="F97" s="16" t="n">
        <v>5</v>
      </c>
      <c r="G97" s="16" t="n">
        <v>0</v>
      </c>
      <c r="H97" s="16">
        <f>F97+G97</f>
        <v/>
      </c>
      <c r="I97" s="16" t="n">
        <v>3600</v>
      </c>
      <c r="J97" s="16">
        <f>H97*I97</f>
        <v/>
      </c>
      <c r="K97" s="16" t="n">
        <v/>
      </c>
      <c r="L97" s="5" t="inlineStr"/>
    </row>
    <row r="98" outlineLevel="1" ht="22" customHeight="1">
      <c r="B98" s="17" t="inlineStr">
        <is>
          <t>轮组</t>
        </is>
      </c>
      <c r="C98" s="8" t="inlineStr">
        <is>
          <t>Natwin 轮组 PX5</t>
        </is>
      </c>
      <c r="D98" s="17" t="inlineStr">
        <is>
          <t>Natwin</t>
        </is>
      </c>
      <c r="E98" s="17" t="inlineStr">
        <is>
          <t>正常商品</t>
        </is>
      </c>
      <c r="F98" s="18" t="n">
        <v>9</v>
      </c>
      <c r="G98" s="18" t="n">
        <v>0</v>
      </c>
      <c r="H98" s="18">
        <f>F98+G98</f>
        <v/>
      </c>
      <c r="I98" s="18" t="n">
        <v>2980</v>
      </c>
      <c r="J98" s="18">
        <f>H98*I98</f>
        <v/>
      </c>
      <c r="K98" s="18" t="n">
        <v/>
      </c>
      <c r="L98" s="8" t="inlineStr"/>
    </row>
    <row r="99" outlineLevel="1" ht="22" customHeight="1">
      <c r="B99" s="15" t="inlineStr">
        <is>
          <t>外胎</t>
        </is>
      </c>
      <c r="C99" s="5" t="inlineStr">
        <is>
          <t>倍耐力 外胎 rs真空 28C黑边</t>
        </is>
      </c>
      <c r="D99" s="15" t="inlineStr">
        <is>
          <t>倍耐力</t>
        </is>
      </c>
      <c r="E99" s="15" t="inlineStr">
        <is>
          <t>正常商品</t>
        </is>
      </c>
      <c r="F99" s="16" t="n">
        <v>11</v>
      </c>
      <c r="G99" s="16" t="n">
        <v>0</v>
      </c>
      <c r="H99" s="16">
        <f>F99+G99</f>
        <v/>
      </c>
      <c r="I99" s="16" t="n">
        <v>350</v>
      </c>
      <c r="J99" s="16">
        <f>H99*I99</f>
        <v/>
      </c>
      <c r="K99" s="16" t="n">
        <v/>
      </c>
      <c r="L99" s="5" t="inlineStr"/>
    </row>
    <row r="100" outlineLevel="1" ht="22" customHeight="1">
      <c r="B100" s="17" t="inlineStr">
        <is>
          <t>外胎</t>
        </is>
      </c>
      <c r="C100" s="8" t="inlineStr">
        <is>
          <t>倍耐力 外胎 真空 28C 蓝字</t>
        </is>
      </c>
      <c r="D100" s="17" t="inlineStr">
        <is>
          <t>倍耐力</t>
        </is>
      </c>
      <c r="E100" s="17" t="inlineStr">
        <is>
          <t>正常商品</t>
        </is>
      </c>
      <c r="F100" s="18" t="n">
        <v>2</v>
      </c>
      <c r="G100" s="18" t="n">
        <v>0</v>
      </c>
      <c r="H100" s="18">
        <f>F100+G100</f>
        <v/>
      </c>
      <c r="I100" s="18" t="n">
        <v>400</v>
      </c>
      <c r="J100" s="18">
        <f>H100*I100</f>
        <v/>
      </c>
      <c r="K100" s="18" t="n">
        <v/>
      </c>
      <c r="L100" s="8" t="inlineStr"/>
    </row>
    <row r="101" outlineLevel="1" ht="22" customHeight="1">
      <c r="B101" s="15" t="inlineStr">
        <is>
          <t>外胎</t>
        </is>
      </c>
      <c r="C101" s="5" t="inlineStr">
        <is>
          <t>朝阳 外胎 真空 28C 粉边</t>
        </is>
      </c>
      <c r="D101" s="15" t="inlineStr">
        <is>
          <t>朝阳</t>
        </is>
      </c>
      <c r="E101" s="15" t="inlineStr">
        <is>
          <t>正常商品</t>
        </is>
      </c>
      <c r="F101" s="16" t="n">
        <v>5</v>
      </c>
      <c r="G101" s="16" t="n">
        <v>0</v>
      </c>
      <c r="H101" s="16">
        <f>F101+G101</f>
        <v/>
      </c>
      <c r="I101" s="16" t="n">
        <v>105</v>
      </c>
      <c r="J101" s="16">
        <f>H101*I101</f>
        <v/>
      </c>
      <c r="K101" s="16" t="n">
        <v/>
      </c>
      <c r="L101" s="5" t="inlineStr"/>
    </row>
    <row r="102" outlineLevel="1" ht="22" customHeight="1">
      <c r="B102" s="17" t="inlineStr">
        <is>
          <t>外胎</t>
        </is>
      </c>
      <c r="C102" s="8" t="inlineStr">
        <is>
          <t>松下 外胎 28C 开口胎（盒装）</t>
        </is>
      </c>
      <c r="D102" s="17" t="inlineStr">
        <is>
          <t>松下</t>
        </is>
      </c>
      <c r="E102" s="17" t="inlineStr">
        <is>
          <t>正常商品</t>
        </is>
      </c>
      <c r="F102" s="18" t="n">
        <v>6</v>
      </c>
      <c r="G102" s="18" t="n">
        <v>0</v>
      </c>
      <c r="H102" s="18">
        <f>F102+G102</f>
        <v/>
      </c>
      <c r="I102" s="18" t="n">
        <v>229</v>
      </c>
      <c r="J102" s="18">
        <f>H102*I102</f>
        <v/>
      </c>
      <c r="K102" s="18" t="n">
        <v/>
      </c>
      <c r="L102" s="8" t="inlineStr"/>
    </row>
    <row r="103" outlineLevel="1" ht="22" customHeight="1">
      <c r="B103" s="15" t="inlineStr">
        <is>
          <t>外胎</t>
        </is>
      </c>
      <c r="C103" s="5" t="inlineStr">
        <is>
          <t>米其林 外胎 开口 28C 黄边（盒装）</t>
        </is>
      </c>
      <c r="D103" s="15" t="inlineStr">
        <is>
          <t>米其林</t>
        </is>
      </c>
      <c r="E103" s="15" t="inlineStr">
        <is>
          <t>正常商品</t>
        </is>
      </c>
      <c r="F103" s="16" t="n">
        <v>2</v>
      </c>
      <c r="G103" s="16" t="n">
        <v>0</v>
      </c>
      <c r="H103" s="16">
        <f>F103+G103</f>
        <v/>
      </c>
      <c r="I103" s="16" t="n">
        <v>239</v>
      </c>
      <c r="J103" s="16">
        <f>H103*I103</f>
        <v/>
      </c>
      <c r="K103" s="16" t="n">
        <v/>
      </c>
      <c r="L103" s="5" t="inlineStr"/>
    </row>
    <row r="104" outlineLevel="1" ht="22" customHeight="1">
      <c r="B104" s="17" t="inlineStr">
        <is>
          <t>外胎</t>
        </is>
      </c>
      <c r="C104" s="8" t="inlineStr">
        <is>
          <t>米其林POWER CUP 外胎 开口黄边28C(散装）</t>
        </is>
      </c>
      <c r="D104" s="17" t="inlineStr">
        <is>
          <t>米其林POWER CUP</t>
        </is>
      </c>
      <c r="E104" s="17" t="inlineStr">
        <is>
          <t>正常商品</t>
        </is>
      </c>
      <c r="F104" s="18" t="n">
        <v>35</v>
      </c>
      <c r="G104" s="18" t="n">
        <v>0</v>
      </c>
      <c r="H104" s="18">
        <f>F104+G104</f>
        <v/>
      </c>
      <c r="I104" s="18" t="n">
        <v>135</v>
      </c>
      <c r="J104" s="18">
        <f>H104*I104</f>
        <v/>
      </c>
      <c r="K104" s="18" t="n">
        <v/>
      </c>
      <c r="L104" s="8" t="inlineStr"/>
    </row>
    <row r="105" outlineLevel="1" ht="22" customHeight="1">
      <c r="B105" s="15" t="inlineStr">
        <is>
          <t>外胎</t>
        </is>
      </c>
      <c r="C105" s="5" t="inlineStr">
        <is>
          <t>米其林POWER CUP 外胎 开口黑边28C(散装）</t>
        </is>
      </c>
      <c r="D105" s="15" t="inlineStr">
        <is>
          <t>米其林POWER CUP</t>
        </is>
      </c>
      <c r="E105" s="15" t="inlineStr">
        <is>
          <t>正常商品</t>
        </is>
      </c>
      <c r="F105" s="16" t="n">
        <v>24</v>
      </c>
      <c r="G105" s="16" t="n">
        <v>0</v>
      </c>
      <c r="H105" s="16">
        <f>F105+G105</f>
        <v/>
      </c>
      <c r="I105" s="16" t="n">
        <v>135</v>
      </c>
      <c r="J105" s="16">
        <f>H105*I105</f>
        <v/>
      </c>
      <c r="K105" s="16" t="n">
        <v/>
      </c>
      <c r="L105" s="5" t="inlineStr"/>
    </row>
    <row r="106" outlineLevel="1" ht="22" customHeight="1">
      <c r="B106" s="17" t="inlineStr">
        <is>
          <t>外胎</t>
        </is>
      </c>
      <c r="C106" s="8" t="inlineStr">
        <is>
          <t>米其林POWER CUP 外胎 真空黄边28C(散装）</t>
        </is>
      </c>
      <c r="D106" s="17" t="inlineStr">
        <is>
          <t>米其林POWER CUP</t>
        </is>
      </c>
      <c r="E106" s="17" t="inlineStr">
        <is>
          <t>正常商品</t>
        </is>
      </c>
      <c r="F106" s="18" t="n">
        <v>95</v>
      </c>
      <c r="G106" s="18" t="n">
        <v>0</v>
      </c>
      <c r="H106" s="18">
        <f>F106+G106</f>
        <v/>
      </c>
      <c r="I106" s="18" t="n">
        <v>140</v>
      </c>
      <c r="J106" s="18">
        <f>H106*I106</f>
        <v/>
      </c>
      <c r="K106" s="18" t="n">
        <v/>
      </c>
      <c r="L106" s="8" t="inlineStr"/>
    </row>
    <row r="107" outlineLevel="1" ht="22" customHeight="1">
      <c r="B107" s="15" t="inlineStr">
        <is>
          <t>外胎</t>
        </is>
      </c>
      <c r="C107" s="5" t="inlineStr">
        <is>
          <t>米其林POWER CUP 外胎 真空黑边边28C(散装）</t>
        </is>
      </c>
      <c r="D107" s="15" t="inlineStr">
        <is>
          <t>米其林POWER CUP</t>
        </is>
      </c>
      <c r="E107" s="15" t="inlineStr">
        <is>
          <t>正常商品</t>
        </is>
      </c>
      <c r="F107" s="16" t="n">
        <v>75</v>
      </c>
      <c r="G107" s="16" t="n">
        <v>0</v>
      </c>
      <c r="H107" s="16">
        <f>F107+G107</f>
        <v/>
      </c>
      <c r="I107" s="16" t="n">
        <v>140</v>
      </c>
      <c r="J107" s="16">
        <f>H107*I107</f>
        <v/>
      </c>
      <c r="K107" s="16" t="n">
        <v/>
      </c>
      <c r="L107" s="5" t="inlineStr"/>
    </row>
    <row r="108" outlineLevel="1" ht="22" customHeight="1">
      <c r="B108" s="17" t="inlineStr">
        <is>
          <t>外胎</t>
        </is>
      </c>
      <c r="C108" s="8" t="inlineStr">
        <is>
          <t>维多利亚 外胎 Corsa pro黄边 真空 28c （盒装）</t>
        </is>
      </c>
      <c r="D108" s="17" t="inlineStr">
        <is>
          <t>维多利亚</t>
        </is>
      </c>
      <c r="E108" s="17" t="inlineStr">
        <is>
          <t>正常商品</t>
        </is>
      </c>
      <c r="F108" s="18" t="n">
        <v>2</v>
      </c>
      <c r="G108" s="18" t="n">
        <v>0</v>
      </c>
      <c r="H108" s="18">
        <f>F108+G108</f>
        <v/>
      </c>
      <c r="I108" s="18" t="n">
        <v>444</v>
      </c>
      <c r="J108" s="18">
        <f>H108*I108</f>
        <v/>
      </c>
      <c r="K108" s="18" t="n">
        <v/>
      </c>
      <c r="L108" s="8" t="inlineStr"/>
    </row>
    <row r="109" outlineLevel="1" ht="22" customHeight="1">
      <c r="B109" s="15" t="inlineStr">
        <is>
          <t>外胎</t>
        </is>
      </c>
      <c r="C109" s="5" t="inlineStr">
        <is>
          <t>马牌 外胎 ARCHEType 30C（限量版）</t>
        </is>
      </c>
      <c r="D109" s="15" t="inlineStr">
        <is>
          <t>马牌</t>
        </is>
      </c>
      <c r="E109" s="15" t="inlineStr">
        <is>
          <t>正常商品</t>
        </is>
      </c>
      <c r="F109" s="16" t="n">
        <v>16</v>
      </c>
      <c r="G109" s="16" t="n">
        <v>0</v>
      </c>
      <c r="H109" s="16">
        <f>F109+G109</f>
        <v/>
      </c>
      <c r="I109" s="16" t="n">
        <v>700</v>
      </c>
      <c r="J109" s="16">
        <f>H109*I109</f>
        <v/>
      </c>
      <c r="K109" s="16" t="n">
        <v/>
      </c>
      <c r="L109" s="5" t="inlineStr"/>
    </row>
    <row r="110" outlineLevel="1" ht="22" customHeight="1">
      <c r="B110" s="17" t="inlineStr">
        <is>
          <t>外胎</t>
        </is>
      </c>
      <c r="C110" s="8" t="inlineStr">
        <is>
          <t>马牌 外胎 TERRA TRAIL(瓜胎）35C</t>
        </is>
      </c>
      <c r="D110" s="17" t="inlineStr">
        <is>
          <t>马牌</t>
        </is>
      </c>
      <c r="E110" s="17" t="inlineStr">
        <is>
          <t>正常商品</t>
        </is>
      </c>
      <c r="F110" s="18" t="n">
        <v>375</v>
      </c>
      <c r="G110" s="18" t="n">
        <v>0</v>
      </c>
      <c r="H110" s="18">
        <f>F110+G110</f>
        <v/>
      </c>
      <c r="I110" s="18" t="n">
        <v>93</v>
      </c>
      <c r="J110" s="18">
        <f>H110*I110</f>
        <v/>
      </c>
      <c r="K110" s="18" t="n">
        <v/>
      </c>
      <c r="L110" s="8" t="inlineStr"/>
    </row>
    <row r="111" outlineLevel="1" ht="22" customHeight="1">
      <c r="B111" s="15" t="inlineStr">
        <is>
          <t>外胎</t>
        </is>
      </c>
      <c r="C111" s="5" t="inlineStr">
        <is>
          <t>马牌 外胎 TR 28C 黑边（盒装）</t>
        </is>
      </c>
      <c r="D111" s="15" t="inlineStr">
        <is>
          <t>马牌</t>
        </is>
      </c>
      <c r="E111" s="15" t="inlineStr">
        <is>
          <t>正常商品</t>
        </is>
      </c>
      <c r="F111" s="16" t="n">
        <v>42</v>
      </c>
      <c r="G111" s="16" t="n">
        <v>0</v>
      </c>
      <c r="H111" s="16">
        <f>F111+G111</f>
        <v/>
      </c>
      <c r="I111" s="16" t="n">
        <v>188</v>
      </c>
      <c r="J111" s="16">
        <f>H111*I111</f>
        <v/>
      </c>
      <c r="K111" s="16" t="n">
        <v/>
      </c>
      <c r="L111" s="5" t="inlineStr"/>
    </row>
    <row r="112" outlineLevel="1" ht="22" customHeight="1">
      <c r="B112" s="17" t="inlineStr">
        <is>
          <t>外胎</t>
        </is>
      </c>
      <c r="C112" s="8" t="inlineStr">
        <is>
          <t>马牌 外胎 TR 32C 黑边</t>
        </is>
      </c>
      <c r="D112" s="17" t="inlineStr">
        <is>
          <t>马牌</t>
        </is>
      </c>
      <c r="E112" s="17" t="inlineStr">
        <is>
          <t>正常商品</t>
        </is>
      </c>
      <c r="F112" s="18" t="n">
        <v>214</v>
      </c>
      <c r="G112" s="18" t="n">
        <v>0</v>
      </c>
      <c r="H112" s="18">
        <f>F112+G112</f>
        <v/>
      </c>
      <c r="I112" s="18" t="n">
        <v>84</v>
      </c>
      <c r="J112" s="18">
        <f>H112*I112</f>
        <v/>
      </c>
      <c r="K112" s="18" t="n">
        <v/>
      </c>
      <c r="L112" s="8" t="inlineStr"/>
    </row>
    <row r="113" outlineLevel="1" ht="22" customHeight="1">
      <c r="B113" s="15" t="inlineStr">
        <is>
          <t>外胎</t>
        </is>
      </c>
      <c r="C113" s="5" t="inlineStr">
        <is>
          <t>马牌 外胎 Ultra Sport III 黑边（盒装）</t>
        </is>
      </c>
      <c r="D113" s="15" t="inlineStr">
        <is>
          <t>马牌</t>
        </is>
      </c>
      <c r="E113" s="15" t="inlineStr">
        <is>
          <t>正常商品</t>
        </is>
      </c>
      <c r="F113" s="16" t="n">
        <v>44</v>
      </c>
      <c r="G113" s="16" t="n">
        <v>0</v>
      </c>
      <c r="H113" s="16">
        <f>F113+G113</f>
        <v/>
      </c>
      <c r="I113" s="16" t="n">
        <v>90</v>
      </c>
      <c r="J113" s="16">
        <f>H113*I113</f>
        <v/>
      </c>
      <c r="K113" s="16" t="n">
        <v/>
      </c>
      <c r="L113" s="5" t="inlineStr"/>
    </row>
    <row r="114" outlineLevel="1" ht="22" customHeight="1">
      <c r="B114" s="17" t="inlineStr">
        <is>
          <t>外胎</t>
        </is>
      </c>
      <c r="C114" s="8" t="inlineStr">
        <is>
          <t>马牌 外胎 钢圈 瓜车胎 40C</t>
        </is>
      </c>
      <c r="D114" s="17" t="inlineStr">
        <is>
          <t>马牌</t>
        </is>
      </c>
      <c r="E114" s="17" t="inlineStr">
        <is>
          <t>正常商品</t>
        </is>
      </c>
      <c r="F114" s="18" t="n">
        <v>96</v>
      </c>
      <c r="G114" s="18" t="n">
        <v>0</v>
      </c>
      <c r="H114" s="18">
        <f>F114+G114</f>
        <v/>
      </c>
      <c r="I114" s="18" t="n">
        <v>80</v>
      </c>
      <c r="J114" s="18">
        <f>H114*I114</f>
        <v/>
      </c>
      <c r="K114" s="18" t="n">
        <v/>
      </c>
      <c r="L114" s="8" t="inlineStr"/>
    </row>
    <row r="115" outlineLevel="1" ht="22" customHeight="1">
      <c r="B115" s="15" t="inlineStr">
        <is>
          <t>外胎</t>
        </is>
      </c>
      <c r="C115" s="5" t="inlineStr">
        <is>
          <t>马牌 AERO 外胎 真空 26C 黑色 （盒装）</t>
        </is>
      </c>
      <c r="D115" s="15" t="inlineStr">
        <is>
          <t>马牌 AERO</t>
        </is>
      </c>
      <c r="E115" s="15" t="inlineStr">
        <is>
          <t>正常商品</t>
        </is>
      </c>
      <c r="F115" s="16" t="n">
        <v>5</v>
      </c>
      <c r="G115" s="16" t="n">
        <v>0</v>
      </c>
      <c r="H115" s="16">
        <f>F115+G115</f>
        <v/>
      </c>
      <c r="I115" s="16" t="n">
        <v>600</v>
      </c>
      <c r="J115" s="16">
        <f>H115*I115</f>
        <v/>
      </c>
      <c r="K115" s="16" t="n">
        <v/>
      </c>
      <c r="L115" s="5" t="inlineStr"/>
    </row>
    <row r="116" outlineLevel="1" ht="22" customHeight="1">
      <c r="B116" s="17" t="inlineStr">
        <is>
          <t>外胎</t>
        </is>
      </c>
      <c r="C116" s="8" t="inlineStr">
        <is>
          <t>马牌 GP 外胎 TR 28C 黑边</t>
        </is>
      </c>
      <c r="D116" s="17" t="inlineStr">
        <is>
          <t>马牌 GP</t>
        </is>
      </c>
      <c r="E116" s="17" t="inlineStr">
        <is>
          <t>正常商品</t>
        </is>
      </c>
      <c r="F116" s="18" t="n">
        <v>160</v>
      </c>
      <c r="G116" s="18" t="n">
        <v>0</v>
      </c>
      <c r="H116" s="18">
        <f>F116+G116</f>
        <v/>
      </c>
      <c r="I116" s="18" t="n">
        <v>84</v>
      </c>
      <c r="J116" s="18">
        <f>H116*I116</f>
        <v/>
      </c>
      <c r="K116" s="18" t="n">
        <v/>
      </c>
      <c r="L116" s="8" t="inlineStr"/>
    </row>
    <row r="117" outlineLevel="1" ht="22" customHeight="1">
      <c r="B117" s="15" t="inlineStr">
        <is>
          <t>外胎</t>
        </is>
      </c>
      <c r="C117" s="5" t="inlineStr">
        <is>
          <t>马牌 GP5000 外胎 开口 28C 棕色</t>
        </is>
      </c>
      <c r="D117" s="15" t="inlineStr">
        <is>
          <t>马牌 GP5000</t>
        </is>
      </c>
      <c r="E117" s="15" t="inlineStr">
        <is>
          <t>正常商品</t>
        </is>
      </c>
      <c r="F117" s="16" t="n">
        <v>14</v>
      </c>
      <c r="G117" s="16" t="n">
        <v>0</v>
      </c>
      <c r="H117" s="16">
        <f>F117+G117</f>
        <v/>
      </c>
      <c r="I117" s="16" t="n">
        <v>270</v>
      </c>
      <c r="J117" s="16">
        <f>H117*I117</f>
        <v/>
      </c>
      <c r="K117" s="16" t="n">
        <v/>
      </c>
      <c r="L117" s="5" t="inlineStr"/>
    </row>
    <row r="118" outlineLevel="1" ht="22" customHeight="1">
      <c r="B118" s="17" t="inlineStr">
        <is>
          <t>外胎</t>
        </is>
      </c>
      <c r="C118" s="8" t="inlineStr">
        <is>
          <t>马牌 GP5000 外胎 开口 28C 黑色</t>
        </is>
      </c>
      <c r="D118" s="17" t="inlineStr">
        <is>
          <t>马牌 GP5000</t>
        </is>
      </c>
      <c r="E118" s="17" t="inlineStr">
        <is>
          <t>正常商品</t>
        </is>
      </c>
      <c r="F118" s="18" t="n">
        <v>1</v>
      </c>
      <c r="G118" s="18" t="n">
        <v>0</v>
      </c>
      <c r="H118" s="18">
        <f>F118+G118</f>
        <v/>
      </c>
      <c r="I118" s="18" t="n">
        <v>270</v>
      </c>
      <c r="J118" s="18">
        <f>H118*I118</f>
        <v/>
      </c>
      <c r="K118" s="18" t="n">
        <v/>
      </c>
      <c r="L118" s="8" t="inlineStr"/>
    </row>
    <row r="119" outlineLevel="1" ht="22" customHeight="1">
      <c r="B119" s="15" t="inlineStr">
        <is>
          <t>盘片</t>
        </is>
      </c>
      <c r="C119" s="5" t="inlineStr">
        <is>
          <t>CARBON—TI 盘片 52-36</t>
        </is>
      </c>
      <c r="D119" s="15" t="inlineStr">
        <is>
          <t>CARBON—TI</t>
        </is>
      </c>
      <c r="E119" s="15" t="inlineStr">
        <is>
          <t>正常商品</t>
        </is>
      </c>
      <c r="F119" s="16" t="n">
        <v>5</v>
      </c>
      <c r="G119" s="16" t="n">
        <v>0</v>
      </c>
      <c r="H119" s="16">
        <f>F119+G119</f>
        <v/>
      </c>
      <c r="I119" s="16" t="n">
        <v>2900</v>
      </c>
      <c r="J119" s="16">
        <f>H119*I119</f>
        <v/>
      </c>
      <c r="K119" s="16" t="n">
        <v/>
      </c>
      <c r="L119" s="5" t="inlineStr"/>
    </row>
    <row r="120" outlineLevel="1" ht="22" customHeight="1">
      <c r="B120" s="17" t="inlineStr">
        <is>
          <t>盘片</t>
        </is>
      </c>
      <c r="C120" s="8" t="inlineStr">
        <is>
          <t>DR  盘片 digirit 4爪 54T（SRM规格）</t>
        </is>
      </c>
      <c r="D120" s="17" t="inlineStr">
        <is>
          <t>DR</t>
        </is>
      </c>
      <c r="E120" s="17" t="inlineStr">
        <is>
          <t>正常商品</t>
        </is>
      </c>
      <c r="F120" s="18" t="n">
        <v>1</v>
      </c>
      <c r="G120" s="18" t="n">
        <v>0</v>
      </c>
      <c r="H120" s="18">
        <f>F120+G120</f>
        <v/>
      </c>
      <c r="I120" s="18" t="n">
        <v>2400</v>
      </c>
      <c r="J120" s="18">
        <f>H120*I120</f>
        <v/>
      </c>
      <c r="K120" s="18" t="n">
        <v/>
      </c>
      <c r="L120" s="8" t="inlineStr"/>
    </row>
    <row r="121" outlineLevel="1" ht="22" customHeight="1">
      <c r="B121" s="15" t="inlineStr">
        <is>
          <t>盘片</t>
        </is>
      </c>
      <c r="C121" s="5" t="inlineStr">
        <is>
          <t>DR  盘片 digirit 4爪 56T（SRM规格）</t>
        </is>
      </c>
      <c r="D121" s="15" t="inlineStr">
        <is>
          <t>DR</t>
        </is>
      </c>
      <c r="E121" s="15" t="inlineStr">
        <is>
          <t>正常商品</t>
        </is>
      </c>
      <c r="F121" s="16" t="n">
        <v>2</v>
      </c>
      <c r="G121" s="16" t="n">
        <v>0</v>
      </c>
      <c r="H121" s="16">
        <f>F121+G121</f>
        <v/>
      </c>
      <c r="I121" s="16" t="n">
        <v>2400</v>
      </c>
      <c r="J121" s="16">
        <f>H121*I121</f>
        <v/>
      </c>
      <c r="K121" s="16" t="n">
        <v/>
      </c>
      <c r="L121" s="5" t="inlineStr"/>
    </row>
    <row r="122" outlineLevel="1" ht="22" customHeight="1">
      <c r="B122" s="17" t="inlineStr">
        <is>
          <t>碟片组</t>
        </is>
      </c>
      <c r="C122" s="8" t="inlineStr">
        <is>
          <t>RIVAL 碟片组 2张160</t>
        </is>
      </c>
      <c r="D122" s="17" t="inlineStr">
        <is>
          <t>RIVAL</t>
        </is>
      </c>
      <c r="E122" s="17" t="inlineStr">
        <is>
          <t>正常商品</t>
        </is>
      </c>
      <c r="F122" s="18" t="n">
        <v>25</v>
      </c>
      <c r="G122" s="18" t="n">
        <v>0</v>
      </c>
      <c r="H122" s="18">
        <f>F122+G122</f>
        <v/>
      </c>
      <c r="I122" s="18" t="n">
        <v>140</v>
      </c>
      <c r="J122" s="18">
        <f>H122*I122</f>
        <v/>
      </c>
      <c r="K122" s="18" t="n">
        <v/>
      </c>
      <c r="L122" s="8" t="inlineStr"/>
    </row>
    <row r="123" outlineLevel="1" ht="22" customHeight="1">
      <c r="B123" s="15" t="inlineStr">
        <is>
          <t>曲柄组</t>
        </is>
      </c>
      <c r="C123" s="5" t="inlineStr">
        <is>
          <t>CYBREI 曲柄组 GP3  165  24Ti（盒装）</t>
        </is>
      </c>
      <c r="D123" s="15" t="inlineStr">
        <is>
          <t>CYBREI</t>
        </is>
      </c>
      <c r="E123" s="15" t="inlineStr">
        <is>
          <t>正常商品</t>
        </is>
      </c>
      <c r="F123" s="16" t="n">
        <v>1</v>
      </c>
      <c r="G123" s="16" t="n">
        <v>0</v>
      </c>
      <c r="H123" s="16">
        <f>F123+G123</f>
        <v/>
      </c>
      <c r="I123" s="16" t="n">
        <v>2086</v>
      </c>
      <c r="J123" s="16">
        <f>H123*I123</f>
        <v/>
      </c>
      <c r="K123" s="16" t="n">
        <v/>
      </c>
      <c r="L123" s="5" t="inlineStr"/>
    </row>
    <row r="124" outlineLevel="1" ht="22" customHeight="1">
      <c r="B124" s="17" t="inlineStr">
        <is>
          <t>曲柄组</t>
        </is>
      </c>
      <c r="C124" s="8" t="inlineStr">
        <is>
          <t>CYBREI 曲柄组 GP3  170  24Ti（盒装）</t>
        </is>
      </c>
      <c r="D124" s="17" t="inlineStr">
        <is>
          <t>CYBREI</t>
        </is>
      </c>
      <c r="E124" s="17" t="inlineStr">
        <is>
          <t>正常商品</t>
        </is>
      </c>
      <c r="F124" s="18" t="n">
        <v>2</v>
      </c>
      <c r="G124" s="18" t="n">
        <v>0</v>
      </c>
      <c r="H124" s="18">
        <f>F124+G124</f>
        <v/>
      </c>
      <c r="I124" s="18" t="n">
        <v>2086</v>
      </c>
      <c r="J124" s="18">
        <f>H124*I124</f>
        <v/>
      </c>
      <c r="K124" s="18" t="n">
        <v/>
      </c>
      <c r="L124" s="8" t="inlineStr"/>
    </row>
    <row r="125" outlineLevel="1" ht="22" customHeight="1">
      <c r="B125" s="15" t="inlineStr">
        <is>
          <t>曲柄组</t>
        </is>
      </c>
      <c r="C125" s="5" t="inlineStr">
        <is>
          <t>CYBREI 曲柄组 GP3 167.5（盒装）</t>
        </is>
      </c>
      <c r="D125" s="15" t="inlineStr">
        <is>
          <t>CYBREI</t>
        </is>
      </c>
      <c r="E125" s="15" t="inlineStr">
        <is>
          <t>正常商品</t>
        </is>
      </c>
      <c r="F125" s="16" t="n">
        <v>1</v>
      </c>
      <c r="G125" s="16" t="n">
        <v>0</v>
      </c>
      <c r="H125" s="16">
        <f>F125+G125</f>
        <v/>
      </c>
      <c r="I125" s="16" t="n">
        <v>1736</v>
      </c>
      <c r="J125" s="16">
        <f>H125*I125</f>
        <v/>
      </c>
      <c r="K125" s="16" t="n">
        <v/>
      </c>
      <c r="L125" s="5" t="inlineStr"/>
    </row>
    <row r="126" outlineLevel="1" ht="22" customHeight="1">
      <c r="B126" s="17" t="inlineStr">
        <is>
          <t>曲柄组</t>
        </is>
      </c>
      <c r="C126" s="8" t="inlineStr">
        <is>
          <t>ELILEE 曲柄组 XXE 碳轴 165 (新款）</t>
        </is>
      </c>
      <c r="D126" s="17" t="inlineStr">
        <is>
          <t>ELILEE</t>
        </is>
      </c>
      <c r="E126" s="17" t="inlineStr">
        <is>
          <t>正常商品</t>
        </is>
      </c>
      <c r="F126" s="18" t="n">
        <v>2</v>
      </c>
      <c r="G126" s="18" t="n">
        <v>0</v>
      </c>
      <c r="H126" s="18">
        <f>F126+G126</f>
        <v/>
      </c>
      <c r="I126" s="18" t="n">
        <v>2650</v>
      </c>
      <c r="J126" s="18">
        <f>H126*I126</f>
        <v/>
      </c>
      <c r="K126" s="18" t="n">
        <v/>
      </c>
      <c r="L126" s="8" t="inlineStr"/>
    </row>
    <row r="127" outlineLevel="1" ht="22" customHeight="1">
      <c r="B127" s="15" t="inlineStr">
        <is>
          <t>曲柄组</t>
        </is>
      </c>
      <c r="C127" s="5" t="inlineStr">
        <is>
          <t>ELILEE 曲柄组 XXE 碳轴 167.5 (新款）</t>
        </is>
      </c>
      <c r="D127" s="15" t="inlineStr">
        <is>
          <t>ELILEE</t>
        </is>
      </c>
      <c r="E127" s="15" t="inlineStr">
        <is>
          <t>正常商品</t>
        </is>
      </c>
      <c r="F127" s="16" t="n">
        <v>1</v>
      </c>
      <c r="G127" s="16" t="n">
        <v>0</v>
      </c>
      <c r="H127" s="16">
        <f>F127+G127</f>
        <v/>
      </c>
      <c r="I127" s="16" t="n">
        <v>2650</v>
      </c>
      <c r="J127" s="16">
        <f>H127*I127</f>
        <v/>
      </c>
      <c r="K127" s="16" t="n">
        <v/>
      </c>
      <c r="L127" s="5" t="inlineStr"/>
    </row>
    <row r="128" outlineLevel="1" ht="22" customHeight="1">
      <c r="B128" s="17" t="inlineStr">
        <is>
          <t>曲柄组</t>
        </is>
      </c>
      <c r="C128" s="8" t="inlineStr">
        <is>
          <t>ELILEE 曲柄组 XXE 钛轴 160</t>
        </is>
      </c>
      <c r="D128" s="17" t="inlineStr">
        <is>
          <t>ELILEE</t>
        </is>
      </c>
      <c r="E128" s="17" t="inlineStr">
        <is>
          <t>正常商品</t>
        </is>
      </c>
      <c r="F128" s="18" t="n">
        <v>1</v>
      </c>
      <c r="G128" s="18" t="n">
        <v>0</v>
      </c>
      <c r="H128" s="18">
        <f>F128+G128</f>
        <v/>
      </c>
      <c r="I128" s="18" t="n">
        <v>1580</v>
      </c>
      <c r="J128" s="18">
        <f>H128*I128</f>
        <v/>
      </c>
      <c r="K128" s="18" t="n">
        <v/>
      </c>
      <c r="L128" s="8" t="inlineStr"/>
    </row>
    <row r="129" outlineLevel="1" ht="22" customHeight="1">
      <c r="B129" s="15" t="inlineStr">
        <is>
          <t>曲柄组</t>
        </is>
      </c>
      <c r="C129" s="5" t="inlineStr">
        <is>
          <t>ELILEE 曲柄组 XXE 钛轴 172.5</t>
        </is>
      </c>
      <c r="D129" s="15" t="inlineStr">
        <is>
          <t>ELILEE</t>
        </is>
      </c>
      <c r="E129" s="15" t="inlineStr">
        <is>
          <t>正常商品</t>
        </is>
      </c>
      <c r="F129" s="16" t="n">
        <v>2</v>
      </c>
      <c r="G129" s="16" t="n">
        <v>0</v>
      </c>
      <c r="H129" s="16">
        <f>F129+G129</f>
        <v/>
      </c>
      <c r="I129" s="16" t="n">
        <v>1580</v>
      </c>
      <c r="J129" s="16">
        <f>H129*I129</f>
        <v/>
      </c>
      <c r="K129" s="16" t="n">
        <v/>
      </c>
      <c r="L129" s="5" t="inlineStr"/>
    </row>
    <row r="130" outlineLevel="1" ht="22" customHeight="1">
      <c r="B130" s="17" t="inlineStr">
        <is>
          <t>曲柄组</t>
        </is>
      </c>
      <c r="C130" s="8" t="inlineStr">
        <is>
          <t>ROTOR 曲柄组 165</t>
        </is>
      </c>
      <c r="D130" s="17" t="inlineStr">
        <is>
          <t>ROTOR</t>
        </is>
      </c>
      <c r="E130" s="17" t="inlineStr">
        <is>
          <t>正常商品</t>
        </is>
      </c>
      <c r="F130" s="18" t="n">
        <v>6</v>
      </c>
      <c r="G130" s="18" t="n">
        <v>0</v>
      </c>
      <c r="H130" s="18">
        <f>F130+G130</f>
        <v/>
      </c>
      <c r="I130" s="18" t="n">
        <v>2200</v>
      </c>
      <c r="J130" s="18">
        <f>H130*I130</f>
        <v/>
      </c>
      <c r="K130" s="18" t="n">
        <v/>
      </c>
      <c r="L130" s="8" t="inlineStr"/>
    </row>
    <row r="131" outlineLevel="1" ht="22" customHeight="1">
      <c r="B131" s="15" t="inlineStr">
        <is>
          <t>座垫</t>
        </is>
      </c>
      <c r="C131" s="5" t="inlineStr">
        <is>
          <t>FIZIK 座垫 3D 打印（盒装）</t>
        </is>
      </c>
      <c r="D131" s="15" t="inlineStr">
        <is>
          <t>FIZIK</t>
        </is>
      </c>
      <c r="E131" s="15" t="inlineStr">
        <is>
          <t>正常商品</t>
        </is>
      </c>
      <c r="F131" s="16" t="n">
        <v>1</v>
      </c>
      <c r="G131" s="16" t="n">
        <v>0</v>
      </c>
      <c r="H131" s="16">
        <f>F131+G131</f>
        <v/>
      </c>
      <c r="I131" s="16" t="n">
        <v>2430</v>
      </c>
      <c r="J131" s="16">
        <f>H131*I131</f>
        <v/>
      </c>
      <c r="K131" s="16" t="n">
        <v/>
      </c>
      <c r="L131" s="5" t="inlineStr"/>
    </row>
    <row r="132" outlineLevel="1" ht="22" customHeight="1">
      <c r="B132" s="17" t="inlineStr">
        <is>
          <t>座垫</t>
        </is>
      </c>
      <c r="C132" s="8" t="inlineStr">
        <is>
          <t>FIZIK 座垫 3D打印（原电助力用）</t>
        </is>
      </c>
      <c r="D132" s="17" t="inlineStr">
        <is>
          <t>FIZIK</t>
        </is>
      </c>
      <c r="E132" s="17" t="inlineStr">
        <is>
          <t>正常商品</t>
        </is>
      </c>
      <c r="F132" s="18" t="n">
        <v>54</v>
      </c>
      <c r="G132" s="18" t="n">
        <v>0</v>
      </c>
      <c r="H132" s="18">
        <f>F132+G132</f>
        <v/>
      </c>
      <c r="I132" s="18" t="n">
        <v>700</v>
      </c>
      <c r="J132" s="18">
        <f>H132*I132</f>
        <v/>
      </c>
      <c r="K132" s="18" t="n">
        <v/>
      </c>
      <c r="L132" s="8" t="inlineStr"/>
    </row>
    <row r="133" outlineLevel="1" ht="22" customHeight="1">
      <c r="B133" s="15" t="inlineStr">
        <is>
          <t>座垫</t>
        </is>
      </c>
      <c r="C133" s="5" t="inlineStr">
        <is>
          <t>FIZIK 座垫 碳轨（原电助力用）</t>
        </is>
      </c>
      <c r="D133" s="15" t="inlineStr">
        <is>
          <t>FIZIK</t>
        </is>
      </c>
      <c r="E133" s="15" t="inlineStr">
        <is>
          <t>正常商品</t>
        </is>
      </c>
      <c r="F133" s="16" t="n">
        <v>32</v>
      </c>
      <c r="G133" s="16" t="n">
        <v>0</v>
      </c>
      <c r="H133" s="16">
        <f>F133+G133</f>
        <v/>
      </c>
      <c r="I133" s="16" t="n">
        <v>430</v>
      </c>
      <c r="J133" s="16">
        <f>H133*I133</f>
        <v/>
      </c>
      <c r="K133" s="16" t="n">
        <v/>
      </c>
      <c r="L133" s="5" t="inlineStr"/>
    </row>
    <row r="134" outlineLevel="1" ht="22" customHeight="1">
      <c r="B134" s="17" t="inlineStr">
        <is>
          <t>座垫</t>
        </is>
      </c>
      <c r="C134" s="8" t="inlineStr">
        <is>
          <t>FIZIK 座垫 钢轨 ARGO R5（板装）</t>
        </is>
      </c>
      <c r="D134" s="17" t="inlineStr">
        <is>
          <t>FIZIK</t>
        </is>
      </c>
      <c r="E134" s="17" t="inlineStr">
        <is>
          <t>正常商品</t>
        </is>
      </c>
      <c r="F134" s="18" t="n">
        <v>1</v>
      </c>
      <c r="G134" s="18" t="n">
        <v>0</v>
      </c>
      <c r="H134" s="18">
        <f>F134+G134</f>
        <v/>
      </c>
      <c r="I134" s="18" t="n">
        <v>120</v>
      </c>
      <c r="J134" s="18">
        <f>H134*I134</f>
        <v/>
      </c>
      <c r="K134" s="18" t="n">
        <v/>
      </c>
      <c r="L134" s="8" t="inlineStr"/>
    </row>
    <row r="135" outlineLevel="1" ht="22" customHeight="1">
      <c r="B135" s="15" t="inlineStr">
        <is>
          <t>座垫</t>
        </is>
      </c>
      <c r="C135" s="5" t="inlineStr">
        <is>
          <t>Selle Italia   座垫 钢轨 黑色（散装）</t>
        </is>
      </c>
      <c r="D135" s="15" t="inlineStr">
        <is>
          <t>Selle Italia</t>
        </is>
      </c>
      <c r="E135" s="15" t="inlineStr">
        <is>
          <t>正常商品</t>
        </is>
      </c>
      <c r="F135" s="16" t="n">
        <v>102</v>
      </c>
      <c r="G135" s="16" t="n">
        <v>0</v>
      </c>
      <c r="H135" s="16">
        <f>F135+G135</f>
        <v/>
      </c>
      <c r="I135" s="16" t="n">
        <v>303</v>
      </c>
      <c r="J135" s="16">
        <f>H135*I135</f>
        <v/>
      </c>
      <c r="K135" s="16" t="n">
        <v/>
      </c>
      <c r="L135" s="5" t="inlineStr"/>
    </row>
    <row r="136" outlineLevel="1" ht="22" customHeight="1">
      <c r="B136" s="17" t="inlineStr">
        <is>
          <t>座垫</t>
        </is>
      </c>
      <c r="C136" s="8" t="inlineStr">
        <is>
          <t>Selle Italia  座垫 3D 碳轨 黑色（盒装）</t>
        </is>
      </c>
      <c r="D136" s="17" t="inlineStr">
        <is>
          <t>Selle Italia</t>
        </is>
      </c>
      <c r="E136" s="17" t="inlineStr">
        <is>
          <t>正常商品</t>
        </is>
      </c>
      <c r="F136" s="18" t="n">
        <v>4</v>
      </c>
      <c r="G136" s="18" t="n">
        <v>0</v>
      </c>
      <c r="H136" s="18">
        <f>F136+G136</f>
        <v/>
      </c>
      <c r="I136" s="18" t="n">
        <v>2300</v>
      </c>
      <c r="J136" s="18">
        <f>H136*I136</f>
        <v/>
      </c>
      <c r="K136" s="18" t="n">
        <v/>
      </c>
      <c r="L136" s="8" t="inlineStr"/>
    </row>
    <row r="137" outlineLevel="1" ht="22" customHeight="1">
      <c r="B137" s="15" t="inlineStr">
        <is>
          <t>座垫</t>
        </is>
      </c>
      <c r="C137" s="5" t="inlineStr">
        <is>
          <t>Selle Italia  座垫 新款钢轨黑色（散装）</t>
        </is>
      </c>
      <c r="D137" s="15" t="inlineStr">
        <is>
          <t>Selle Italia</t>
        </is>
      </c>
      <c r="E137" s="15" t="inlineStr">
        <is>
          <t>正常商品</t>
        </is>
      </c>
      <c r="F137" s="16" t="n">
        <v>2</v>
      </c>
      <c r="G137" s="16" t="n">
        <v>0</v>
      </c>
      <c r="H137" s="16">
        <f>F137+G137</f>
        <v/>
      </c>
      <c r="I137" s="16" t="n">
        <v>500</v>
      </c>
      <c r="J137" s="16">
        <f>H137*I137</f>
        <v/>
      </c>
      <c r="K137" s="16" t="n">
        <v/>
      </c>
      <c r="L137" s="5" t="inlineStr"/>
    </row>
    <row r="138" outlineLevel="1" ht="22" customHeight="1">
      <c r="B138" s="17" t="inlineStr">
        <is>
          <t>座垫</t>
        </is>
      </c>
      <c r="C138" s="8" t="inlineStr">
        <is>
          <t>闪电 座垫 Power Comp 黑 155</t>
        </is>
      </c>
      <c r="D138" s="17" t="inlineStr">
        <is>
          <t>闪电</t>
        </is>
      </c>
      <c r="E138" s="17" t="inlineStr">
        <is>
          <t>正常商品</t>
        </is>
      </c>
      <c r="F138" s="18" t="n">
        <v>1</v>
      </c>
      <c r="G138" s="18" t="n">
        <v>0</v>
      </c>
      <c r="H138" s="18">
        <f>F138+G138</f>
        <v/>
      </c>
      <c r="I138" s="18" t="n">
        <v>1000</v>
      </c>
      <c r="J138" s="18">
        <f>H138*I138</f>
        <v/>
      </c>
      <c r="K138" s="18" t="n">
        <v/>
      </c>
      <c r="L138" s="8" t="inlineStr"/>
    </row>
    <row r="139" outlineLevel="1" ht="22" customHeight="1">
      <c r="B139" s="15" t="inlineStr">
        <is>
          <t>车把一体把</t>
        </is>
      </c>
      <c r="C139" s="5" t="inlineStr">
        <is>
          <t>Colnago 车把一体把 CC01 410-80 拆车</t>
        </is>
      </c>
      <c r="D139" s="15" t="inlineStr">
        <is>
          <t>Colnago</t>
        </is>
      </c>
      <c r="E139" s="15" t="inlineStr">
        <is>
          <t>正常商品</t>
        </is>
      </c>
      <c r="F139" s="16" t="n">
        <v>1</v>
      </c>
      <c r="G139" s="16" t="n">
        <v>0</v>
      </c>
      <c r="H139" s="16">
        <f>F139+G139</f>
        <v/>
      </c>
      <c r="I139" s="16" t="n">
        <v>4000</v>
      </c>
      <c r="J139" s="16">
        <f>H139*I139</f>
        <v/>
      </c>
      <c r="K139" s="16" t="n">
        <v/>
      </c>
      <c r="L139" s="5" t="inlineStr"/>
    </row>
    <row r="140" outlineLevel="1" ht="22" customHeight="1">
      <c r="B140" s="17" t="inlineStr">
        <is>
          <t>车把一体把</t>
        </is>
      </c>
      <c r="C140" s="8" t="inlineStr">
        <is>
          <t>MOST 车把一体把 【25款】42-100</t>
        </is>
      </c>
      <c r="D140" s="17" t="inlineStr">
        <is>
          <t>MOST</t>
        </is>
      </c>
      <c r="E140" s="17" t="inlineStr">
        <is>
          <t>正常商品</t>
        </is>
      </c>
      <c r="F140" s="18" t="n">
        <v>3</v>
      </c>
      <c r="G140" s="18" t="n">
        <v>0</v>
      </c>
      <c r="H140" s="18">
        <f>F140+G140</f>
        <v/>
      </c>
      <c r="I140" s="18" t="n">
        <v>5000</v>
      </c>
      <c r="J140" s="18">
        <f>H140*I140</f>
        <v/>
      </c>
      <c r="K140" s="18" t="n">
        <v/>
      </c>
      <c r="L140" s="8" t="inlineStr"/>
    </row>
    <row r="141" outlineLevel="1" ht="22" customHeight="1">
      <c r="B141" s="15" t="inlineStr">
        <is>
          <t>车把一体把</t>
        </is>
      </c>
      <c r="C141" s="5" t="inlineStr">
        <is>
          <t>MOST 车把一体把 【25款】42-90</t>
        </is>
      </c>
      <c r="D141" s="15" t="inlineStr">
        <is>
          <t>MOST</t>
        </is>
      </c>
      <c r="E141" s="15" t="inlineStr">
        <is>
          <t>正常商品</t>
        </is>
      </c>
      <c r="F141" s="16" t="n">
        <v>4</v>
      </c>
      <c r="G141" s="16" t="n">
        <v>0</v>
      </c>
      <c r="H141" s="16">
        <f>F141+G141</f>
        <v/>
      </c>
      <c r="I141" s="16" t="n">
        <v>5000</v>
      </c>
      <c r="J141" s="16">
        <f>H141*I141</f>
        <v/>
      </c>
      <c r="K141" s="16" t="n">
        <v/>
      </c>
      <c r="L141" s="5" t="inlineStr"/>
    </row>
    <row r="142" outlineLevel="1" ht="22" customHeight="1">
      <c r="B142" s="17" t="inlineStr">
        <is>
          <t>车把一体把</t>
        </is>
      </c>
      <c r="C142" s="8" t="inlineStr">
        <is>
          <t>MOST 车把一体把 【25款】44-110</t>
        </is>
      </c>
      <c r="D142" s="17" t="inlineStr">
        <is>
          <t>MOST</t>
        </is>
      </c>
      <c r="E142" s="17" t="inlineStr">
        <is>
          <t>正常商品</t>
        </is>
      </c>
      <c r="F142" s="18" t="n">
        <v>1</v>
      </c>
      <c r="G142" s="18" t="n">
        <v>0</v>
      </c>
      <c r="H142" s="18">
        <f>F142+G142</f>
        <v/>
      </c>
      <c r="I142" s="18" t="n">
        <v>5000</v>
      </c>
      <c r="J142" s="18">
        <f>H142*I142</f>
        <v/>
      </c>
      <c r="K142" s="18" t="n">
        <v/>
      </c>
      <c r="L142" s="8" t="inlineStr"/>
    </row>
    <row r="143" outlineLevel="1" ht="22" customHeight="1">
      <c r="B143" s="15" t="inlineStr">
        <is>
          <t>车把一体把</t>
        </is>
      </c>
      <c r="C143" s="5" t="inlineStr">
        <is>
          <t>滚石 车把一体把 三代  滚石一体把 420-100</t>
        </is>
      </c>
      <c r="D143" s="15" t="inlineStr">
        <is>
          <t>滚石</t>
        </is>
      </c>
      <c r="E143" s="15" t="inlineStr">
        <is>
          <t>正常商品</t>
        </is>
      </c>
      <c r="F143" s="16" t="n">
        <v>1</v>
      </c>
      <c r="G143" s="16" t="n">
        <v>0</v>
      </c>
      <c r="H143" s="16">
        <f>F143+G143</f>
        <v/>
      </c>
      <c r="I143" s="16" t="n">
        <v>1315</v>
      </c>
      <c r="J143" s="16">
        <f>H143*I143</f>
        <v/>
      </c>
      <c r="K143" s="16" t="n">
        <v/>
      </c>
      <c r="L143" s="5" t="inlineStr"/>
    </row>
    <row r="144" outlineLevel="1" ht="22" customHeight="1">
      <c r="B144" s="17" t="inlineStr">
        <is>
          <t>车把一体把</t>
        </is>
      </c>
      <c r="C144" s="8" t="inlineStr">
        <is>
          <t>闪电 车把一体把 roval一体把420-100</t>
        </is>
      </c>
      <c r="D144" s="17" t="inlineStr">
        <is>
          <t>闪电</t>
        </is>
      </c>
      <c r="E144" s="17" t="inlineStr">
        <is>
          <t>正常商品</t>
        </is>
      </c>
      <c r="F144" s="18" t="n">
        <v>1</v>
      </c>
      <c r="G144" s="18" t="n">
        <v>0</v>
      </c>
      <c r="H144" s="18">
        <f>F144+G144</f>
        <v/>
      </c>
      <c r="I144" s="18" t="n">
        <v>3100</v>
      </c>
      <c r="J144" s="18">
        <f>H144*I144</f>
        <v/>
      </c>
      <c r="K144" s="18" t="n">
        <v/>
      </c>
      <c r="L144" s="8" t="inlineStr"/>
    </row>
    <row r="145" outlineLevel="1" ht="22" customHeight="1">
      <c r="B145" s="15" t="inlineStr">
        <is>
          <t>套件组</t>
        </is>
      </c>
      <c r="C145" s="5" t="inlineStr">
        <is>
          <t>DA 套件组 TT套件（手变+夹器+按钮+电线）</t>
        </is>
      </c>
      <c r="D145" s="15" t="inlineStr">
        <is>
          <t>DA</t>
        </is>
      </c>
      <c r="E145" s="15" t="inlineStr">
        <is>
          <t>正常商品</t>
        </is>
      </c>
      <c r="F145" s="16" t="n">
        <v>16</v>
      </c>
      <c r="G145" s="16" t="n">
        <v>0</v>
      </c>
      <c r="H145" s="16">
        <f>F145+G145</f>
        <v/>
      </c>
      <c r="I145" s="16" t="n">
        <v>5108.88</v>
      </c>
      <c r="J145" s="16">
        <f>H145*I145</f>
        <v/>
      </c>
      <c r="K145" s="16" t="n">
        <v/>
      </c>
      <c r="L145" s="5" t="inlineStr"/>
    </row>
    <row r="146" outlineLevel="1" ht="22" customHeight="1">
      <c r="B146" s="17" t="inlineStr">
        <is>
          <t>套件组</t>
        </is>
      </c>
      <c r="C146" s="8" t="inlineStr">
        <is>
          <t>RIVAL 套件组 基础配置无前拨（13速）</t>
        </is>
      </c>
      <c r="D146" s="17" t="inlineStr">
        <is>
          <t>RIVAL</t>
        </is>
      </c>
      <c r="E146" s="17" t="inlineStr">
        <is>
          <t>正常商品</t>
        </is>
      </c>
      <c r="F146" s="18" t="n">
        <v>24</v>
      </c>
      <c r="G146" s="18" t="n">
        <v>0</v>
      </c>
      <c r="H146" s="18">
        <f>F146+G146</f>
        <v/>
      </c>
      <c r="I146" s="18" t="n">
        <v>4400</v>
      </c>
      <c r="J146" s="18">
        <f>H146*I146</f>
        <v/>
      </c>
      <c r="K146" s="18" t="n">
        <v/>
      </c>
      <c r="L146" s="8" t="inlineStr"/>
    </row>
    <row r="147" outlineLevel="1" ht="22" customHeight="1">
      <c r="B147" s="15" t="inlineStr">
        <is>
          <t>链条</t>
        </is>
      </c>
      <c r="C147" s="5" t="inlineStr">
        <is>
          <t>RIVAL 链条 E1 链条</t>
        </is>
      </c>
      <c r="D147" s="15" t="inlineStr">
        <is>
          <t>RIVAL</t>
        </is>
      </c>
      <c r="E147" s="15" t="inlineStr">
        <is>
          <t>正常商品</t>
        </is>
      </c>
      <c r="F147" s="16" t="n">
        <v>29</v>
      </c>
      <c r="G147" s="16" t="n">
        <v>0</v>
      </c>
      <c r="H147" s="16">
        <f>F147+G147</f>
        <v/>
      </c>
      <c r="I147" s="16" t="n">
        <v>185</v>
      </c>
      <c r="J147" s="16">
        <f>H147*I147</f>
        <v/>
      </c>
      <c r="K147" s="16" t="n">
        <v/>
      </c>
      <c r="L147" s="5" t="inlineStr"/>
    </row>
    <row r="148" outlineLevel="1" ht="22" customHeight="1">
      <c r="B148" s="17" t="inlineStr">
        <is>
          <t>中轴</t>
        </is>
      </c>
      <c r="C148" s="8" t="inlineStr">
        <is>
          <t>CS 中轴 黑色 4年（货号：101331）意规 30轴心</t>
        </is>
      </c>
      <c r="D148" s="17" t="inlineStr">
        <is>
          <t>CS</t>
        </is>
      </c>
      <c r="E148" s="17" t="inlineStr">
        <is>
          <t>正常商品</t>
        </is>
      </c>
      <c r="F148" s="18" t="n">
        <v>2</v>
      </c>
      <c r="G148" s="18" t="n">
        <v>0</v>
      </c>
      <c r="H148" s="18">
        <f>F148+G148</f>
        <v/>
      </c>
      <c r="I148" s="18" t="n">
        <v>1225</v>
      </c>
      <c r="J148" s="18">
        <f>H148*I148</f>
        <v/>
      </c>
      <c r="K148" s="18" t="n">
        <v/>
      </c>
      <c r="L148" s="8" t="inlineStr"/>
    </row>
    <row r="149" outlineLevel="1" ht="22" customHeight="1">
      <c r="B149" s="15" t="inlineStr">
        <is>
          <t>锁踏</t>
        </is>
      </c>
      <c r="C149" s="5" t="inlineStr">
        <is>
          <t>DA 锁踏 PDR 9100</t>
        </is>
      </c>
      <c r="D149" s="15" t="inlineStr">
        <is>
          <t>DA</t>
        </is>
      </c>
      <c r="E149" s="15" t="inlineStr">
        <is>
          <t>正常商品</t>
        </is>
      </c>
      <c r="F149" s="16" t="n">
        <v>102</v>
      </c>
      <c r="G149" s="16" t="n">
        <v>0</v>
      </c>
      <c r="H149" s="16">
        <f>F149+G149</f>
        <v/>
      </c>
      <c r="I149" s="16" t="n">
        <v>1030</v>
      </c>
      <c r="J149" s="16">
        <f>H149*I149</f>
        <v/>
      </c>
      <c r="K149" s="16" t="n">
        <v/>
      </c>
      <c r="L149" s="5" t="inlineStr"/>
    </row>
    <row r="150" outlineLevel="1" ht="22" customHeight="1">
      <c r="B150" s="17" t="inlineStr">
        <is>
          <t>脚踏</t>
        </is>
      </c>
      <c r="C150" s="8" t="inlineStr">
        <is>
          <t>HT 脚踏  黑</t>
        </is>
      </c>
      <c r="D150" s="17" t="inlineStr">
        <is>
          <t>HT</t>
        </is>
      </c>
      <c r="E150" s="17" t="inlineStr">
        <is>
          <t>正常商品</t>
        </is>
      </c>
      <c r="F150" s="18" t="n">
        <v>1</v>
      </c>
      <c r="G150" s="18" t="n">
        <v>0</v>
      </c>
      <c r="H150" s="18">
        <f>F150+G150</f>
        <v/>
      </c>
      <c r="I150" s="18" t="n">
        <v>350</v>
      </c>
      <c r="J150" s="18">
        <f>H150*I150</f>
        <v/>
      </c>
      <c r="K150" s="18" t="n">
        <v/>
      </c>
      <c r="L150" s="8" t="inlineStr"/>
    </row>
    <row r="151" outlineLevel="1" ht="22" customHeight="1">
      <c r="B151" s="15" t="inlineStr">
        <is>
          <t>脚踏</t>
        </is>
      </c>
      <c r="C151" s="5" t="inlineStr">
        <is>
          <t>HT 脚踏 银</t>
        </is>
      </c>
      <c r="D151" s="15" t="inlineStr">
        <is>
          <t>HT</t>
        </is>
      </c>
      <c r="E151" s="15" t="inlineStr">
        <is>
          <t>正常商品</t>
        </is>
      </c>
      <c r="F151" s="16" t="n">
        <v>1</v>
      </c>
      <c r="G151" s="16" t="n">
        <v>0</v>
      </c>
      <c r="H151" s="16">
        <f>F151+G151</f>
        <v/>
      </c>
      <c r="I151" s="16" t="n">
        <v>350</v>
      </c>
      <c r="J151" s="16">
        <f>H151*I151</f>
        <v/>
      </c>
      <c r="K151" s="16" t="n">
        <v/>
      </c>
      <c r="L151" s="5" t="inlineStr"/>
    </row>
    <row r="152" ht="22" customHeight="1">
      <c r="B152" s="19" t="inlineStr">
        <is>
          <t>小计</t>
        </is>
      </c>
      <c r="C152" s="11" t="n"/>
      <c r="D152" s="11">
        <f>COUNTA(C97:C151)</f>
        <v/>
      </c>
      <c r="E152" s="11" t="n"/>
      <c r="F152" s="11" t="n"/>
      <c r="G152" s="11" t="n"/>
      <c r="H152" s="12">
        <f>SUM(H97:H151)</f>
        <v/>
      </c>
      <c r="I152" s="11" t="n"/>
      <c r="J152" s="12">
        <f>SUM(J97:J151)</f>
        <v/>
      </c>
      <c r="K152" s="11" t="n"/>
      <c r="L152" s="11" t="n"/>
    </row>
    <row r="153" ht="22" customHeight="1">
      <c r="B153" s="14" t="inlineStr">
        <is>
          <t>🔵 DA/Zipp 轮组</t>
        </is>
      </c>
    </row>
    <row r="154" outlineLevel="1" ht="22" customHeight="1">
      <c r="B154" s="17" t="inlineStr">
        <is>
          <t>轮组</t>
        </is>
      </c>
      <c r="C154" s="8" t="inlineStr">
        <is>
          <t>DA 轮组 C50 (SH)</t>
        </is>
      </c>
      <c r="D154" s="17" t="inlineStr">
        <is>
          <t>DA</t>
        </is>
      </c>
      <c r="E154" s="17" t="inlineStr">
        <is>
          <t>DA/Zipp 轮组</t>
        </is>
      </c>
      <c r="F154" s="18" t="n">
        <v>5</v>
      </c>
      <c r="G154" s="18" t="n">
        <v>0</v>
      </c>
      <c r="H154" s="18">
        <f>F154+G154</f>
        <v/>
      </c>
      <c r="I154" s="18" t="n">
        <v>7343.41</v>
      </c>
      <c r="J154" s="18">
        <f>H154*I154</f>
        <v/>
      </c>
      <c r="K154" s="18" t="n">
        <v/>
      </c>
      <c r="L154" s="8" t="inlineStr"/>
    </row>
    <row r="155" outlineLevel="1" ht="22" customHeight="1">
      <c r="B155" s="15" t="inlineStr">
        <is>
          <t>轮组</t>
        </is>
      </c>
      <c r="C155" s="5" t="inlineStr">
        <is>
          <t>DA 轮组 C60 (SH)</t>
        </is>
      </c>
      <c r="D155" s="15" t="inlineStr">
        <is>
          <t>DA</t>
        </is>
      </c>
      <c r="E155" s="15" t="inlineStr">
        <is>
          <t>DA/Zipp 轮组</t>
        </is>
      </c>
      <c r="F155" s="16" t="n">
        <v>11</v>
      </c>
      <c r="G155" s="16" t="n">
        <v>0</v>
      </c>
      <c r="H155" s="16">
        <f>F155+G155</f>
        <v/>
      </c>
      <c r="I155" s="16" t="n">
        <v>7343.41</v>
      </c>
      <c r="J155" s="16">
        <f>H155*I155</f>
        <v/>
      </c>
      <c r="K155" s="16" t="n">
        <v/>
      </c>
      <c r="L155" s="5" t="inlineStr"/>
    </row>
    <row r="156" outlineLevel="1" ht="22" customHeight="1">
      <c r="B156" s="17" t="inlineStr">
        <is>
          <t>轮组</t>
        </is>
      </c>
      <c r="C156" s="8" t="inlineStr">
        <is>
          <t>UT 轮组 C50 (SH)</t>
        </is>
      </c>
      <c r="D156" s="17" t="inlineStr">
        <is>
          <t>UT</t>
        </is>
      </c>
      <c r="E156" s="17" t="inlineStr">
        <is>
          <t>DA/Zipp 轮组</t>
        </is>
      </c>
      <c r="F156" s="18" t="n">
        <v>9</v>
      </c>
      <c r="G156" s="18" t="n">
        <v>0</v>
      </c>
      <c r="H156" s="18">
        <f>F156+G156</f>
        <v/>
      </c>
      <c r="I156" s="18" t="n">
        <v>5193</v>
      </c>
      <c r="J156" s="18">
        <f>H156*I156</f>
        <v/>
      </c>
      <c r="K156" s="18" t="n">
        <v/>
      </c>
      <c r="L156" s="8" t="inlineStr"/>
    </row>
    <row r="157" outlineLevel="1" ht="22" customHeight="1">
      <c r="B157" s="15" t="inlineStr">
        <is>
          <t>轮组</t>
        </is>
      </c>
      <c r="C157" s="5" t="inlineStr">
        <is>
          <t>ZIPP 轮组 404 (SH)</t>
        </is>
      </c>
      <c r="D157" s="15" t="inlineStr">
        <is>
          <t>ZIPP</t>
        </is>
      </c>
      <c r="E157" s="15" t="inlineStr">
        <is>
          <t>DA/Zipp 轮组</t>
        </is>
      </c>
      <c r="F157" s="16" t="n">
        <v>25</v>
      </c>
      <c r="G157" s="16" t="n">
        <v>0</v>
      </c>
      <c r="H157" s="16">
        <f>F157+G157</f>
        <v/>
      </c>
      <c r="I157" s="16" t="n">
        <v>6500</v>
      </c>
      <c r="J157" s="16">
        <f>H157*I157</f>
        <v/>
      </c>
      <c r="K157" s="16" t="n">
        <v/>
      </c>
      <c r="L157" s="5" t="inlineStr"/>
    </row>
    <row r="158" ht="22" customHeight="1">
      <c r="B158" s="19" t="inlineStr">
        <is>
          <t>小计</t>
        </is>
      </c>
      <c r="C158" s="11" t="n"/>
      <c r="D158" s="11">
        <f>COUNTA(C154:C157)</f>
        <v/>
      </c>
      <c r="E158" s="11" t="n"/>
      <c r="F158" s="11" t="n"/>
      <c r="G158" s="11" t="n"/>
      <c r="H158" s="12">
        <f>SUM(H154:H157)</f>
        <v/>
      </c>
      <c r="I158" s="11" t="n"/>
      <c r="J158" s="12">
        <f>SUM(J154:J157)</f>
        <v/>
      </c>
      <c r="K158" s="11" t="n"/>
      <c r="L158" s="11" t="n"/>
    </row>
    <row r="159" ht="22" customHeight="1">
      <c r="B159" s="14" t="inlineStr">
        <is>
          <t>🟡 换货回商品</t>
        </is>
      </c>
    </row>
    <row r="160" outlineLevel="1" ht="22" customHeight="1">
      <c r="B160" s="17" t="inlineStr">
        <is>
          <t>轮组</t>
        </is>
      </c>
      <c r="C160" s="8" t="inlineStr">
        <is>
          <t>scope 轮组 45暗标</t>
        </is>
      </c>
      <c r="D160" s="17" t="inlineStr">
        <is>
          <t>scope</t>
        </is>
      </c>
      <c r="E160" s="17" t="inlineStr">
        <is>
          <t>换货回商品</t>
        </is>
      </c>
      <c r="F160" s="18" t="n">
        <v>1</v>
      </c>
      <c r="G160" s="18" t="n">
        <v>0</v>
      </c>
      <c r="H160" s="18">
        <f>F160+G160</f>
        <v/>
      </c>
      <c r="I160" s="18" t="n">
        <v>27500</v>
      </c>
      <c r="J160" s="18">
        <f>H160*I160</f>
        <v/>
      </c>
      <c r="K160" s="18" t="n">
        <v/>
      </c>
      <c r="L160" s="8" t="inlineStr"/>
    </row>
    <row r="161" outlineLevel="1" ht="22" customHeight="1">
      <c r="B161" s="15" t="inlineStr">
        <is>
          <t>轮组</t>
        </is>
      </c>
      <c r="C161" s="5" t="inlineStr">
        <is>
          <t>scope 轮组 65暗标</t>
        </is>
      </c>
      <c r="D161" s="15" t="inlineStr">
        <is>
          <t>scope</t>
        </is>
      </c>
      <c r="E161" s="15" t="inlineStr">
        <is>
          <t>换货回商品</t>
        </is>
      </c>
      <c r="F161" s="16" t="n">
        <v>1</v>
      </c>
      <c r="G161" s="16" t="n">
        <v>0</v>
      </c>
      <c r="H161" s="16">
        <f>F161+G161</f>
        <v/>
      </c>
      <c r="I161" s="16" t="n">
        <v>27500</v>
      </c>
      <c r="J161" s="16">
        <f>H161*I161</f>
        <v/>
      </c>
      <c r="K161" s="16" t="n">
        <v/>
      </c>
      <c r="L161" s="5" t="inlineStr"/>
    </row>
    <row r="162" outlineLevel="1" ht="22" customHeight="1">
      <c r="B162" s="17" t="inlineStr">
        <is>
          <t>轮组</t>
        </is>
      </c>
      <c r="C162" s="8" t="inlineStr">
        <is>
          <t>syncros 轮组 60（XDR）</t>
        </is>
      </c>
      <c r="D162" s="17" t="inlineStr">
        <is>
          <t>syncros</t>
        </is>
      </c>
      <c r="E162" s="17" t="inlineStr">
        <is>
          <t>换货回商品</t>
        </is>
      </c>
      <c r="F162" s="18" t="n">
        <v>1</v>
      </c>
      <c r="G162" s="18" t="n">
        <v>0</v>
      </c>
      <c r="H162" s="18">
        <f>F162+G162</f>
        <v/>
      </c>
      <c r="I162" s="18" t="n">
        <v>28000</v>
      </c>
      <c r="J162" s="18">
        <f>H162*I162</f>
        <v/>
      </c>
      <c r="K162" s="18" t="n">
        <v/>
      </c>
      <c r="L162" s="8" t="inlineStr"/>
    </row>
    <row r="163" outlineLevel="1" ht="22" customHeight="1">
      <c r="B163" s="15" t="inlineStr">
        <is>
          <t>轮组</t>
        </is>
      </c>
      <c r="C163" s="5" t="inlineStr">
        <is>
          <t>ZIPP 轮组 454(25新款）</t>
        </is>
      </c>
      <c r="D163" s="15" t="inlineStr">
        <is>
          <t>ZIPP</t>
        </is>
      </c>
      <c r="E163" s="15" t="inlineStr">
        <is>
          <t>换货回商品</t>
        </is>
      </c>
      <c r="F163" s="16" t="n">
        <v>4</v>
      </c>
      <c r="G163" s="16" t="n">
        <v>0</v>
      </c>
      <c r="H163" s="16">
        <f>F163+G163</f>
        <v/>
      </c>
      <c r="I163" s="16" t="n">
        <v>16200</v>
      </c>
      <c r="J163" s="16">
        <f>H163*I163</f>
        <v/>
      </c>
      <c r="K163" s="16" t="n">
        <v/>
      </c>
      <c r="L163" s="5" t="inlineStr"/>
    </row>
    <row r="164" ht="22" customHeight="1">
      <c r="B164" s="19" t="inlineStr">
        <is>
          <t>小计</t>
        </is>
      </c>
      <c r="C164" s="11" t="n"/>
      <c r="D164" s="11">
        <f>COUNTA(C160:C163)</f>
        <v/>
      </c>
      <c r="E164" s="11" t="n"/>
      <c r="F164" s="11" t="n"/>
      <c r="G164" s="11" t="n"/>
      <c r="H164" s="12">
        <f>SUM(H160:H163)</f>
        <v/>
      </c>
      <c r="I164" s="11" t="n"/>
      <c r="J164" s="12">
        <f>SUM(J160:J163)</f>
        <v/>
      </c>
      <c r="K164" s="11" t="n"/>
      <c r="L164" s="11" t="n"/>
    </row>
    <row r="165" ht="22" customHeight="1">
      <c r="B165" s="14" t="inlineStr">
        <is>
          <t>🟢 自营产品</t>
        </is>
      </c>
    </row>
    <row r="166" outlineLevel="1" ht="22" customHeight="1">
      <c r="B166" s="17" t="inlineStr">
        <is>
          <t>轮组</t>
        </is>
      </c>
      <c r="C166" s="8" t="inlineStr">
        <is>
          <t>ILLUSION 轮组 【暗标】 钢条 50</t>
        </is>
      </c>
      <c r="D166" s="17" t="inlineStr">
        <is>
          <t>ILLUSION</t>
        </is>
      </c>
      <c r="E166" s="17" t="inlineStr">
        <is>
          <t>自营产品</t>
        </is>
      </c>
      <c r="F166" s="18" t="n">
        <v>2</v>
      </c>
      <c r="G166" s="18" t="n">
        <v>0</v>
      </c>
      <c r="H166" s="18">
        <f>F166+G166</f>
        <v/>
      </c>
      <c r="I166" s="18" t="n">
        <v>2261</v>
      </c>
      <c r="J166" s="18">
        <f>H166*I166</f>
        <v/>
      </c>
      <c r="K166" s="18" t="n">
        <v/>
      </c>
      <c r="L166" s="8" t="inlineStr"/>
    </row>
    <row r="167" outlineLevel="1" ht="22" customHeight="1">
      <c r="B167" s="15" t="inlineStr">
        <is>
          <t>轮组</t>
        </is>
      </c>
      <c r="C167" s="5" t="inlineStr">
        <is>
          <t>ILLUSION 轮组 【暗标】钢条 40</t>
        </is>
      </c>
      <c r="D167" s="15" t="inlineStr">
        <is>
          <t>ILLUSION</t>
        </is>
      </c>
      <c r="E167" s="15" t="inlineStr">
        <is>
          <t>自营产品</t>
        </is>
      </c>
      <c r="F167" s="16" t="n">
        <v>5</v>
      </c>
      <c r="G167" s="16" t="n">
        <v>0</v>
      </c>
      <c r="H167" s="16">
        <f>F167+G167</f>
        <v/>
      </c>
      <c r="I167" s="16" t="n">
        <v>2300</v>
      </c>
      <c r="J167" s="16">
        <f>H167*I167</f>
        <v/>
      </c>
      <c r="K167" s="16" t="n">
        <v/>
      </c>
      <c r="L167" s="5" t="inlineStr"/>
    </row>
    <row r="168" outlineLevel="1" ht="22" customHeight="1">
      <c r="B168" s="17" t="inlineStr">
        <is>
          <t>轮组</t>
        </is>
      </c>
      <c r="C168" s="8" t="inlineStr">
        <is>
          <t>ILLUSION 轮组 银标 钢条 40</t>
        </is>
      </c>
      <c r="D168" s="17" t="inlineStr">
        <is>
          <t>ILLUSION</t>
        </is>
      </c>
      <c r="E168" s="17" t="inlineStr">
        <is>
          <t>自营产品</t>
        </is>
      </c>
      <c r="F168" s="18" t="n">
        <v>63</v>
      </c>
      <c r="G168" s="18" t="n">
        <v>0</v>
      </c>
      <c r="H168" s="18">
        <f>F168+G168</f>
        <v/>
      </c>
      <c r="I168" s="18" t="n">
        <v>2300</v>
      </c>
      <c r="J168" s="18">
        <f>H168*I168</f>
        <v/>
      </c>
      <c r="K168" s="18" t="n">
        <v/>
      </c>
      <c r="L168" s="8" t="inlineStr"/>
    </row>
    <row r="169" outlineLevel="1" ht="22" customHeight="1">
      <c r="B169" s="15" t="inlineStr">
        <is>
          <t>轮组</t>
        </is>
      </c>
      <c r="C169" s="5" t="inlineStr">
        <is>
          <t>ILLUSION 轮组 银标 钢条 4550</t>
        </is>
      </c>
      <c r="D169" s="15" t="inlineStr">
        <is>
          <t>ILLUSION</t>
        </is>
      </c>
      <c r="E169" s="15" t="inlineStr">
        <is>
          <t>自营产品</t>
        </is>
      </c>
      <c r="F169" s="16" t="n">
        <v>10</v>
      </c>
      <c r="G169" s="16" t="n">
        <v>0</v>
      </c>
      <c r="H169" s="16">
        <f>F169+G169</f>
        <v/>
      </c>
      <c r="I169" s="16" t="n">
        <v>1702</v>
      </c>
      <c r="J169" s="16">
        <f>H169*I169</f>
        <v/>
      </c>
      <c r="K169" s="16" t="n">
        <v/>
      </c>
      <c r="L169" s="5" t="inlineStr"/>
    </row>
    <row r="170" outlineLevel="1" ht="22" customHeight="1">
      <c r="B170" s="17" t="inlineStr">
        <is>
          <t>轮组</t>
        </is>
      </c>
      <c r="C170" s="8" t="inlineStr">
        <is>
          <t>ILLUSION 轮组 银标 钢条 50</t>
        </is>
      </c>
      <c r="D170" s="17" t="inlineStr">
        <is>
          <t>ILLUSION</t>
        </is>
      </c>
      <c r="E170" s="17" t="inlineStr">
        <is>
          <t>自营产品</t>
        </is>
      </c>
      <c r="F170" s="18" t="n">
        <v>57</v>
      </c>
      <c r="G170" s="18" t="n">
        <v>0</v>
      </c>
      <c r="H170" s="18">
        <f>F170+G170</f>
        <v/>
      </c>
      <c r="I170" s="18" t="n">
        <v>2261.4</v>
      </c>
      <c r="J170" s="18">
        <f>H170*I170</f>
        <v/>
      </c>
      <c r="K170" s="18" t="n">
        <v/>
      </c>
      <c r="L170" s="8" t="inlineStr"/>
    </row>
    <row r="171" ht="22" customHeight="1">
      <c r="B171" s="19" t="inlineStr">
        <is>
          <t>小计</t>
        </is>
      </c>
      <c r="C171" s="11" t="n"/>
      <c r="D171" s="11">
        <f>COUNTA(C166:C170)</f>
        <v/>
      </c>
      <c r="E171" s="11" t="n"/>
      <c r="F171" s="11" t="n"/>
      <c r="G171" s="11" t="n"/>
      <c r="H171" s="12">
        <f>SUM(H166:H170)</f>
        <v/>
      </c>
      <c r="I171" s="11" t="n"/>
      <c r="J171" s="12">
        <f>SUM(J166:J170)</f>
        <v/>
      </c>
      <c r="K171" s="11" t="n"/>
      <c r="L171" s="11" t="n"/>
    </row>
    <row r="172" ht="22" customHeight="1">
      <c r="B172" s="14" t="inlineStr">
        <is>
          <t>🟢 套件类</t>
        </is>
      </c>
    </row>
    <row r="173" outlineLevel="1" ht="22" customHeight="1">
      <c r="B173" s="15" t="inlineStr">
        <is>
          <t>碟片组</t>
        </is>
      </c>
      <c r="C173" s="5" t="inlineStr">
        <is>
          <t>105 碟片组 RT 70【2张160】</t>
        </is>
      </c>
      <c r="D173" s="15" t="inlineStr">
        <is>
          <t>105</t>
        </is>
      </c>
      <c r="E173" s="15" t="inlineStr">
        <is>
          <t>套件类</t>
        </is>
      </c>
      <c r="F173" s="16" t="n">
        <v>3</v>
      </c>
      <c r="G173" s="16" t="n">
        <v>0</v>
      </c>
      <c r="H173" s="16">
        <f>F173+G173</f>
        <v/>
      </c>
      <c r="I173" s="16" t="n">
        <v>155</v>
      </c>
      <c r="J173" s="16">
        <f>H173*I173</f>
        <v/>
      </c>
      <c r="K173" s="16" t="n">
        <v/>
      </c>
      <c r="L173" s="5" t="inlineStr"/>
    </row>
    <row r="174" outlineLevel="1" ht="22" customHeight="1">
      <c r="B174" s="17" t="inlineStr">
        <is>
          <t>碟片组</t>
        </is>
      </c>
      <c r="C174" s="8" t="inlineStr">
        <is>
          <t>105 碟片组 RT 70（对）</t>
        </is>
      </c>
      <c r="D174" s="17" t="inlineStr">
        <is>
          <t>105</t>
        </is>
      </c>
      <c r="E174" s="17" t="inlineStr">
        <is>
          <t>套件类</t>
        </is>
      </c>
      <c r="F174" s="18" t="n">
        <v>19</v>
      </c>
      <c r="G174" s="18" t="n">
        <v>0</v>
      </c>
      <c r="H174" s="18">
        <f>F174+G174</f>
        <v/>
      </c>
      <c r="I174" s="18" t="n">
        <v>155</v>
      </c>
      <c r="J174" s="18">
        <f>H174*I174</f>
        <v/>
      </c>
      <c r="K174" s="18" t="n">
        <v/>
      </c>
      <c r="L174" s="8" t="inlineStr"/>
    </row>
    <row r="175" outlineLevel="1" ht="22" customHeight="1">
      <c r="B175" s="15" t="inlineStr">
        <is>
          <t>碟片组</t>
        </is>
      </c>
      <c r="C175" s="5" t="inlineStr">
        <is>
          <t>UT 碟片组 CL800  (对)</t>
        </is>
      </c>
      <c r="D175" s="15" t="inlineStr">
        <is>
          <t>UT</t>
        </is>
      </c>
      <c r="E175" s="15" t="inlineStr">
        <is>
          <t>套件类</t>
        </is>
      </c>
      <c r="F175" s="16" t="n">
        <v>8</v>
      </c>
      <c r="G175" s="16" t="n">
        <v>0</v>
      </c>
      <c r="H175" s="16">
        <f>F175+G175</f>
        <v/>
      </c>
      <c r="I175" s="16" t="n">
        <v>300</v>
      </c>
      <c r="J175" s="16">
        <f>H175*I175</f>
        <v/>
      </c>
      <c r="K175" s="16" t="n">
        <v/>
      </c>
      <c r="L175" s="5" t="inlineStr"/>
    </row>
    <row r="176" outlineLevel="1" ht="22" customHeight="1">
      <c r="B176" s="17" t="inlineStr">
        <is>
          <t>碟片组</t>
        </is>
      </c>
      <c r="C176" s="8" t="inlineStr">
        <is>
          <t>UT 碟片组 CL800【2张160】</t>
        </is>
      </c>
      <c r="D176" s="17" t="inlineStr">
        <is>
          <t>UT</t>
        </is>
      </c>
      <c r="E176" s="17" t="inlineStr">
        <is>
          <t>套件类</t>
        </is>
      </c>
      <c r="F176" s="18" t="n">
        <v>12</v>
      </c>
      <c r="G176" s="18" t="n">
        <v>0</v>
      </c>
      <c r="H176" s="18">
        <f>F176+G176</f>
        <v/>
      </c>
      <c r="I176" s="18" t="n">
        <v>300</v>
      </c>
      <c r="J176" s="18">
        <f>H176*I176</f>
        <v/>
      </c>
      <c r="K176" s="18" t="n">
        <v/>
      </c>
      <c r="L176" s="8" t="inlineStr"/>
    </row>
    <row r="177" outlineLevel="1" ht="22" customHeight="1">
      <c r="B177" s="15" t="inlineStr">
        <is>
          <t>牙盘组</t>
        </is>
      </c>
      <c r="C177" s="5" t="inlineStr">
        <is>
          <t>105 牙盘组 50-34T  165</t>
        </is>
      </c>
      <c r="D177" s="15" t="inlineStr">
        <is>
          <t>105</t>
        </is>
      </c>
      <c r="E177" s="15" t="inlineStr">
        <is>
          <t>套件类</t>
        </is>
      </c>
      <c r="F177" s="16" t="n">
        <v>1</v>
      </c>
      <c r="G177" s="16" t="n">
        <v>0</v>
      </c>
      <c r="H177" s="16">
        <f>F177+G177</f>
        <v/>
      </c>
      <c r="I177" s="16" t="n">
        <v>500</v>
      </c>
      <c r="J177" s="16">
        <f>H177*I177</f>
        <v/>
      </c>
      <c r="K177" s="16" t="n">
        <v/>
      </c>
      <c r="L177" s="5" t="inlineStr"/>
    </row>
    <row r="178" outlineLevel="1" ht="22" customHeight="1">
      <c r="B178" s="17" t="inlineStr">
        <is>
          <t>牙盘组</t>
        </is>
      </c>
      <c r="C178" s="8" t="inlineStr">
        <is>
          <t>DA 牙盘组 50-34T 170</t>
        </is>
      </c>
      <c r="D178" s="17" t="inlineStr">
        <is>
          <t>DA</t>
        </is>
      </c>
      <c r="E178" s="17" t="inlineStr">
        <is>
          <t>套件类</t>
        </is>
      </c>
      <c r="F178" s="18" t="n">
        <v>2</v>
      </c>
      <c r="G178" s="18" t="n">
        <v>0</v>
      </c>
      <c r="H178" s="18">
        <f>F178+G178</f>
        <v/>
      </c>
      <c r="I178" s="18" t="n">
        <v>1944</v>
      </c>
      <c r="J178" s="18">
        <f>H178*I178</f>
        <v/>
      </c>
      <c r="K178" s="18" t="n">
        <v/>
      </c>
      <c r="L178" s="8" t="inlineStr"/>
    </row>
    <row r="179" outlineLevel="1" ht="22" customHeight="1">
      <c r="B179" s="15" t="inlineStr">
        <is>
          <t>牙盘组</t>
        </is>
      </c>
      <c r="C179" s="5" t="inlineStr">
        <is>
          <t>UT 牙盘组 50-34T 170</t>
        </is>
      </c>
      <c r="D179" s="15" t="inlineStr">
        <is>
          <t>UT</t>
        </is>
      </c>
      <c r="E179" s="15" t="inlineStr">
        <is>
          <t>套件类</t>
        </is>
      </c>
      <c r="F179" s="16" t="n">
        <v>2</v>
      </c>
      <c r="G179" s="16" t="n">
        <v>0</v>
      </c>
      <c r="H179" s="16">
        <f>F179+G179</f>
        <v/>
      </c>
      <c r="I179" s="16" t="n">
        <v>905</v>
      </c>
      <c r="J179" s="16">
        <f>H179*I179</f>
        <v/>
      </c>
      <c r="K179" s="16" t="n">
        <v/>
      </c>
      <c r="L179" s="5" t="inlineStr"/>
    </row>
    <row r="180" outlineLevel="1" ht="22" customHeight="1">
      <c r="B180" s="17" t="inlineStr">
        <is>
          <t>套件组</t>
        </is>
      </c>
      <c r="C180" s="8" t="inlineStr">
        <is>
          <t>105 套件组 基础配置</t>
        </is>
      </c>
      <c r="D180" s="17" t="inlineStr">
        <is>
          <t>105</t>
        </is>
      </c>
      <c r="E180" s="17" t="inlineStr">
        <is>
          <t>套件类</t>
        </is>
      </c>
      <c r="F180" s="18" t="n">
        <v>5</v>
      </c>
      <c r="G180" s="18" t="n">
        <v>0</v>
      </c>
      <c r="H180" s="18">
        <f>F180+G180</f>
        <v/>
      </c>
      <c r="I180" s="18" t="n">
        <v>3940</v>
      </c>
      <c r="J180" s="18">
        <f>H180*I180</f>
        <v/>
      </c>
      <c r="K180" s="18" t="n">
        <v/>
      </c>
      <c r="L180" s="8" t="inlineStr"/>
    </row>
    <row r="181" outlineLevel="1" ht="22" customHeight="1">
      <c r="B181" s="15" t="inlineStr">
        <is>
          <t>套件链条</t>
        </is>
      </c>
      <c r="C181" s="5" t="inlineStr">
        <is>
          <t>105 套件链条 M7100</t>
        </is>
      </c>
      <c r="D181" s="15" t="inlineStr">
        <is>
          <t>105</t>
        </is>
      </c>
      <c r="E181" s="15" t="inlineStr">
        <is>
          <t>套件类</t>
        </is>
      </c>
      <c r="F181" s="16" t="n">
        <v>11</v>
      </c>
      <c r="G181" s="16" t="n">
        <v>0</v>
      </c>
      <c r="H181" s="16">
        <f>F181+G181</f>
        <v/>
      </c>
      <c r="I181" s="16" t="n">
        <v>71</v>
      </c>
      <c r="J181" s="16">
        <f>H181*I181</f>
        <v/>
      </c>
      <c r="K181" s="16" t="n">
        <v/>
      </c>
      <c r="L181" s="5" t="inlineStr"/>
    </row>
    <row r="182" outlineLevel="1" ht="22" customHeight="1">
      <c r="B182" s="17" t="inlineStr">
        <is>
          <t>套件组</t>
        </is>
      </c>
      <c r="C182" s="8" t="inlineStr">
        <is>
          <t>APEX 套件组 基本配置</t>
        </is>
      </c>
      <c r="D182" s="17" t="inlineStr">
        <is>
          <t>APEX</t>
        </is>
      </c>
      <c r="E182" s="17" t="inlineStr">
        <is>
          <t>套件类</t>
        </is>
      </c>
      <c r="F182" s="18" t="n">
        <v>2</v>
      </c>
      <c r="G182" s="18" t="n">
        <v>0</v>
      </c>
      <c r="H182" s="18">
        <f>F182+G182</f>
        <v/>
      </c>
      <c r="I182" s="18" t="n">
        <v>3637.5</v>
      </c>
      <c r="J182" s="18">
        <f>H182*I182</f>
        <v/>
      </c>
      <c r="K182" s="18" t="n">
        <v/>
      </c>
      <c r="L182" s="8" t="inlineStr"/>
    </row>
    <row r="183" outlineLevel="1" ht="22" customHeight="1">
      <c r="B183" s="15" t="inlineStr">
        <is>
          <t>套件散装</t>
        </is>
      </c>
      <c r="C183" s="5" t="inlineStr">
        <is>
          <t>DA 套件散装 TT右手变+夹器</t>
        </is>
      </c>
      <c r="D183" s="15" t="inlineStr">
        <is>
          <t>DA</t>
        </is>
      </c>
      <c r="E183" s="15" t="inlineStr">
        <is>
          <t>套件类</t>
        </is>
      </c>
      <c r="F183" s="16" t="n">
        <v>24</v>
      </c>
      <c r="G183" s="16" t="n">
        <v>0</v>
      </c>
      <c r="H183" s="16">
        <f>F183+G183</f>
        <v/>
      </c>
      <c r="I183" s="16" t="n">
        <v>1882</v>
      </c>
      <c r="J183" s="16">
        <f>H183*I183</f>
        <v/>
      </c>
      <c r="K183" s="16" t="n">
        <v/>
      </c>
      <c r="L183" s="5" t="inlineStr"/>
    </row>
    <row r="184" outlineLevel="1" ht="22" customHeight="1">
      <c r="B184" s="17" t="inlineStr">
        <is>
          <t>套件散装</t>
        </is>
      </c>
      <c r="C184" s="8" t="inlineStr">
        <is>
          <t>DA 套件散装 TT套件（EW-AD305)</t>
        </is>
      </c>
      <c r="D184" s="17" t="inlineStr">
        <is>
          <t>DA</t>
        </is>
      </c>
      <c r="E184" s="17" t="inlineStr">
        <is>
          <t>套件类</t>
        </is>
      </c>
      <c r="F184" s="18" t="n">
        <v>24</v>
      </c>
      <c r="G184" s="18" t="n">
        <v>0</v>
      </c>
      <c r="H184" s="18">
        <f>F184+G184</f>
        <v/>
      </c>
      <c r="I184" s="18" t="n">
        <v>80</v>
      </c>
      <c r="J184" s="18">
        <f>H184*I184</f>
        <v/>
      </c>
      <c r="K184" s="18" t="n">
        <v/>
      </c>
      <c r="L184" s="8" t="inlineStr"/>
    </row>
    <row r="185" outlineLevel="1" ht="22" customHeight="1">
      <c r="B185" s="15" t="inlineStr">
        <is>
          <t>套件散装</t>
        </is>
      </c>
      <c r="C185" s="5" t="inlineStr">
        <is>
          <t>DA 套件散装 TT套件（SM-JC41)</t>
        </is>
      </c>
      <c r="D185" s="15" t="inlineStr">
        <is>
          <t>DA</t>
        </is>
      </c>
      <c r="E185" s="15" t="inlineStr">
        <is>
          <t>套件类</t>
        </is>
      </c>
      <c r="F185" s="16" t="n">
        <v>24</v>
      </c>
      <c r="G185" s="16" t="n">
        <v>0</v>
      </c>
      <c r="H185" s="16">
        <f>F185+G185</f>
        <v/>
      </c>
      <c r="I185" s="16" t="n">
        <v>120</v>
      </c>
      <c r="J185" s="16">
        <f>H185*I185</f>
        <v/>
      </c>
      <c r="K185" s="16" t="n">
        <v/>
      </c>
      <c r="L185" s="5" t="inlineStr"/>
    </row>
    <row r="186" outlineLevel="1" ht="22" customHeight="1">
      <c r="B186" s="17" t="inlineStr">
        <is>
          <t>套件散装</t>
        </is>
      </c>
      <c r="C186" s="8" t="inlineStr">
        <is>
          <t>DA 套件散装 TT套件（Y型电线组 EW-JC130-MM</t>
        </is>
      </c>
      <c r="D186" s="17" t="inlineStr">
        <is>
          <t>DA</t>
        </is>
      </c>
      <c r="E186" s="17" t="inlineStr">
        <is>
          <t>套件类</t>
        </is>
      </c>
      <c r="F186" s="18" t="n">
        <v>24</v>
      </c>
      <c r="G186" s="18" t="n">
        <v>0</v>
      </c>
      <c r="H186" s="18">
        <f>F186+G186</f>
        <v/>
      </c>
      <c r="I186" s="18" t="n">
        <v>267</v>
      </c>
      <c r="J186" s="18">
        <f>H186*I186</f>
        <v/>
      </c>
      <c r="K186" s="18" t="n">
        <v/>
      </c>
      <c r="L186" s="8" t="inlineStr"/>
    </row>
    <row r="187" outlineLevel="1" ht="22" customHeight="1">
      <c r="B187" s="15" t="inlineStr">
        <is>
          <t>套件散装</t>
        </is>
      </c>
      <c r="C187" s="5" t="inlineStr">
        <is>
          <t>DA 套件散装 TT手变按钮</t>
        </is>
      </c>
      <c r="D187" s="15" t="inlineStr">
        <is>
          <t>DA</t>
        </is>
      </c>
      <c r="E187" s="15" t="inlineStr">
        <is>
          <t>套件类</t>
        </is>
      </c>
      <c r="F187" s="16" t="n">
        <v>24</v>
      </c>
      <c r="G187" s="16" t="n">
        <v>0</v>
      </c>
      <c r="H187" s="16">
        <f>F187+G187</f>
        <v/>
      </c>
      <c r="I187" s="16" t="n">
        <v>882</v>
      </c>
      <c r="J187" s="16">
        <f>H187*I187</f>
        <v/>
      </c>
      <c r="K187" s="16" t="n">
        <v/>
      </c>
      <c r="L187" s="5" t="inlineStr"/>
    </row>
    <row r="188" outlineLevel="1" ht="22" customHeight="1">
      <c r="B188" s="17" t="inlineStr">
        <is>
          <t>套件组</t>
        </is>
      </c>
      <c r="C188" s="8" t="inlineStr">
        <is>
          <t>DA 套件组 基础配置</t>
        </is>
      </c>
      <c r="D188" s="17" t="inlineStr">
        <is>
          <t>DA</t>
        </is>
      </c>
      <c r="E188" s="17" t="inlineStr">
        <is>
          <t>套件类</t>
        </is>
      </c>
      <c r="F188" s="18" t="n">
        <v>18</v>
      </c>
      <c r="G188" s="18" t="n">
        <v>0</v>
      </c>
      <c r="H188" s="18">
        <f>F188+G188</f>
        <v/>
      </c>
      <c r="I188" s="18" t="n">
        <v>10356</v>
      </c>
      <c r="J188" s="18">
        <f>H188*I188</f>
        <v/>
      </c>
      <c r="K188" s="18" t="n">
        <v/>
      </c>
      <c r="L188" s="8" t="inlineStr"/>
    </row>
    <row r="189" outlineLevel="1" ht="22" customHeight="1">
      <c r="B189" s="15" t="inlineStr">
        <is>
          <t>套件链条</t>
        </is>
      </c>
      <c r="C189" s="5" t="inlineStr">
        <is>
          <t>DA 套件链条 9100</t>
        </is>
      </c>
      <c r="D189" s="15" t="inlineStr">
        <is>
          <t>DA</t>
        </is>
      </c>
      <c r="E189" s="15" t="inlineStr">
        <is>
          <t>套件类</t>
        </is>
      </c>
      <c r="F189" s="16" t="n">
        <v>2</v>
      </c>
      <c r="G189" s="16" t="n">
        <v>0</v>
      </c>
      <c r="H189" s="16">
        <f>F189+G189</f>
        <v/>
      </c>
      <c r="I189" s="16" t="n">
        <v>200</v>
      </c>
      <c r="J189" s="16">
        <f>H189*I189</f>
        <v/>
      </c>
      <c r="K189" s="16" t="n">
        <v/>
      </c>
      <c r="L189" s="5" t="inlineStr"/>
    </row>
    <row r="190" outlineLevel="1" ht="22" customHeight="1">
      <c r="B190" s="17" t="inlineStr">
        <is>
          <t>套件散装</t>
        </is>
      </c>
      <c r="C190" s="8" t="inlineStr">
        <is>
          <t>RED 套件散装 10-36T</t>
        </is>
      </c>
      <c r="D190" s="17" t="inlineStr">
        <is>
          <t>RED</t>
        </is>
      </c>
      <c r="E190" s="17" t="inlineStr">
        <is>
          <t>套件类</t>
        </is>
      </c>
      <c r="F190" s="18" t="n">
        <v>1</v>
      </c>
      <c r="G190" s="18" t="n">
        <v>0</v>
      </c>
      <c r="H190" s="18">
        <f>F190+G190</f>
        <v/>
      </c>
      <c r="I190" s="18" t="n">
        <v>3000</v>
      </c>
      <c r="J190" s="18">
        <f>H190*I190</f>
        <v/>
      </c>
      <c r="K190" s="18" t="n">
        <v/>
      </c>
      <c r="L190" s="8" t="inlineStr"/>
    </row>
    <row r="191" outlineLevel="1" ht="22" customHeight="1">
      <c r="B191" s="15" t="inlineStr">
        <is>
          <t>套件链条</t>
        </is>
      </c>
      <c r="C191" s="5" t="inlineStr">
        <is>
          <t>RED 套件链条 E1</t>
        </is>
      </c>
      <c r="D191" s="15" t="inlineStr">
        <is>
          <t>RED</t>
        </is>
      </c>
      <c r="E191" s="15" t="inlineStr">
        <is>
          <t>套件类</t>
        </is>
      </c>
      <c r="F191" s="16" t="n">
        <v>1</v>
      </c>
      <c r="G191" s="16" t="n">
        <v>0</v>
      </c>
      <c r="H191" s="16">
        <f>F191+G191</f>
        <v/>
      </c>
      <c r="I191" s="16" t="n">
        <v>300</v>
      </c>
      <c r="J191" s="16">
        <f>H191*I191</f>
        <v/>
      </c>
      <c r="K191" s="16" t="n">
        <v/>
      </c>
      <c r="L191" s="5" t="inlineStr"/>
    </row>
    <row r="192" outlineLevel="1" ht="22" customHeight="1">
      <c r="B192" s="17" t="inlineStr">
        <is>
          <t>套件散装</t>
        </is>
      </c>
      <c r="C192" s="8" t="inlineStr">
        <is>
          <t>UT 套件散装 后拨</t>
        </is>
      </c>
      <c r="D192" s="17" t="inlineStr">
        <is>
          <t>UT</t>
        </is>
      </c>
      <c r="E192" s="17" t="inlineStr">
        <is>
          <t>套件类</t>
        </is>
      </c>
      <c r="F192" s="18" t="n">
        <v>15</v>
      </c>
      <c r="G192" s="18" t="n">
        <v>0</v>
      </c>
      <c r="H192" s="18">
        <f>F192+G192</f>
        <v/>
      </c>
      <c r="I192" s="18" t="n">
        <v>1150</v>
      </c>
      <c r="J192" s="18">
        <f>H192*I192</f>
        <v/>
      </c>
      <c r="K192" s="18" t="n">
        <v/>
      </c>
      <c r="L192" s="8" t="inlineStr"/>
    </row>
    <row r="193" outlineLevel="1" ht="22" customHeight="1">
      <c r="B193" s="15" t="inlineStr">
        <is>
          <t>套件组</t>
        </is>
      </c>
      <c r="C193" s="5" t="inlineStr">
        <is>
          <t>UT 套件组 基础配置</t>
        </is>
      </c>
      <c r="D193" s="15" t="inlineStr">
        <is>
          <t>UT</t>
        </is>
      </c>
      <c r="E193" s="15" t="inlineStr">
        <is>
          <t>套件类</t>
        </is>
      </c>
      <c r="F193" s="16" t="n">
        <v>38</v>
      </c>
      <c r="G193" s="16" t="n">
        <v>0</v>
      </c>
      <c r="H193" s="16">
        <f>F193+G193</f>
        <v/>
      </c>
      <c r="I193" s="16" t="n">
        <v>5833</v>
      </c>
      <c r="J193" s="16">
        <f>H193*I193</f>
        <v/>
      </c>
      <c r="K193" s="16" t="n">
        <v/>
      </c>
      <c r="L193" s="5" t="inlineStr"/>
    </row>
    <row r="194" outlineLevel="1" ht="22" customHeight="1">
      <c r="B194" s="17" t="inlineStr">
        <is>
          <t>套件链条</t>
        </is>
      </c>
      <c r="C194" s="8" t="inlineStr">
        <is>
          <t>UT 套件链条 8100</t>
        </is>
      </c>
      <c r="D194" s="17" t="inlineStr">
        <is>
          <t>UT</t>
        </is>
      </c>
      <c r="E194" s="17" t="inlineStr">
        <is>
          <t>套件类</t>
        </is>
      </c>
      <c r="F194" s="18" t="n">
        <v>108</v>
      </c>
      <c r="G194" s="18" t="n">
        <v>0</v>
      </c>
      <c r="H194" s="18">
        <f>F194+G194</f>
        <v/>
      </c>
      <c r="I194" s="18" t="n">
        <v>130</v>
      </c>
      <c r="J194" s="18">
        <f>H194*I194</f>
        <v/>
      </c>
      <c r="K194" s="18" t="n">
        <v/>
      </c>
      <c r="L194" s="8" t="inlineStr"/>
    </row>
    <row r="195" ht="22" customHeight="1">
      <c r="B195" s="19" t="inlineStr">
        <is>
          <t>小计</t>
        </is>
      </c>
      <c r="C195" s="11" t="n"/>
      <c r="D195" s="11">
        <f>COUNTA(C173:C194)</f>
        <v/>
      </c>
      <c r="E195" s="11" t="n"/>
      <c r="F195" s="11" t="n"/>
      <c r="G195" s="11" t="n"/>
      <c r="H195" s="12">
        <f>SUM(H173:H194)</f>
        <v/>
      </c>
      <c r="I195" s="11" t="n"/>
      <c r="J195" s="12">
        <f>SUM(J173:J194)</f>
        <v/>
      </c>
      <c r="K195" s="11" t="n"/>
      <c r="L195" s="11" t="n"/>
    </row>
    <row r="196" ht="22" customHeight="1">
      <c r="B196" s="14" t="inlineStr">
        <is>
          <t>🟡 FSA 系列</t>
        </is>
      </c>
    </row>
    <row r="197" outlineLevel="1" ht="22" customHeight="1">
      <c r="B197" s="15" t="inlineStr">
        <is>
          <t>车把一体把</t>
        </is>
      </c>
      <c r="C197" s="5" t="inlineStr">
        <is>
          <t>FSA 车把一体把 ACR 400-100</t>
        </is>
      </c>
      <c r="D197" s="15" t="inlineStr">
        <is>
          <t>FSA</t>
        </is>
      </c>
      <c r="E197" s="15" t="inlineStr">
        <is>
          <t>FSA 系列</t>
        </is>
      </c>
      <c r="F197" s="16" t="n">
        <v>9</v>
      </c>
      <c r="G197" s="16" t="n">
        <v>0</v>
      </c>
      <c r="H197" s="16">
        <f>F197+G197</f>
        <v/>
      </c>
      <c r="I197" s="16" t="n">
        <v>1804</v>
      </c>
      <c r="J197" s="16">
        <f>H197*I197</f>
        <v/>
      </c>
      <c r="K197" s="16" t="n">
        <v/>
      </c>
      <c r="L197" s="5" t="inlineStr"/>
    </row>
    <row r="198" outlineLevel="1" ht="22" customHeight="1">
      <c r="B198" s="17" t="inlineStr">
        <is>
          <t>车把一体把</t>
        </is>
      </c>
      <c r="C198" s="8" t="inlineStr">
        <is>
          <t>FSA 车把一体把 ACR 420-110</t>
        </is>
      </c>
      <c r="D198" s="17" t="inlineStr">
        <is>
          <t>FSA</t>
        </is>
      </c>
      <c r="E198" s="17" t="inlineStr">
        <is>
          <t>FSA 系列</t>
        </is>
      </c>
      <c r="F198" s="18" t="n">
        <v>10</v>
      </c>
      <c r="G198" s="18" t="n">
        <v>0</v>
      </c>
      <c r="H198" s="18">
        <f>F198+G198</f>
        <v/>
      </c>
      <c r="I198" s="18" t="n">
        <v>1804</v>
      </c>
      <c r="J198" s="18">
        <f>H198*I198</f>
        <v/>
      </c>
      <c r="K198" s="18" t="n">
        <v/>
      </c>
      <c r="L198" s="8" t="inlineStr"/>
    </row>
    <row r="199" outlineLevel="1" ht="22" customHeight="1">
      <c r="B199" s="15" t="inlineStr">
        <is>
          <t>车把一体把</t>
        </is>
      </c>
      <c r="C199" s="5" t="inlineStr">
        <is>
          <t>FSA 车把一体把 ACR EVO 360-80</t>
        </is>
      </c>
      <c r="D199" s="15" t="inlineStr">
        <is>
          <t>FSA</t>
        </is>
      </c>
      <c r="E199" s="15" t="inlineStr">
        <is>
          <t>FSA 系列</t>
        </is>
      </c>
      <c r="F199" s="16" t="n">
        <v>1</v>
      </c>
      <c r="G199" s="16" t="n">
        <v>0</v>
      </c>
      <c r="H199" s="16">
        <f>F199+G199</f>
        <v/>
      </c>
      <c r="I199" s="16" t="n">
        <v>1900</v>
      </c>
      <c r="J199" s="16">
        <f>H199*I199</f>
        <v/>
      </c>
      <c r="K199" s="16" t="n">
        <v/>
      </c>
      <c r="L199" s="5" t="inlineStr"/>
    </row>
    <row r="200" ht="22" customHeight="1">
      <c r="B200" s="19" t="inlineStr">
        <is>
          <t>小计</t>
        </is>
      </c>
      <c r="C200" s="11" t="n"/>
      <c r="D200" s="11">
        <f>COUNTA(C197:C199)</f>
        <v/>
      </c>
      <c r="E200" s="11" t="n"/>
      <c r="F200" s="11" t="n"/>
      <c r="G200" s="11" t="n"/>
      <c r="H200" s="12">
        <f>SUM(H197:H199)</f>
        <v/>
      </c>
      <c r="I200" s="11" t="n"/>
      <c r="J200" s="12">
        <f>SUM(J197:J199)</f>
        <v/>
      </c>
      <c r="K200" s="11" t="n"/>
      <c r="L200" s="11" t="n"/>
    </row>
    <row r="201" ht="22" customHeight="1">
      <c r="B201" s="14" t="inlineStr">
        <is>
          <t>⚪ 配件</t>
        </is>
      </c>
    </row>
    <row r="202" outlineLevel="1" ht="22" customHeight="1">
      <c r="B202" s="17" t="inlineStr">
        <is>
          <t>内胎</t>
        </is>
      </c>
      <c r="C202" s="8" t="inlineStr">
        <is>
          <t>正新 内胎 18/25C  60mm气嘴</t>
        </is>
      </c>
      <c r="D202" s="17" t="inlineStr">
        <is>
          <t>正新</t>
        </is>
      </c>
      <c r="E202" s="17" t="inlineStr">
        <is>
          <t>配件</t>
        </is>
      </c>
      <c r="F202" s="18" t="n">
        <v>20</v>
      </c>
      <c r="G202" s="18" t="n">
        <v>0</v>
      </c>
      <c r="H202" s="18">
        <f>F202+G202</f>
        <v/>
      </c>
      <c r="I202" s="18" t="n">
        <v>10</v>
      </c>
      <c r="J202" s="18">
        <f>H202*I202</f>
        <v/>
      </c>
      <c r="K202" s="18" t="n">
        <v/>
      </c>
      <c r="L202" s="8" t="inlineStr"/>
    </row>
    <row r="203" outlineLevel="1" ht="22" customHeight="1">
      <c r="B203" s="15" t="inlineStr">
        <is>
          <t>内胎</t>
        </is>
      </c>
      <c r="C203" s="5" t="inlineStr">
        <is>
          <t>正新 内胎 18/25C  80mm气嘴</t>
        </is>
      </c>
      <c r="D203" s="15" t="inlineStr">
        <is>
          <t>正新</t>
        </is>
      </c>
      <c r="E203" s="15" t="inlineStr">
        <is>
          <t>配件</t>
        </is>
      </c>
      <c r="F203" s="16" t="n">
        <v>6</v>
      </c>
      <c r="G203" s="16" t="n">
        <v>0</v>
      </c>
      <c r="H203" s="16">
        <f>F203+G203</f>
        <v/>
      </c>
      <c r="I203" s="16" t="n">
        <v>10</v>
      </c>
      <c r="J203" s="16">
        <f>H203*I203</f>
        <v/>
      </c>
      <c r="K203" s="16" t="n">
        <v/>
      </c>
      <c r="L203" s="5" t="inlineStr"/>
    </row>
    <row r="204" outlineLevel="1" ht="22" customHeight="1">
      <c r="B204" s="17" t="inlineStr">
        <is>
          <t>内胎</t>
        </is>
      </c>
      <c r="C204" s="8" t="inlineStr">
        <is>
          <t>正新 内胎 25/32C  80mm气嘴</t>
        </is>
      </c>
      <c r="D204" s="17" t="inlineStr">
        <is>
          <t>正新</t>
        </is>
      </c>
      <c r="E204" s="17" t="inlineStr">
        <is>
          <t>配件</t>
        </is>
      </c>
      <c r="F204" s="18" t="n">
        <v>174</v>
      </c>
      <c r="G204" s="18" t="n">
        <v>0</v>
      </c>
      <c r="H204" s="18">
        <f>F204+G204</f>
        <v/>
      </c>
      <c r="I204" s="18" t="n">
        <v>10</v>
      </c>
      <c r="J204" s="18">
        <f>H204*I204</f>
        <v/>
      </c>
      <c r="K204" s="18" t="n">
        <v/>
      </c>
      <c r="L204" s="8" t="inlineStr"/>
    </row>
    <row r="205" outlineLevel="1" ht="22" customHeight="1">
      <c r="B205" s="15" t="inlineStr">
        <is>
          <t>内胎</t>
        </is>
      </c>
      <c r="C205" s="5" t="inlineStr">
        <is>
          <t>正新 内胎 29*1.9/2.35</t>
        </is>
      </c>
      <c r="D205" s="15" t="inlineStr">
        <is>
          <t>正新</t>
        </is>
      </c>
      <c r="E205" s="15" t="inlineStr">
        <is>
          <t>配件</t>
        </is>
      </c>
      <c r="F205" s="16" t="n">
        <v>8</v>
      </c>
      <c r="G205" s="16" t="n">
        <v>0</v>
      </c>
      <c r="H205" s="16">
        <f>F205+G205</f>
        <v/>
      </c>
      <c r="I205" s="16" t="n">
        <v>10</v>
      </c>
      <c r="J205" s="16">
        <f>H205*I205</f>
        <v/>
      </c>
      <c r="K205" s="16" t="n">
        <v/>
      </c>
      <c r="L205" s="5" t="inlineStr"/>
    </row>
    <row r="206" outlineLevel="1" ht="22" customHeight="1">
      <c r="B206" s="17" t="inlineStr">
        <is>
          <t>内胎</t>
        </is>
      </c>
      <c r="C206" s="8" t="inlineStr">
        <is>
          <t>正新 内胎 35/43C  80mm气嘴</t>
        </is>
      </c>
      <c r="D206" s="17" t="inlineStr">
        <is>
          <t>正新</t>
        </is>
      </c>
      <c r="E206" s="17" t="inlineStr">
        <is>
          <t>配件</t>
        </is>
      </c>
      <c r="F206" s="18" t="n">
        <v>14</v>
      </c>
      <c r="G206" s="18" t="n">
        <v>0</v>
      </c>
      <c r="H206" s="18">
        <f>F206+G206</f>
        <v/>
      </c>
      <c r="I206" s="18" t="n">
        <v>10</v>
      </c>
      <c r="J206" s="18">
        <f>H206*I206</f>
        <v/>
      </c>
      <c r="K206" s="18" t="n">
        <v/>
      </c>
      <c r="L206" s="8" t="inlineStr"/>
    </row>
    <row r="207" outlineLevel="1" ht="22" customHeight="1">
      <c r="B207" s="15" t="inlineStr">
        <is>
          <t>把带</t>
        </is>
      </c>
      <c r="C207" s="5" t="inlineStr">
        <is>
          <t>BURGH 把带 黑底白色花纹款</t>
        </is>
      </c>
      <c r="D207" s="15" t="inlineStr">
        <is>
          <t>BURGH</t>
        </is>
      </c>
      <c r="E207" s="15" t="inlineStr">
        <is>
          <t>配件</t>
        </is>
      </c>
      <c r="F207" s="16" t="n">
        <v>10</v>
      </c>
      <c r="G207" s="16" t="n">
        <v>0</v>
      </c>
      <c r="H207" s="16">
        <f>F207+G207</f>
        <v/>
      </c>
      <c r="I207" s="16" t="n">
        <v>150</v>
      </c>
      <c r="J207" s="16">
        <f>H207*I207</f>
        <v/>
      </c>
      <c r="K207" s="16" t="n">
        <v/>
      </c>
      <c r="L207" s="5" t="inlineStr"/>
    </row>
    <row r="208" outlineLevel="1" ht="22" customHeight="1">
      <c r="B208" s="17" t="inlineStr">
        <is>
          <t>把带</t>
        </is>
      </c>
      <c r="C208" s="8" t="inlineStr">
        <is>
          <t>FIZIK 把带 黑色 塑料袋包装</t>
        </is>
      </c>
      <c r="D208" s="17" t="inlineStr">
        <is>
          <t>FIZIK</t>
        </is>
      </c>
      <c r="E208" s="17" t="inlineStr">
        <is>
          <t>配件</t>
        </is>
      </c>
      <c r="F208" s="18" t="n">
        <v>59</v>
      </c>
      <c r="G208" s="18" t="n">
        <v>0</v>
      </c>
      <c r="H208" s="18">
        <f>F208+G208</f>
        <v/>
      </c>
      <c r="I208" s="18" t="n">
        <v>30</v>
      </c>
      <c r="J208" s="18">
        <f>H208*I208</f>
        <v/>
      </c>
      <c r="K208" s="18" t="n">
        <v/>
      </c>
      <c r="L208" s="8" t="inlineStr"/>
    </row>
    <row r="209" outlineLevel="1" ht="22" customHeight="1">
      <c r="B209" s="15" t="inlineStr">
        <is>
          <t>把带</t>
        </is>
      </c>
      <c r="C209" s="5" t="inlineStr">
        <is>
          <t>GUEE 把带 灰色</t>
        </is>
      </c>
      <c r="D209" s="15" t="inlineStr">
        <is>
          <t>GUEE</t>
        </is>
      </c>
      <c r="E209" s="15" t="inlineStr">
        <is>
          <t>配件</t>
        </is>
      </c>
      <c r="F209" s="16" t="n">
        <v>1</v>
      </c>
      <c r="G209" s="16" t="n">
        <v>0</v>
      </c>
      <c r="H209" s="16">
        <f>F209+G209</f>
        <v/>
      </c>
      <c r="I209" s="16" t="n">
        <v>150</v>
      </c>
      <c r="J209" s="16">
        <f>H209*I209</f>
        <v/>
      </c>
      <c r="K209" s="16" t="n">
        <v/>
      </c>
      <c r="L209" s="5" t="inlineStr"/>
    </row>
    <row r="210" outlineLevel="1" ht="22" customHeight="1">
      <c r="B210" s="17" t="inlineStr">
        <is>
          <t>把带</t>
        </is>
      </c>
      <c r="C210" s="8" t="inlineStr">
        <is>
          <t>GUEE 把带 白色</t>
        </is>
      </c>
      <c r="D210" s="17" t="inlineStr">
        <is>
          <t>GUEE</t>
        </is>
      </c>
      <c r="E210" s="17" t="inlineStr">
        <is>
          <t>配件</t>
        </is>
      </c>
      <c r="F210" s="18" t="n">
        <v>6</v>
      </c>
      <c r="G210" s="18" t="n">
        <v>0</v>
      </c>
      <c r="H210" s="18">
        <f>F210+G210</f>
        <v/>
      </c>
      <c r="I210" s="18" t="n">
        <v>120</v>
      </c>
      <c r="J210" s="18">
        <f>H210*I210</f>
        <v/>
      </c>
      <c r="K210" s="18" t="n">
        <v/>
      </c>
      <c r="L210" s="8" t="inlineStr"/>
    </row>
    <row r="211" outlineLevel="1" ht="22" customHeight="1">
      <c r="B211" s="15" t="inlineStr">
        <is>
          <t>把带</t>
        </is>
      </c>
      <c r="C211" s="5" t="inlineStr">
        <is>
          <t>GUEE 把带 粉色</t>
        </is>
      </c>
      <c r="D211" s="15" t="inlineStr">
        <is>
          <t>GUEE</t>
        </is>
      </c>
      <c r="E211" s="15" t="inlineStr">
        <is>
          <t>配件</t>
        </is>
      </c>
      <c r="F211" s="16" t="n">
        <v>4</v>
      </c>
      <c r="G211" s="16" t="n">
        <v>0</v>
      </c>
      <c r="H211" s="16">
        <f>F211+G211</f>
        <v/>
      </c>
      <c r="I211" s="16" t="n">
        <v>145</v>
      </c>
      <c r="J211" s="16">
        <f>H211*I211</f>
        <v/>
      </c>
      <c r="K211" s="16" t="n">
        <v/>
      </c>
      <c r="L211" s="5" t="inlineStr"/>
    </row>
    <row r="212" outlineLevel="1" ht="22" customHeight="1">
      <c r="B212" s="17" t="inlineStr">
        <is>
          <t>把带</t>
        </is>
      </c>
      <c r="C212" s="8" t="inlineStr">
        <is>
          <t>GUEE 把带 红色</t>
        </is>
      </c>
      <c r="D212" s="17" t="inlineStr">
        <is>
          <t>GUEE</t>
        </is>
      </c>
      <c r="E212" s="17" t="inlineStr">
        <is>
          <t>配件</t>
        </is>
      </c>
      <c r="F212" s="18" t="n">
        <v>1</v>
      </c>
      <c r="G212" s="18" t="n">
        <v>0</v>
      </c>
      <c r="H212" s="18">
        <f>F212+G212</f>
        <v/>
      </c>
      <c r="I212" s="18" t="n">
        <v>145</v>
      </c>
      <c r="J212" s="18">
        <f>H212*I212</f>
        <v/>
      </c>
      <c r="K212" s="18" t="n">
        <v/>
      </c>
      <c r="L212" s="8" t="inlineStr"/>
    </row>
    <row r="213" outlineLevel="1" ht="22" customHeight="1">
      <c r="B213" s="15" t="inlineStr">
        <is>
          <t>把带</t>
        </is>
      </c>
      <c r="C213" s="5" t="inlineStr">
        <is>
          <t>GUEE 把带 金色</t>
        </is>
      </c>
      <c r="D213" s="15" t="inlineStr">
        <is>
          <t>GUEE</t>
        </is>
      </c>
      <c r="E213" s="15" t="inlineStr">
        <is>
          <t>配件</t>
        </is>
      </c>
      <c r="F213" s="16" t="n">
        <v>4</v>
      </c>
      <c r="G213" s="16" t="n">
        <v>0</v>
      </c>
      <c r="H213" s="16">
        <f>F213+G213</f>
        <v/>
      </c>
      <c r="I213" s="16" t="n">
        <v>155</v>
      </c>
      <c r="J213" s="16">
        <f>H213*I213</f>
        <v/>
      </c>
      <c r="K213" s="16" t="n">
        <v/>
      </c>
      <c r="L213" s="5" t="inlineStr"/>
    </row>
    <row r="214" outlineLevel="1" ht="22" customHeight="1">
      <c r="B214" s="17" t="inlineStr">
        <is>
          <t>把带</t>
        </is>
      </c>
      <c r="C214" s="8" t="inlineStr">
        <is>
          <t>GUEE 把带 银色花纹</t>
        </is>
      </c>
      <c r="D214" s="17" t="inlineStr">
        <is>
          <t>GUEE</t>
        </is>
      </c>
      <c r="E214" s="17" t="inlineStr">
        <is>
          <t>配件</t>
        </is>
      </c>
      <c r="F214" s="18" t="n">
        <v>1</v>
      </c>
      <c r="G214" s="18" t="n">
        <v>0</v>
      </c>
      <c r="H214" s="18">
        <f>F214+G214</f>
        <v/>
      </c>
      <c r="I214" s="18" t="n">
        <v>150</v>
      </c>
      <c r="J214" s="18">
        <f>H214*I214</f>
        <v/>
      </c>
      <c r="K214" s="18" t="n">
        <v/>
      </c>
      <c r="L214" s="8" t="inlineStr"/>
    </row>
    <row r="215" outlineLevel="1" ht="22" customHeight="1">
      <c r="B215" s="15" t="inlineStr">
        <is>
          <t>把带</t>
        </is>
      </c>
      <c r="C215" s="5" t="inlineStr">
        <is>
          <t>GUEE 把带 黑白</t>
        </is>
      </c>
      <c r="D215" s="15" t="inlineStr">
        <is>
          <t>GUEE</t>
        </is>
      </c>
      <c r="E215" s="15" t="inlineStr">
        <is>
          <t>配件</t>
        </is>
      </c>
      <c r="F215" s="16" t="n">
        <v>13</v>
      </c>
      <c r="G215" s="16" t="n">
        <v>0</v>
      </c>
      <c r="H215" s="16">
        <f>F215+G215</f>
        <v/>
      </c>
      <c r="I215" s="16" t="n">
        <v>150</v>
      </c>
      <c r="J215" s="16">
        <f>H215*I215</f>
        <v/>
      </c>
      <c r="K215" s="16" t="n">
        <v/>
      </c>
      <c r="L215" s="5" t="inlineStr"/>
    </row>
    <row r="216" outlineLevel="1" ht="22" customHeight="1">
      <c r="B216" s="17" t="inlineStr">
        <is>
          <t>把带</t>
        </is>
      </c>
      <c r="C216" s="8" t="inlineStr">
        <is>
          <t>NPY 把带 塑料板塑封包装（白色）</t>
        </is>
      </c>
      <c r="D216" s="17" t="inlineStr">
        <is>
          <t>NPY</t>
        </is>
      </c>
      <c r="E216" s="17" t="inlineStr">
        <is>
          <t>配件</t>
        </is>
      </c>
      <c r="F216" s="18" t="n">
        <v>9</v>
      </c>
      <c r="G216" s="18" t="n">
        <v>0</v>
      </c>
      <c r="H216" s="18">
        <f>F216+G216</f>
        <v/>
      </c>
      <c r="I216" s="18" t="n">
        <v>30</v>
      </c>
      <c r="J216" s="18">
        <f>H216*I216</f>
        <v/>
      </c>
      <c r="K216" s="18" t="n">
        <v/>
      </c>
      <c r="L216" s="8" t="inlineStr"/>
    </row>
    <row r="217" outlineLevel="1" ht="22" customHeight="1">
      <c r="B217" s="15" t="inlineStr">
        <is>
          <t>把带</t>
        </is>
      </c>
      <c r="C217" s="5" t="inlineStr">
        <is>
          <t>NPY 把带 塑料板塑封包装（黑色）</t>
        </is>
      </c>
      <c r="D217" s="15" t="inlineStr">
        <is>
          <t>NPY</t>
        </is>
      </c>
      <c r="E217" s="15" t="inlineStr">
        <is>
          <t>配件</t>
        </is>
      </c>
      <c r="F217" s="16" t="n">
        <v>8</v>
      </c>
      <c r="G217" s="16" t="n">
        <v>0</v>
      </c>
      <c r="H217" s="16">
        <f>F217+G217</f>
        <v/>
      </c>
      <c r="I217" s="16" t="n">
        <v>30</v>
      </c>
      <c r="J217" s="16">
        <f>H217*I217</f>
        <v/>
      </c>
      <c r="K217" s="16" t="n">
        <v/>
      </c>
      <c r="L217" s="5" t="inlineStr"/>
    </row>
    <row r="218" outlineLevel="1" ht="22" customHeight="1">
      <c r="B218" s="17" t="inlineStr">
        <is>
          <t>把带</t>
        </is>
      </c>
      <c r="C218" s="8" t="inlineStr">
        <is>
          <t>NPY 把带 塑料盒包装</t>
        </is>
      </c>
      <c r="D218" s="17" t="inlineStr">
        <is>
          <t>NPY</t>
        </is>
      </c>
      <c r="E218" s="17" t="inlineStr">
        <is>
          <t>配件</t>
        </is>
      </c>
      <c r="F218" s="18" t="n">
        <v>17</v>
      </c>
      <c r="G218" s="18" t="n">
        <v>0</v>
      </c>
      <c r="H218" s="18">
        <f>F218+G218</f>
        <v/>
      </c>
      <c r="I218" s="18" t="n">
        <v>30</v>
      </c>
      <c r="J218" s="18">
        <f>H218*I218</f>
        <v/>
      </c>
      <c r="K218" s="18" t="n">
        <v/>
      </c>
      <c r="L218" s="8" t="inlineStr"/>
    </row>
    <row r="219" outlineLevel="1" ht="22" customHeight="1">
      <c r="B219" s="15" t="inlineStr">
        <is>
          <t>把带</t>
        </is>
      </c>
      <c r="C219" s="5" t="inlineStr">
        <is>
          <t>NPY 把带 塑料袋包装</t>
        </is>
      </c>
      <c r="D219" s="15" t="inlineStr">
        <is>
          <t>NPY</t>
        </is>
      </c>
      <c r="E219" s="15" t="inlineStr">
        <is>
          <t>配件</t>
        </is>
      </c>
      <c r="F219" s="16" t="n">
        <v>2</v>
      </c>
      <c r="G219" s="16" t="n">
        <v>0</v>
      </c>
      <c r="H219" s="16">
        <f>F219+G219</f>
        <v/>
      </c>
      <c r="I219" s="16" t="n">
        <v>30</v>
      </c>
      <c r="J219" s="16">
        <f>H219*I219</f>
        <v/>
      </c>
      <c r="K219" s="16" t="n">
        <v/>
      </c>
      <c r="L219" s="5" t="inlineStr"/>
    </row>
    <row r="220" outlineLevel="1" ht="22" customHeight="1">
      <c r="B220" s="17" t="inlineStr">
        <is>
          <t>中轴</t>
        </is>
      </c>
      <c r="C220" s="8" t="inlineStr">
        <is>
          <t>BSA 中轴 BSA转DUB 黑色 68/73（BSA 386 DB）</t>
        </is>
      </c>
      <c r="D220" s="17" t="inlineStr">
        <is>
          <t>BSA</t>
        </is>
      </c>
      <c r="E220" s="17" t="inlineStr">
        <is>
          <t>配件</t>
        </is>
      </c>
      <c r="F220" s="18" t="n">
        <v>1</v>
      </c>
      <c r="G220" s="18" t="n">
        <v>0</v>
      </c>
      <c r="H220" s="18">
        <f>F220+G220</f>
        <v/>
      </c>
      <c r="I220" s="18" t="n">
        <v>600</v>
      </c>
      <c r="J220" s="18">
        <f>H220*I220</f>
        <v/>
      </c>
      <c r="K220" s="18" t="n">
        <v/>
      </c>
      <c r="L220" s="8" t="inlineStr"/>
    </row>
    <row r="221" outlineLevel="1" ht="22" customHeight="1">
      <c r="B221" s="15" t="inlineStr">
        <is>
          <t>中轴</t>
        </is>
      </c>
      <c r="C221" s="5" t="inlineStr">
        <is>
          <t>SENICX 驭勇  中轴   ITA 29</t>
        </is>
      </c>
      <c r="D221" s="15" t="inlineStr">
        <is>
          <t>SENICX 驭勇</t>
        </is>
      </c>
      <c r="E221" s="15" t="inlineStr">
        <is>
          <t>配件</t>
        </is>
      </c>
      <c r="F221" s="16" t="n">
        <v>1</v>
      </c>
      <c r="G221" s="16" t="n">
        <v>0</v>
      </c>
      <c r="H221" s="16">
        <f>F221+G221</f>
        <v/>
      </c>
      <c r="I221" s="16" t="n">
        <v>118</v>
      </c>
      <c r="J221" s="16">
        <f>H221*I221</f>
        <v/>
      </c>
      <c r="K221" s="16" t="n">
        <v/>
      </c>
      <c r="L221" s="5" t="inlineStr"/>
    </row>
    <row r="222" outlineLevel="1" ht="22" customHeight="1">
      <c r="B222" s="17" t="inlineStr">
        <is>
          <t>中轴</t>
        </is>
      </c>
      <c r="C222" s="8" t="inlineStr">
        <is>
          <t>SENICX 驭勇  中轴  ITA  24</t>
        </is>
      </c>
      <c r="D222" s="17" t="inlineStr">
        <is>
          <t>SENICX 驭勇</t>
        </is>
      </c>
      <c r="E222" s="17" t="inlineStr">
        <is>
          <t>配件</t>
        </is>
      </c>
      <c r="F222" s="18" t="n">
        <v>3</v>
      </c>
      <c r="G222" s="18" t="n">
        <v>0</v>
      </c>
      <c r="H222" s="18">
        <f>F222+G222</f>
        <v/>
      </c>
      <c r="I222" s="18" t="n">
        <v>118</v>
      </c>
      <c r="J222" s="18">
        <f>H222*I222</f>
        <v/>
      </c>
      <c r="K222" s="18" t="n">
        <v/>
      </c>
      <c r="L222" s="8" t="inlineStr"/>
    </row>
    <row r="223" outlineLevel="1" ht="22" customHeight="1">
      <c r="B223" s="15" t="inlineStr">
        <is>
          <t>中轴</t>
        </is>
      </c>
      <c r="C223" s="5" t="inlineStr">
        <is>
          <t>SENICX 驭勇  中轴 钢球轴承 T47-68-24R</t>
        </is>
      </c>
      <c r="D223" s="15" t="inlineStr">
        <is>
          <t>SENICX 驭勇</t>
        </is>
      </c>
      <c r="E223" s="15" t="inlineStr">
        <is>
          <t>配件</t>
        </is>
      </c>
      <c r="F223" s="16" t="n">
        <v>6</v>
      </c>
      <c r="G223" s="16" t="n">
        <v>0</v>
      </c>
      <c r="H223" s="16">
        <f>F223+G223</f>
        <v/>
      </c>
      <c r="I223" s="16" t="n">
        <v>130</v>
      </c>
      <c r="J223" s="16">
        <f>H223*I223</f>
        <v/>
      </c>
      <c r="K223" s="16" t="n">
        <v/>
      </c>
      <c r="L223" s="5" t="inlineStr"/>
    </row>
    <row r="224" outlineLevel="1" ht="22" customHeight="1">
      <c r="B224" s="17" t="inlineStr">
        <is>
          <t>中轴</t>
        </is>
      </c>
      <c r="C224" s="8" t="inlineStr">
        <is>
          <t>SENICX 驭勇  中轴 钢球轴承 T47-85.5-24</t>
        </is>
      </c>
      <c r="D224" s="17" t="inlineStr">
        <is>
          <t>SENICX 驭勇</t>
        </is>
      </c>
      <c r="E224" s="17" t="inlineStr">
        <is>
          <t>配件</t>
        </is>
      </c>
      <c r="F224" s="18" t="n">
        <v>6</v>
      </c>
      <c r="G224" s="18" t="n">
        <v>0</v>
      </c>
      <c r="H224" s="18">
        <f>F224+G224</f>
        <v/>
      </c>
      <c r="I224" s="18" t="n">
        <v>130</v>
      </c>
      <c r="J224" s="18">
        <f>H224*I224</f>
        <v/>
      </c>
      <c r="K224" s="18" t="n">
        <v/>
      </c>
      <c r="L224" s="8" t="inlineStr"/>
    </row>
    <row r="225" outlineLevel="1" ht="22" customHeight="1">
      <c r="B225" s="15" t="inlineStr">
        <is>
          <t>中轴</t>
        </is>
      </c>
      <c r="C225" s="5" t="inlineStr">
        <is>
          <t>SHIMANO 中轴 中轴</t>
        </is>
      </c>
      <c r="D225" s="15" t="inlineStr">
        <is>
          <t>SHIMANO</t>
        </is>
      </c>
      <c r="E225" s="15" t="inlineStr">
        <is>
          <t>配件</t>
        </is>
      </c>
      <c r="F225" s="16" t="n">
        <v>7</v>
      </c>
      <c r="G225" s="16" t="n">
        <v>0</v>
      </c>
      <c r="H225" s="16">
        <f>F225+G225</f>
        <v/>
      </c>
      <c r="I225" s="16" t="n">
        <v>130</v>
      </c>
      <c r="J225" s="16">
        <f>H225*I225</f>
        <v/>
      </c>
      <c r="K225" s="16" t="n">
        <v/>
      </c>
      <c r="L225" s="5" t="inlineStr"/>
    </row>
    <row r="226" outlineLevel="1" ht="22" customHeight="1">
      <c r="B226" s="17" t="inlineStr">
        <is>
          <t>中轴</t>
        </is>
      </c>
      <c r="C226" s="8" t="inlineStr">
        <is>
          <t>TTBICYCLE 中轴 意大利规格</t>
        </is>
      </c>
      <c r="D226" s="17" t="inlineStr">
        <is>
          <t>TTBICYCLE</t>
        </is>
      </c>
      <c r="E226" s="17" t="inlineStr">
        <is>
          <t>配件</t>
        </is>
      </c>
      <c r="F226" s="18" t="n">
        <v>1</v>
      </c>
      <c r="G226" s="18" t="n">
        <v>0</v>
      </c>
      <c r="H226" s="18">
        <f>F226+G226</f>
        <v/>
      </c>
      <c r="I226" s="18" t="n">
        <v>210</v>
      </c>
      <c r="J226" s="18">
        <f>H226*I226</f>
        <v/>
      </c>
      <c r="K226" s="18" t="n">
        <v/>
      </c>
      <c r="L226" s="8" t="inlineStr"/>
    </row>
    <row r="227" outlineLevel="1" ht="22" customHeight="1">
      <c r="B227" s="15" t="inlineStr">
        <is>
          <t>头盔</t>
        </is>
      </c>
      <c r="C227" s="5" t="inlineStr">
        <is>
          <t>KASK 头盔 Elemento 白 L</t>
        </is>
      </c>
      <c r="D227" s="15" t="inlineStr">
        <is>
          <t>KASK</t>
        </is>
      </c>
      <c r="E227" s="15" t="inlineStr">
        <is>
          <t>配件</t>
        </is>
      </c>
      <c r="F227" s="16" t="n">
        <v>2</v>
      </c>
      <c r="G227" s="16" t="n">
        <v>0</v>
      </c>
      <c r="H227" s="16">
        <f>F227+G227</f>
        <v/>
      </c>
      <c r="I227" s="16" t="n">
        <v>1898</v>
      </c>
      <c r="J227" s="16">
        <f>H227*I227</f>
        <v/>
      </c>
      <c r="K227" s="16" t="n">
        <v/>
      </c>
      <c r="L227" s="5" t="inlineStr"/>
    </row>
    <row r="228" outlineLevel="1" ht="22" customHeight="1">
      <c r="B228" s="17" t="inlineStr">
        <is>
          <t>头盔</t>
        </is>
      </c>
      <c r="C228" s="8" t="inlineStr">
        <is>
          <t>KASK 头盔 Elemento 红 M</t>
        </is>
      </c>
      <c r="D228" s="17" t="inlineStr">
        <is>
          <t>KASK</t>
        </is>
      </c>
      <c r="E228" s="17" t="inlineStr">
        <is>
          <t>配件</t>
        </is>
      </c>
      <c r="F228" s="18" t="n">
        <v>1</v>
      </c>
      <c r="G228" s="18" t="n">
        <v>0</v>
      </c>
      <c r="H228" s="18">
        <f>F228+G228</f>
        <v/>
      </c>
      <c r="I228" s="18" t="n">
        <v>1957</v>
      </c>
      <c r="J228" s="18">
        <f>H228*I228</f>
        <v/>
      </c>
      <c r="K228" s="18" t="n">
        <v/>
      </c>
      <c r="L228" s="8" t="inlineStr"/>
    </row>
    <row r="229" outlineLevel="1" ht="22" customHeight="1">
      <c r="B229" s="15" t="inlineStr">
        <is>
          <t>头盔</t>
        </is>
      </c>
      <c r="C229" s="5" t="inlineStr">
        <is>
          <t>KASK 头盔 Elemento 黑 M</t>
        </is>
      </c>
      <c r="D229" s="15" t="inlineStr">
        <is>
          <t>KASK</t>
        </is>
      </c>
      <c r="E229" s="15" t="inlineStr">
        <is>
          <t>配件</t>
        </is>
      </c>
      <c r="F229" s="16" t="n">
        <v>2</v>
      </c>
      <c r="G229" s="16" t="n">
        <v>0</v>
      </c>
      <c r="H229" s="16">
        <f>F229+G229</f>
        <v/>
      </c>
      <c r="I229" s="16" t="n">
        <v>1898</v>
      </c>
      <c r="J229" s="16">
        <f>H229*I229</f>
        <v/>
      </c>
      <c r="K229" s="16" t="n">
        <v/>
      </c>
      <c r="L229" s="5" t="inlineStr"/>
    </row>
    <row r="230" outlineLevel="1" ht="22" customHeight="1">
      <c r="B230" s="17" t="inlineStr">
        <is>
          <t>头盔</t>
        </is>
      </c>
      <c r="C230" s="8" t="inlineStr">
        <is>
          <t>KASK 头盔 KASK MAAP 紫色 S</t>
        </is>
      </c>
      <c r="D230" s="17" t="inlineStr">
        <is>
          <t>KASK</t>
        </is>
      </c>
      <c r="E230" s="17" t="inlineStr">
        <is>
          <t>配件</t>
        </is>
      </c>
      <c r="F230" s="18" t="n">
        <v>1</v>
      </c>
      <c r="G230" s="18" t="n">
        <v>0</v>
      </c>
      <c r="H230" s="18">
        <f>F230+G230</f>
        <v/>
      </c>
      <c r="I230" s="18" t="n">
        <v>2400</v>
      </c>
      <c r="J230" s="18">
        <f>H230*I230</f>
        <v/>
      </c>
      <c r="K230" s="18" t="n">
        <v/>
      </c>
      <c r="L230" s="8" t="inlineStr"/>
    </row>
    <row r="231" outlineLevel="1" ht="22" customHeight="1">
      <c r="B231" s="15" t="inlineStr">
        <is>
          <t>头盔</t>
        </is>
      </c>
      <c r="C231" s="5" t="inlineStr">
        <is>
          <t>KASK 头盔 KASK MAAP 绿色  L</t>
        </is>
      </c>
      <c r="D231" s="15" t="inlineStr">
        <is>
          <t>KASK</t>
        </is>
      </c>
      <c r="E231" s="15" t="inlineStr">
        <is>
          <t>配件</t>
        </is>
      </c>
      <c r="F231" s="16" t="n">
        <v>1</v>
      </c>
      <c r="G231" s="16" t="n">
        <v>0</v>
      </c>
      <c r="H231" s="16">
        <f>F231+G231</f>
        <v/>
      </c>
      <c r="I231" s="16" t="n">
        <v>2400</v>
      </c>
      <c r="J231" s="16">
        <f>H231*I231</f>
        <v/>
      </c>
      <c r="K231" s="16" t="n">
        <v/>
      </c>
      <c r="L231" s="5" t="inlineStr"/>
    </row>
    <row r="232" outlineLevel="1" ht="22" customHeight="1">
      <c r="B232" s="17" t="inlineStr">
        <is>
          <t>头盔</t>
        </is>
      </c>
      <c r="C232" s="8" t="inlineStr">
        <is>
          <t>KASK 头盔 KASK MAAP 绿色 M</t>
        </is>
      </c>
      <c r="D232" s="17" t="inlineStr">
        <is>
          <t>KASK</t>
        </is>
      </c>
      <c r="E232" s="17" t="inlineStr">
        <is>
          <t>配件</t>
        </is>
      </c>
      <c r="F232" s="18" t="n">
        <v>3</v>
      </c>
      <c r="G232" s="18" t="n">
        <v>0</v>
      </c>
      <c r="H232" s="18">
        <f>F232+G232</f>
        <v/>
      </c>
      <c r="I232" s="18" t="n">
        <v>2400</v>
      </c>
      <c r="J232" s="18">
        <f>H232*I232</f>
        <v/>
      </c>
      <c r="K232" s="18" t="n">
        <v/>
      </c>
      <c r="L232" s="8" t="inlineStr"/>
    </row>
    <row r="233" outlineLevel="1" ht="22" customHeight="1">
      <c r="B233" s="15" t="inlineStr">
        <is>
          <t>头盔</t>
        </is>
      </c>
      <c r="C233" s="5" t="inlineStr">
        <is>
          <t>KASK 头盔 KASK MAAP 绿色 S</t>
        </is>
      </c>
      <c r="D233" s="15" t="inlineStr">
        <is>
          <t>KASK</t>
        </is>
      </c>
      <c r="E233" s="15" t="inlineStr">
        <is>
          <t>配件</t>
        </is>
      </c>
      <c r="F233" s="16" t="n">
        <v>2</v>
      </c>
      <c r="G233" s="16" t="n">
        <v>0</v>
      </c>
      <c r="H233" s="16">
        <f>F233+G233</f>
        <v/>
      </c>
      <c r="I233" s="16" t="n">
        <v>2400</v>
      </c>
      <c r="J233" s="16">
        <f>H233*I233</f>
        <v/>
      </c>
      <c r="K233" s="16" t="n">
        <v/>
      </c>
      <c r="L233" s="5" t="inlineStr"/>
    </row>
    <row r="234" outlineLevel="1" ht="22" customHeight="1">
      <c r="B234" s="17" t="inlineStr">
        <is>
          <t>头盔</t>
        </is>
      </c>
      <c r="C234" s="8" t="inlineStr">
        <is>
          <t>KASK 头盔 MISTRAL 黑红 M</t>
        </is>
      </c>
      <c r="D234" s="17" t="inlineStr">
        <is>
          <t>KASK</t>
        </is>
      </c>
      <c r="E234" s="17" t="inlineStr">
        <is>
          <t>配件</t>
        </is>
      </c>
      <c r="F234" s="18" t="n">
        <v>4</v>
      </c>
      <c r="G234" s="18" t="n">
        <v>0</v>
      </c>
      <c r="H234" s="18">
        <f>F234+G234</f>
        <v/>
      </c>
      <c r="I234" s="18" t="n">
        <v>1852.5</v>
      </c>
      <c r="J234" s="18">
        <f>H234*I234</f>
        <v/>
      </c>
      <c r="K234" s="18" t="n">
        <v/>
      </c>
      <c r="L234" s="8" t="inlineStr"/>
    </row>
    <row r="235" outlineLevel="1" ht="22" customHeight="1">
      <c r="B235" s="15" t="inlineStr">
        <is>
          <t>头盔</t>
        </is>
      </c>
      <c r="C235" s="5" t="inlineStr">
        <is>
          <t>KASK 头盔 NIRVANA 火爆樱桃 M</t>
        </is>
      </c>
      <c r="D235" s="15" t="inlineStr">
        <is>
          <t>KASK</t>
        </is>
      </c>
      <c r="E235" s="15" t="inlineStr">
        <is>
          <t>配件</t>
        </is>
      </c>
      <c r="F235" s="16" t="n">
        <v>2</v>
      </c>
      <c r="G235" s="16" t="n">
        <v>0</v>
      </c>
      <c r="H235" s="16">
        <f>F235+G235</f>
        <v/>
      </c>
      <c r="I235" s="16" t="n">
        <v>1833</v>
      </c>
      <c r="J235" s="16">
        <f>H235*I235</f>
        <v/>
      </c>
      <c r="K235" s="16" t="n">
        <v/>
      </c>
      <c r="L235" s="5" t="inlineStr"/>
    </row>
    <row r="236" outlineLevel="1" ht="22" customHeight="1">
      <c r="B236" s="17" t="inlineStr">
        <is>
          <t>头盔</t>
        </is>
      </c>
      <c r="C236" s="8" t="inlineStr">
        <is>
          <t>KASK 头盔 Protone Icon 咖啡 L</t>
        </is>
      </c>
      <c r="D236" s="17" t="inlineStr">
        <is>
          <t>KASK</t>
        </is>
      </c>
      <c r="E236" s="17" t="inlineStr">
        <is>
          <t>配件</t>
        </is>
      </c>
      <c r="F236" s="18" t="n">
        <v>4</v>
      </c>
      <c r="G236" s="18" t="n">
        <v>0</v>
      </c>
      <c r="H236" s="18">
        <f>F236+G236</f>
        <v/>
      </c>
      <c r="I236" s="18" t="n">
        <v>1482</v>
      </c>
      <c r="J236" s="18">
        <f>H236*I236</f>
        <v/>
      </c>
      <c r="K236" s="18" t="n">
        <v/>
      </c>
      <c r="L236" s="8" t="inlineStr"/>
    </row>
    <row r="237" outlineLevel="1" ht="22" customHeight="1">
      <c r="B237" s="15" t="inlineStr">
        <is>
          <t>头盔</t>
        </is>
      </c>
      <c r="C237" s="5" t="inlineStr">
        <is>
          <t>KASK 头盔 Protone Icon 哑光灰 L</t>
        </is>
      </c>
      <c r="D237" s="15" t="inlineStr">
        <is>
          <t>KASK</t>
        </is>
      </c>
      <c r="E237" s="15" t="inlineStr">
        <is>
          <t>配件</t>
        </is>
      </c>
      <c r="F237" s="16" t="n">
        <v>2</v>
      </c>
      <c r="G237" s="16" t="n">
        <v>0</v>
      </c>
      <c r="H237" s="16">
        <f>F237+G237</f>
        <v/>
      </c>
      <c r="I237" s="16" t="n">
        <v>1482</v>
      </c>
      <c r="J237" s="16">
        <f>H237*I237</f>
        <v/>
      </c>
      <c r="K237" s="16" t="n">
        <v/>
      </c>
      <c r="L237" s="5" t="inlineStr"/>
    </row>
    <row r="238" outlineLevel="1" ht="22" customHeight="1">
      <c r="B238" s="17" t="inlineStr">
        <is>
          <t>头盔</t>
        </is>
      </c>
      <c r="C238" s="8" t="inlineStr">
        <is>
          <t>KASK 头盔 Protone Icon 哑灰 S</t>
        </is>
      </c>
      <c r="D238" s="17" t="inlineStr">
        <is>
          <t>KASK</t>
        </is>
      </c>
      <c r="E238" s="17" t="inlineStr">
        <is>
          <t>配件</t>
        </is>
      </c>
      <c r="F238" s="18" t="n">
        <v>1</v>
      </c>
      <c r="G238" s="18" t="n">
        <v>0</v>
      </c>
      <c r="H238" s="18">
        <f>F238+G238</f>
        <v/>
      </c>
      <c r="I238" s="18" t="n">
        <v>1090</v>
      </c>
      <c r="J238" s="18">
        <f>H238*I238</f>
        <v/>
      </c>
      <c r="K238" s="18" t="n">
        <v/>
      </c>
      <c r="L238" s="8" t="inlineStr"/>
    </row>
    <row r="239" outlineLevel="1" ht="22" customHeight="1">
      <c r="B239" s="15" t="inlineStr">
        <is>
          <t>头盔</t>
        </is>
      </c>
      <c r="C239" s="5" t="inlineStr">
        <is>
          <t>KASK 头盔 Protone Icon 白 L</t>
        </is>
      </c>
      <c r="D239" s="15" t="inlineStr">
        <is>
          <t>KASK</t>
        </is>
      </c>
      <c r="E239" s="15" t="inlineStr">
        <is>
          <t>配件</t>
        </is>
      </c>
      <c r="F239" s="16" t="n">
        <v>1</v>
      </c>
      <c r="G239" s="16" t="n">
        <v>0</v>
      </c>
      <c r="H239" s="16">
        <f>F239+G239</f>
        <v/>
      </c>
      <c r="I239" s="16" t="n">
        <v>1619.38</v>
      </c>
      <c r="J239" s="16">
        <f>H239*I239</f>
        <v/>
      </c>
      <c r="K239" s="16" t="n">
        <v/>
      </c>
      <c r="L239" s="5" t="inlineStr"/>
    </row>
    <row r="240" outlineLevel="1" ht="22" customHeight="1">
      <c r="B240" s="17" t="inlineStr">
        <is>
          <t>头盔</t>
        </is>
      </c>
      <c r="C240" s="8" t="inlineStr">
        <is>
          <t>KASK 头盔 Protone 亮光黑 S</t>
        </is>
      </c>
      <c r="D240" s="17" t="inlineStr">
        <is>
          <t>KASK</t>
        </is>
      </c>
      <c r="E240" s="17" t="inlineStr">
        <is>
          <t>配件</t>
        </is>
      </c>
      <c r="F240" s="18" t="n">
        <v>1</v>
      </c>
      <c r="G240" s="18" t="n">
        <v>0</v>
      </c>
      <c r="H240" s="18">
        <f>F240+G240</f>
        <v/>
      </c>
      <c r="I240" s="18" t="n">
        <v>1528</v>
      </c>
      <c r="J240" s="18">
        <f>H240*I240</f>
        <v/>
      </c>
      <c r="K240" s="18" t="n">
        <v/>
      </c>
      <c r="L240" s="8" t="inlineStr"/>
    </row>
    <row r="241" outlineLevel="1" ht="22" customHeight="1">
      <c r="B241" s="15" t="inlineStr">
        <is>
          <t>头盔</t>
        </is>
      </c>
      <c r="C241" s="5" t="inlineStr">
        <is>
          <t>KASK 头盔 Protone 橙 L</t>
        </is>
      </c>
      <c r="D241" s="15" t="inlineStr">
        <is>
          <t>KASK</t>
        </is>
      </c>
      <c r="E241" s="15" t="inlineStr">
        <is>
          <t>配件</t>
        </is>
      </c>
      <c r="F241" s="16" t="n">
        <v>1</v>
      </c>
      <c r="G241" s="16" t="n">
        <v>0</v>
      </c>
      <c r="H241" s="16">
        <f>F241+G241</f>
        <v/>
      </c>
      <c r="I241" s="16" t="n">
        <v>1090</v>
      </c>
      <c r="J241" s="16">
        <f>H241*I241</f>
        <v/>
      </c>
      <c r="K241" s="16" t="n">
        <v/>
      </c>
      <c r="L241" s="5" t="inlineStr"/>
    </row>
    <row r="242" outlineLevel="1" ht="22" customHeight="1">
      <c r="B242" s="17" t="inlineStr">
        <is>
          <t>头盔</t>
        </is>
      </c>
      <c r="C242" s="8" t="inlineStr">
        <is>
          <t>KASK 头盔 UTOPIA  特别版 紫白色 L</t>
        </is>
      </c>
      <c r="D242" s="17" t="inlineStr">
        <is>
          <t>KASK</t>
        </is>
      </c>
      <c r="E242" s="17" t="inlineStr">
        <is>
          <t>配件</t>
        </is>
      </c>
      <c r="F242" s="18" t="n">
        <v>4</v>
      </c>
      <c r="G242" s="18" t="n">
        <v>0</v>
      </c>
      <c r="H242" s="18">
        <f>F242+G242</f>
        <v/>
      </c>
      <c r="I242" s="18" t="n">
        <v>2010</v>
      </c>
      <c r="J242" s="18">
        <f>H242*I242</f>
        <v/>
      </c>
      <c r="K242" s="18" t="n">
        <v/>
      </c>
      <c r="L242" s="8" t="inlineStr"/>
    </row>
    <row r="243" outlineLevel="1" ht="22" customHeight="1">
      <c r="B243" s="15" t="inlineStr">
        <is>
          <t>头盔</t>
        </is>
      </c>
      <c r="C243" s="5" t="inlineStr">
        <is>
          <t>KASK 头盔 Utopia 哑黑 S</t>
        </is>
      </c>
      <c r="D243" s="15" t="inlineStr">
        <is>
          <t>KASK</t>
        </is>
      </c>
      <c r="E243" s="15" t="inlineStr">
        <is>
          <t>配件</t>
        </is>
      </c>
      <c r="F243" s="16" t="n">
        <v>1</v>
      </c>
      <c r="G243" s="16" t="n">
        <v>0</v>
      </c>
      <c r="H243" s="16">
        <f>F243+G243</f>
        <v/>
      </c>
      <c r="I243" s="16" t="n">
        <v>1482</v>
      </c>
      <c r="J243" s="16">
        <f>H243*I243</f>
        <v/>
      </c>
      <c r="K243" s="16" t="n">
        <v/>
      </c>
      <c r="L243" s="5" t="inlineStr"/>
    </row>
    <row r="244" outlineLevel="1" ht="22" customHeight="1">
      <c r="B244" s="17" t="inlineStr">
        <is>
          <t>头盔</t>
        </is>
      </c>
      <c r="C244" s="8" t="inlineStr">
        <is>
          <t>KASK 头盔 Wasabi 消光白 L</t>
        </is>
      </c>
      <c r="D244" s="17" t="inlineStr">
        <is>
          <t>KASK</t>
        </is>
      </c>
      <c r="E244" s="17" t="inlineStr">
        <is>
          <t>配件</t>
        </is>
      </c>
      <c r="F244" s="18" t="n">
        <v>1</v>
      </c>
      <c r="G244" s="18" t="n">
        <v>0</v>
      </c>
      <c r="H244" s="18">
        <f>F244+G244</f>
        <v/>
      </c>
      <c r="I244" s="18" t="n">
        <v>822.5</v>
      </c>
      <c r="J244" s="18">
        <f>H244*I244</f>
        <v/>
      </c>
      <c r="K244" s="18" t="n">
        <v/>
      </c>
      <c r="L244" s="8" t="inlineStr"/>
    </row>
    <row r="245" outlineLevel="1" ht="22" customHeight="1">
      <c r="B245" s="15" t="inlineStr">
        <is>
          <t>头盔</t>
        </is>
      </c>
      <c r="C245" s="5" t="inlineStr">
        <is>
          <t>KASK 头盔 Wasabi 灰 L</t>
        </is>
      </c>
      <c r="D245" s="15" t="inlineStr">
        <is>
          <t>KASK</t>
        </is>
      </c>
      <c r="E245" s="15" t="inlineStr">
        <is>
          <t>配件</t>
        </is>
      </c>
      <c r="F245" s="16" t="n">
        <v>1</v>
      </c>
      <c r="G245" s="16" t="n">
        <v>0</v>
      </c>
      <c r="H245" s="16">
        <f>F245+G245</f>
        <v/>
      </c>
      <c r="I245" s="16" t="n">
        <v>822.5</v>
      </c>
      <c r="J245" s="16">
        <f>H245*I245</f>
        <v/>
      </c>
      <c r="K245" s="16" t="n">
        <v/>
      </c>
      <c r="L245" s="5" t="inlineStr"/>
    </row>
    <row r="246" outlineLevel="1" ht="22" customHeight="1">
      <c r="B246" s="17" t="inlineStr">
        <is>
          <t>头盔</t>
        </is>
      </c>
      <c r="C246" s="8" t="inlineStr">
        <is>
          <t>KASK 头盔 Wasabi 灰 M</t>
        </is>
      </c>
      <c r="D246" s="17" t="inlineStr">
        <is>
          <t>KASK</t>
        </is>
      </c>
      <c r="E246" s="17" t="inlineStr">
        <is>
          <t>配件</t>
        </is>
      </c>
      <c r="F246" s="18" t="n">
        <v>2</v>
      </c>
      <c r="G246" s="18" t="n">
        <v>0</v>
      </c>
      <c r="H246" s="18">
        <f>F246+G246</f>
        <v/>
      </c>
      <c r="I246" s="18" t="n">
        <v>822.5</v>
      </c>
      <c r="J246" s="18">
        <f>H246*I246</f>
        <v/>
      </c>
      <c r="K246" s="18" t="n">
        <v/>
      </c>
      <c r="L246" s="8" t="inlineStr"/>
    </row>
    <row r="247" outlineLevel="1" ht="22" customHeight="1">
      <c r="B247" s="15" t="inlineStr">
        <is>
          <t>头盔</t>
        </is>
      </c>
      <c r="C247" s="5" t="inlineStr">
        <is>
          <t>KASK 头盔 Wasabi 熔岩红 M</t>
        </is>
      </c>
      <c r="D247" s="15" t="inlineStr">
        <is>
          <t>KASK</t>
        </is>
      </c>
      <c r="E247" s="15" t="inlineStr">
        <is>
          <t>配件</t>
        </is>
      </c>
      <c r="F247" s="16" t="n">
        <v>1</v>
      </c>
      <c r="G247" s="16" t="n">
        <v>0</v>
      </c>
      <c r="H247" s="16">
        <f>F247+G247</f>
        <v/>
      </c>
      <c r="I247" s="16" t="n">
        <v>822.5</v>
      </c>
      <c r="J247" s="16">
        <f>H247*I247</f>
        <v/>
      </c>
      <c r="K247" s="16" t="n">
        <v/>
      </c>
      <c r="L247" s="5" t="inlineStr"/>
    </row>
    <row r="248" outlineLevel="1" ht="22" customHeight="1">
      <c r="B248" s="17" t="inlineStr">
        <is>
          <t>头盔</t>
        </is>
      </c>
      <c r="C248" s="8" t="inlineStr">
        <is>
          <t>KASK 头盔 Wasabi 磨砂绿 L</t>
        </is>
      </c>
      <c r="D248" s="17" t="inlineStr">
        <is>
          <t>KASK</t>
        </is>
      </c>
      <c r="E248" s="17" t="inlineStr">
        <is>
          <t>配件</t>
        </is>
      </c>
      <c r="F248" s="18" t="n">
        <v>1</v>
      </c>
      <c r="G248" s="18" t="n">
        <v>0</v>
      </c>
      <c r="H248" s="18">
        <f>F248+G248</f>
        <v/>
      </c>
      <c r="I248" s="18" t="n">
        <v>822.5</v>
      </c>
      <c r="J248" s="18">
        <f>H248*I248</f>
        <v/>
      </c>
      <c r="K248" s="18" t="n">
        <v/>
      </c>
      <c r="L248" s="8" t="inlineStr"/>
    </row>
    <row r="249" outlineLevel="1" ht="22" customHeight="1">
      <c r="B249" s="15" t="inlineStr">
        <is>
          <t>头盔</t>
        </is>
      </c>
      <c r="C249" s="5" t="inlineStr">
        <is>
          <t>LEM 头盔 Cipressa Af 黑 M</t>
        </is>
      </c>
      <c r="D249" s="15" t="inlineStr">
        <is>
          <t>LEM</t>
        </is>
      </c>
      <c r="E249" s="15" t="inlineStr">
        <is>
          <t>配件</t>
        </is>
      </c>
      <c r="F249" s="16" t="n">
        <v>1</v>
      </c>
      <c r="G249" s="16" t="n">
        <v>0</v>
      </c>
      <c r="H249" s="16">
        <f>F249+G249</f>
        <v/>
      </c>
      <c r="I249" s="16" t="n">
        <v>800</v>
      </c>
      <c r="J249" s="16">
        <f>H249*I249</f>
        <v/>
      </c>
      <c r="K249" s="16" t="n">
        <v/>
      </c>
      <c r="L249" s="5" t="inlineStr"/>
    </row>
    <row r="250" outlineLevel="1" ht="22" customHeight="1">
      <c r="B250" s="17" t="inlineStr">
        <is>
          <t>眼镜</t>
        </is>
      </c>
      <c r="C250" s="8" t="inlineStr">
        <is>
          <t>GRC 眼镜 GRC 灰框透明片 THCH系列</t>
        </is>
      </c>
      <c r="D250" s="17" t="inlineStr">
        <is>
          <t>GRC</t>
        </is>
      </c>
      <c r="E250" s="17" t="inlineStr">
        <is>
          <t>配件</t>
        </is>
      </c>
      <c r="F250" s="18" t="n">
        <v>1</v>
      </c>
      <c r="G250" s="18" t="n">
        <v>0</v>
      </c>
      <c r="H250" s="18">
        <f>F250+G250</f>
        <v/>
      </c>
      <c r="I250" s="18" t="n">
        <v>299</v>
      </c>
      <c r="J250" s="18">
        <f>H250*I250</f>
        <v/>
      </c>
      <c r="K250" s="18" t="n">
        <v/>
      </c>
      <c r="L250" s="8" t="inlineStr"/>
    </row>
    <row r="251" outlineLevel="1" ht="22" customHeight="1">
      <c r="B251" s="15" t="inlineStr">
        <is>
          <t>眼镜</t>
        </is>
      </c>
      <c r="C251" s="5" t="inlineStr">
        <is>
          <t>GRC 眼镜 GRC 白框透明片 VCCA系列</t>
        </is>
      </c>
      <c r="D251" s="15" t="inlineStr">
        <is>
          <t>GRC</t>
        </is>
      </c>
      <c r="E251" s="15" t="inlineStr">
        <is>
          <t>配件</t>
        </is>
      </c>
      <c r="F251" s="16" t="n">
        <v>1</v>
      </c>
      <c r="G251" s="16" t="n">
        <v>0</v>
      </c>
      <c r="H251" s="16">
        <f>F251+G251</f>
        <v/>
      </c>
      <c r="I251" s="16" t="n">
        <v>299</v>
      </c>
      <c r="J251" s="16">
        <f>H251*I251</f>
        <v/>
      </c>
      <c r="K251" s="16" t="n">
        <v/>
      </c>
      <c r="L251" s="5" t="inlineStr"/>
    </row>
    <row r="252" outlineLevel="1" ht="22" customHeight="1">
      <c r="B252" s="17" t="inlineStr">
        <is>
          <t>眼镜</t>
        </is>
      </c>
      <c r="C252" s="8" t="inlineStr">
        <is>
          <t>GRC 眼镜 GRC 藏蓝色</t>
        </is>
      </c>
      <c r="D252" s="17" t="inlineStr">
        <is>
          <t>GRC</t>
        </is>
      </c>
      <c r="E252" s="17" t="inlineStr">
        <is>
          <t>配件</t>
        </is>
      </c>
      <c r="F252" s="18" t="n">
        <v>1</v>
      </c>
      <c r="G252" s="18" t="n">
        <v>0</v>
      </c>
      <c r="H252" s="18">
        <f>F252+G252</f>
        <v/>
      </c>
      <c r="I252" s="18" t="n">
        <v>299</v>
      </c>
      <c r="J252" s="18">
        <f>H252*I252</f>
        <v/>
      </c>
      <c r="K252" s="18" t="n">
        <v/>
      </c>
      <c r="L252" s="8" t="inlineStr"/>
    </row>
    <row r="253" outlineLevel="1" ht="22" customHeight="1">
      <c r="B253" s="15" t="inlineStr">
        <is>
          <t>眼镜</t>
        </is>
      </c>
      <c r="C253" s="5" t="inlineStr">
        <is>
          <t>GRC 眼镜 GRC 黑框红片 VCCA系列</t>
        </is>
      </c>
      <c r="D253" s="15" t="inlineStr">
        <is>
          <t>GRC</t>
        </is>
      </c>
      <c r="E253" s="15" t="inlineStr">
        <is>
          <t>配件</t>
        </is>
      </c>
      <c r="F253" s="16" t="n">
        <v>1</v>
      </c>
      <c r="G253" s="16" t="n">
        <v>0</v>
      </c>
      <c r="H253" s="16">
        <f>F253+G253</f>
        <v/>
      </c>
      <c r="I253" s="16" t="n">
        <v>299</v>
      </c>
      <c r="J253" s="16">
        <f>H253*I253</f>
        <v/>
      </c>
      <c r="K253" s="16" t="n">
        <v/>
      </c>
      <c r="L253" s="5" t="inlineStr"/>
    </row>
    <row r="254" outlineLevel="1" ht="22" customHeight="1">
      <c r="B254" s="17" t="inlineStr">
        <is>
          <t>眼镜</t>
        </is>
      </c>
      <c r="C254" s="8" t="inlineStr">
        <is>
          <t>KOO 眼镜 KOO 白</t>
        </is>
      </c>
      <c r="D254" s="17" t="inlineStr">
        <is>
          <t>KOO</t>
        </is>
      </c>
      <c r="E254" s="17" t="inlineStr">
        <is>
          <t>配件</t>
        </is>
      </c>
      <c r="F254" s="18" t="n">
        <v>1</v>
      </c>
      <c r="G254" s="18" t="n">
        <v>0</v>
      </c>
      <c r="H254" s="18">
        <f>F254+G254</f>
        <v/>
      </c>
      <c r="I254" s="18" t="n">
        <v>1273</v>
      </c>
      <c r="J254" s="18">
        <f>H254*I254</f>
        <v/>
      </c>
      <c r="K254" s="18" t="n">
        <v/>
      </c>
      <c r="L254" s="8" t="inlineStr"/>
    </row>
    <row r="255" outlineLevel="1" ht="22" customHeight="1">
      <c r="B255" s="15" t="inlineStr">
        <is>
          <t>眼镜</t>
        </is>
      </c>
      <c r="C255" s="5" t="inlineStr">
        <is>
          <t>KOO 眼镜 KOO 黄白</t>
        </is>
      </c>
      <c r="D255" s="15" t="inlineStr">
        <is>
          <t>KOO</t>
        </is>
      </c>
      <c r="E255" s="15" t="inlineStr">
        <is>
          <t>配件</t>
        </is>
      </c>
      <c r="F255" s="16" t="n">
        <v>1</v>
      </c>
      <c r="G255" s="16" t="n">
        <v>0</v>
      </c>
      <c r="H255" s="16">
        <f>F255+G255</f>
        <v/>
      </c>
      <c r="I255" s="16" t="n">
        <v>2546</v>
      </c>
      <c r="J255" s="16">
        <f>H255*I255</f>
        <v/>
      </c>
      <c r="K255" s="16" t="n">
        <v/>
      </c>
      <c r="L255" s="5" t="inlineStr"/>
    </row>
    <row r="256" outlineLevel="1" ht="22" customHeight="1">
      <c r="B256" s="17" t="inlineStr">
        <is>
          <t>眼镜</t>
        </is>
      </c>
      <c r="C256" s="8" t="inlineStr">
        <is>
          <t>KOO 眼镜 KOO白腿无框蓝片</t>
        </is>
      </c>
      <c r="D256" s="17" t="inlineStr">
        <is>
          <t>KOO</t>
        </is>
      </c>
      <c r="E256" s="17" t="inlineStr">
        <is>
          <t>配件</t>
        </is>
      </c>
      <c r="F256" s="18" t="n">
        <v>1</v>
      </c>
      <c r="G256" s="18" t="n">
        <v>0</v>
      </c>
      <c r="H256" s="18">
        <f>F256+G256</f>
        <v/>
      </c>
      <c r="I256" s="18" t="n">
        <v>800</v>
      </c>
      <c r="J256" s="18">
        <f>H256*I256</f>
        <v/>
      </c>
      <c r="K256" s="18" t="n">
        <v/>
      </c>
      <c r="L256" s="8" t="inlineStr"/>
    </row>
    <row r="257" outlineLevel="1" ht="22" customHeight="1">
      <c r="B257" s="15" t="inlineStr">
        <is>
          <t>眼镜</t>
        </is>
      </c>
      <c r="C257" s="5" t="inlineStr">
        <is>
          <t>Kplus 眼镜 Kplus 松柏红</t>
        </is>
      </c>
      <c r="D257" s="15" t="inlineStr">
        <is>
          <t>Kplus</t>
        </is>
      </c>
      <c r="E257" s="15" t="inlineStr">
        <is>
          <t>配件</t>
        </is>
      </c>
      <c r="F257" s="16" t="n">
        <v>1</v>
      </c>
      <c r="G257" s="16" t="n">
        <v>0</v>
      </c>
      <c r="H257" s="16">
        <f>F257+G257</f>
        <v/>
      </c>
      <c r="I257" s="16" t="n">
        <v>425</v>
      </c>
      <c r="J257" s="16">
        <f>H257*I257</f>
        <v/>
      </c>
      <c r="K257" s="16" t="n">
        <v/>
      </c>
      <c r="L257" s="5" t="inlineStr"/>
    </row>
    <row r="258" outlineLevel="1" ht="22" customHeight="1">
      <c r="B258" s="17" t="inlineStr">
        <is>
          <t>眼镜</t>
        </is>
      </c>
      <c r="C258" s="8" t="inlineStr">
        <is>
          <t>Kplus 眼镜 Kplus 果冻白</t>
        </is>
      </c>
      <c r="D258" s="17" t="inlineStr">
        <is>
          <t>Kplus</t>
        </is>
      </c>
      <c r="E258" s="17" t="inlineStr">
        <is>
          <t>配件</t>
        </is>
      </c>
      <c r="F258" s="18" t="n">
        <v>2</v>
      </c>
      <c r="G258" s="18" t="n">
        <v>0</v>
      </c>
      <c r="H258" s="18">
        <f>F258+G258</f>
        <v/>
      </c>
      <c r="I258" s="18" t="n">
        <v>425</v>
      </c>
      <c r="J258" s="18">
        <f>H258*I258</f>
        <v/>
      </c>
      <c r="K258" s="18" t="n">
        <v/>
      </c>
      <c r="L258" s="8" t="inlineStr"/>
    </row>
    <row r="259" outlineLevel="1" ht="22" customHeight="1">
      <c r="B259" s="15" t="inlineStr">
        <is>
          <t>眼镜</t>
        </is>
      </c>
      <c r="C259" s="5" t="inlineStr">
        <is>
          <t>Kplus 眼镜 Kplus 烟熏灰</t>
        </is>
      </c>
      <c r="D259" s="15" t="inlineStr">
        <is>
          <t>Kplus</t>
        </is>
      </c>
      <c r="E259" s="15" t="inlineStr">
        <is>
          <t>配件</t>
        </is>
      </c>
      <c r="F259" s="16" t="n">
        <v>1</v>
      </c>
      <c r="G259" s="16" t="n">
        <v>0</v>
      </c>
      <c r="H259" s="16">
        <f>F259+G259</f>
        <v/>
      </c>
      <c r="I259" s="16" t="n">
        <v>425</v>
      </c>
      <c r="J259" s="16">
        <f>H259*I259</f>
        <v/>
      </c>
      <c r="K259" s="16" t="n">
        <v/>
      </c>
      <c r="L259" s="5" t="inlineStr"/>
    </row>
    <row r="260" outlineLevel="1" ht="22" customHeight="1">
      <c r="B260" s="17" t="inlineStr">
        <is>
          <t>眼镜</t>
        </is>
      </c>
      <c r="C260" s="8" t="inlineStr">
        <is>
          <t>Rapha 眼镜 Rapha pro team 海军蓝</t>
        </is>
      </c>
      <c r="D260" s="17" t="inlineStr">
        <is>
          <t>Rapha</t>
        </is>
      </c>
      <c r="E260" s="17" t="inlineStr">
        <is>
          <t>配件</t>
        </is>
      </c>
      <c r="F260" s="18" t="n">
        <v>2</v>
      </c>
      <c r="G260" s="18" t="n">
        <v>0</v>
      </c>
      <c r="H260" s="18">
        <f>F260+G260</f>
        <v/>
      </c>
      <c r="I260" s="18" t="n">
        <v>921</v>
      </c>
      <c r="J260" s="18">
        <f>H260*I260</f>
        <v/>
      </c>
      <c r="K260" s="18" t="n">
        <v/>
      </c>
      <c r="L260" s="8" t="inlineStr"/>
    </row>
    <row r="261" outlineLevel="1" ht="22" customHeight="1">
      <c r="B261" s="15" t="inlineStr">
        <is>
          <t>眼镜</t>
        </is>
      </c>
      <c r="C261" s="5" t="inlineStr">
        <is>
          <t>Rapha 眼镜 Rapha pro team 白色</t>
        </is>
      </c>
      <c r="D261" s="15" t="inlineStr">
        <is>
          <t>Rapha</t>
        </is>
      </c>
      <c r="E261" s="15" t="inlineStr">
        <is>
          <t>配件</t>
        </is>
      </c>
      <c r="F261" s="16" t="n">
        <v>1</v>
      </c>
      <c r="G261" s="16" t="n">
        <v>0</v>
      </c>
      <c r="H261" s="16">
        <f>F261+G261</f>
        <v/>
      </c>
      <c r="I261" s="16" t="n">
        <v>921</v>
      </c>
      <c r="J261" s="16">
        <f>H261*I261</f>
        <v/>
      </c>
      <c r="K261" s="16" t="n">
        <v/>
      </c>
      <c r="L261" s="5" t="inlineStr"/>
    </row>
    <row r="262" outlineLevel="1" ht="22" customHeight="1">
      <c r="B262" s="17" t="inlineStr">
        <is>
          <t>眼镜</t>
        </is>
      </c>
      <c r="C262" s="8" t="inlineStr">
        <is>
          <t>Rapha 眼镜 Rapha 无边框 1800元无边框有原盒</t>
        </is>
      </c>
      <c r="D262" s="17" t="inlineStr">
        <is>
          <t>Rapha</t>
        </is>
      </c>
      <c r="E262" s="17" t="inlineStr">
        <is>
          <t>配件</t>
        </is>
      </c>
      <c r="F262" s="18" t="n">
        <v>1</v>
      </c>
      <c r="G262" s="18" t="n">
        <v>0</v>
      </c>
      <c r="H262" s="18">
        <f>F262+G262</f>
        <v/>
      </c>
      <c r="I262" s="18" t="n">
        <v>921</v>
      </c>
      <c r="J262" s="18">
        <f>H262*I262</f>
        <v/>
      </c>
      <c r="K262" s="18" t="n">
        <v/>
      </c>
      <c r="L262" s="8" t="inlineStr"/>
    </row>
    <row r="263" outlineLevel="1" ht="22" customHeight="1">
      <c r="B263" s="15" t="inlineStr">
        <is>
          <t>眼镜</t>
        </is>
      </c>
      <c r="C263" s="5" t="inlineStr">
        <is>
          <t>Rapha 眼镜 Rapha 无边框 在ROO盒子里面</t>
        </is>
      </c>
      <c r="D263" s="15" t="inlineStr">
        <is>
          <t>Rapha</t>
        </is>
      </c>
      <c r="E263" s="15" t="inlineStr">
        <is>
          <t>配件</t>
        </is>
      </c>
      <c r="F263" s="16" t="n">
        <v>1</v>
      </c>
      <c r="G263" s="16" t="n">
        <v>0</v>
      </c>
      <c r="H263" s="16">
        <f>F263+G263</f>
        <v/>
      </c>
      <c r="I263" s="16" t="n">
        <v>921</v>
      </c>
      <c r="J263" s="16">
        <f>H263*I263</f>
        <v/>
      </c>
      <c r="K263" s="16" t="n">
        <v/>
      </c>
      <c r="L263" s="5" t="inlineStr"/>
    </row>
    <row r="264" outlineLevel="1" ht="22" customHeight="1">
      <c r="B264" s="17" t="inlineStr">
        <is>
          <t>眼镜</t>
        </is>
      </c>
      <c r="C264" s="8" t="inlineStr">
        <is>
          <t>Rapha 眼镜 RCC PT 黑</t>
        </is>
      </c>
      <c r="D264" s="17" t="inlineStr">
        <is>
          <t>Rapha</t>
        </is>
      </c>
      <c r="E264" s="17" t="inlineStr">
        <is>
          <t>配件</t>
        </is>
      </c>
      <c r="F264" s="18" t="n">
        <v>4</v>
      </c>
      <c r="G264" s="18" t="n">
        <v>0</v>
      </c>
      <c r="H264" s="18">
        <f>F264+G264</f>
        <v/>
      </c>
      <c r="I264" s="18" t="n">
        <v>921</v>
      </c>
      <c r="J264" s="18">
        <f>H264*I264</f>
        <v/>
      </c>
      <c r="K264" s="18" t="n">
        <v/>
      </c>
      <c r="L264" s="8" t="inlineStr"/>
    </row>
    <row r="265" outlineLevel="1" ht="22" customHeight="1">
      <c r="B265" s="15" t="inlineStr">
        <is>
          <t>骑行服</t>
        </is>
      </c>
      <c r="C265" s="5" t="inlineStr">
        <is>
          <t>HIRZL 骑行服 GRIPPP TOUR 2.0 手套</t>
        </is>
      </c>
      <c r="D265" s="15" t="inlineStr">
        <is>
          <t>HIRZL</t>
        </is>
      </c>
      <c r="E265" s="15" t="inlineStr">
        <is>
          <t>配件</t>
        </is>
      </c>
      <c r="F265" s="16" t="n">
        <v>1</v>
      </c>
      <c r="G265" s="16" t="n">
        <v>0</v>
      </c>
      <c r="H265" s="16">
        <f>F265+G265</f>
        <v/>
      </c>
      <c r="I265" s="16" t="n">
        <v>246</v>
      </c>
      <c r="J265" s="16">
        <f>H265*I265</f>
        <v/>
      </c>
      <c r="K265" s="16" t="n">
        <v/>
      </c>
      <c r="L265" s="5" t="inlineStr"/>
    </row>
    <row r="266" outlineLevel="1" ht="22" customHeight="1">
      <c r="B266" s="17" t="inlineStr">
        <is>
          <t>骑行服</t>
        </is>
      </c>
      <c r="C266" s="8" t="inlineStr">
        <is>
          <t>PISSEI 骑行服 UAE  RACE 短袖上衣 （UAEM0CH） M码</t>
        </is>
      </c>
      <c r="D266" s="17" t="inlineStr">
        <is>
          <t>PISSEI</t>
        </is>
      </c>
      <c r="E266" s="17" t="inlineStr">
        <is>
          <t>配件</t>
        </is>
      </c>
      <c r="F266" s="18" t="n">
        <v>1</v>
      </c>
      <c r="G266" s="18" t="n">
        <v>0</v>
      </c>
      <c r="H266" s="18">
        <f>F266+G266</f>
        <v/>
      </c>
      <c r="I266" s="18" t="n">
        <v>930</v>
      </c>
      <c r="J266" s="18">
        <f>H266*I266</f>
        <v/>
      </c>
      <c r="K266" s="18" t="n">
        <v/>
      </c>
      <c r="L266" s="8" t="inlineStr"/>
    </row>
    <row r="267" outlineLevel="1" ht="22" customHeight="1">
      <c r="B267" s="15" t="inlineStr">
        <is>
          <t>骑行服</t>
        </is>
      </c>
      <c r="C267" s="5" t="inlineStr">
        <is>
          <t>PISSEI 骑行服 UAE  RACE 短袖上衣 （UAEM0CH） XL码</t>
        </is>
      </c>
      <c r="D267" s="15" t="inlineStr">
        <is>
          <t>PISSEI</t>
        </is>
      </c>
      <c r="E267" s="15" t="inlineStr">
        <is>
          <t>配件</t>
        </is>
      </c>
      <c r="F267" s="16" t="n">
        <v>1</v>
      </c>
      <c r="G267" s="16" t="n">
        <v>0</v>
      </c>
      <c r="H267" s="16">
        <f>F267+G267</f>
        <v/>
      </c>
      <c r="I267" s="16" t="n">
        <v>930</v>
      </c>
      <c r="J267" s="16">
        <f>H267*I267</f>
        <v/>
      </c>
      <c r="K267" s="16" t="n">
        <v/>
      </c>
      <c r="L267" s="5" t="inlineStr"/>
    </row>
    <row r="268" outlineLevel="1" ht="22" customHeight="1">
      <c r="B268" s="17" t="inlineStr">
        <is>
          <t>骑行服</t>
        </is>
      </c>
      <c r="C268" s="8" t="inlineStr">
        <is>
          <t>PISSEI 骑行服 UAE  RACE 短袖上衣 （UAEM0CH）L码</t>
        </is>
      </c>
      <c r="D268" s="17" t="inlineStr">
        <is>
          <t>PISSEI</t>
        </is>
      </c>
      <c r="E268" s="17" t="inlineStr">
        <is>
          <t>配件</t>
        </is>
      </c>
      <c r="F268" s="18" t="n">
        <v>1</v>
      </c>
      <c r="G268" s="18" t="n">
        <v>0</v>
      </c>
      <c r="H268" s="18">
        <f>F268+G268</f>
        <v/>
      </c>
      <c r="I268" s="18" t="n">
        <v>930</v>
      </c>
      <c r="J268" s="18">
        <f>H268*I268</f>
        <v/>
      </c>
      <c r="K268" s="18" t="n">
        <v/>
      </c>
      <c r="L268" s="8" t="inlineStr"/>
    </row>
    <row r="269" outlineLevel="1" ht="22" customHeight="1">
      <c r="B269" s="15" t="inlineStr">
        <is>
          <t>骑行服</t>
        </is>
      </c>
      <c r="C269" s="5" t="inlineStr">
        <is>
          <t>PISSEI 骑行服 葡萄牙国家冠军 RACE 短袖上衣（UAEM01P）XS码</t>
        </is>
      </c>
      <c r="D269" s="15" t="inlineStr">
        <is>
          <t>PISSEI</t>
        </is>
      </c>
      <c r="E269" s="15" t="inlineStr">
        <is>
          <t>配件</t>
        </is>
      </c>
      <c r="F269" s="16" t="n">
        <v>1</v>
      </c>
      <c r="G269" s="16" t="n">
        <v>0</v>
      </c>
      <c r="H269" s="16">
        <f>F269+G269</f>
        <v/>
      </c>
      <c r="I269" s="16" t="n">
        <v>930</v>
      </c>
      <c r="J269" s="16">
        <f>H269*I269</f>
        <v/>
      </c>
      <c r="K269" s="16" t="n">
        <v/>
      </c>
      <c r="L269" s="5" t="inlineStr"/>
    </row>
    <row r="270" outlineLevel="1" ht="22" customHeight="1">
      <c r="B270" s="17" t="inlineStr">
        <is>
          <t>骑行服</t>
        </is>
      </c>
      <c r="C270" s="8" t="inlineStr">
        <is>
          <t>PISSEI 骑行服 葡萄牙国家冠军 连体服（UAEM012PR）XXL码</t>
        </is>
      </c>
      <c r="D270" s="17" t="inlineStr">
        <is>
          <t>PISSEI</t>
        </is>
      </c>
      <c r="E270" s="17" t="inlineStr">
        <is>
          <t>配件</t>
        </is>
      </c>
      <c r="F270" s="18" t="n">
        <v>1</v>
      </c>
      <c r="G270" s="18" t="n">
        <v>0</v>
      </c>
      <c r="H270" s="18">
        <f>F270+G270</f>
        <v/>
      </c>
      <c r="I270" s="18" t="n">
        <v>1794</v>
      </c>
      <c r="J270" s="18">
        <f>H270*I270</f>
        <v/>
      </c>
      <c r="K270" s="18" t="n">
        <v/>
      </c>
      <c r="L270" s="8" t="inlineStr"/>
    </row>
    <row r="271" outlineLevel="1" ht="22" customHeight="1">
      <c r="B271" s="15" t="inlineStr">
        <is>
          <t>骑行服</t>
        </is>
      </c>
      <c r="C271" s="5" t="inlineStr">
        <is>
          <t>PISSEI 骑行服 队版 RACE 短袖上衣 （UAEM0CH）S码</t>
        </is>
      </c>
      <c r="D271" s="15" t="inlineStr">
        <is>
          <t>PISSEI</t>
        </is>
      </c>
      <c r="E271" s="15" t="inlineStr">
        <is>
          <t>配件</t>
        </is>
      </c>
      <c r="F271" s="16" t="n">
        <v>1</v>
      </c>
      <c r="G271" s="16" t="n">
        <v>0</v>
      </c>
      <c r="H271" s="16">
        <f>F271+G271</f>
        <v/>
      </c>
      <c r="I271" s="16" t="n">
        <v>930</v>
      </c>
      <c r="J271" s="16">
        <f>H271*I271</f>
        <v/>
      </c>
      <c r="K271" s="16" t="n">
        <v/>
      </c>
      <c r="L271" s="5" t="inlineStr"/>
    </row>
    <row r="272" outlineLevel="1" ht="22" customHeight="1">
      <c r="B272" s="17" t="inlineStr">
        <is>
          <t>骑行服</t>
        </is>
      </c>
      <c r="C272" s="8" t="inlineStr">
        <is>
          <t>PISSEI 骑行服 队版夏季骑行手套 XS</t>
        </is>
      </c>
      <c r="D272" s="17" t="inlineStr">
        <is>
          <t>PISSEI</t>
        </is>
      </c>
      <c r="E272" s="17" t="inlineStr">
        <is>
          <t>配件</t>
        </is>
      </c>
      <c r="F272" s="18" t="n">
        <v>1</v>
      </c>
      <c r="G272" s="18" t="n">
        <v>0</v>
      </c>
      <c r="H272" s="18">
        <f>F272+G272</f>
        <v/>
      </c>
      <c r="I272" s="18" t="n">
        <v>246</v>
      </c>
      <c r="J272" s="18">
        <f>H272*I272</f>
        <v/>
      </c>
      <c r="K272" s="18" t="n">
        <v/>
      </c>
      <c r="L272" s="8" t="inlineStr"/>
    </row>
    <row r="273" outlineLevel="1" ht="22" customHeight="1">
      <c r="B273" s="15" t="inlineStr">
        <is>
          <t>骑行服</t>
        </is>
      </c>
      <c r="C273" s="5" t="inlineStr">
        <is>
          <t>PISSEI 骑行服 队版连体服 （UAEM012R）L码</t>
        </is>
      </c>
      <c r="D273" s="15" t="inlineStr">
        <is>
          <t>PISSEI</t>
        </is>
      </c>
      <c r="E273" s="15" t="inlineStr">
        <is>
          <t>配件</t>
        </is>
      </c>
      <c r="F273" s="16" t="n">
        <v>1</v>
      </c>
      <c r="G273" s="16" t="n">
        <v>0</v>
      </c>
      <c r="H273" s="16">
        <f>F273+G273</f>
        <v/>
      </c>
      <c r="I273" s="16" t="n">
        <v>1794</v>
      </c>
      <c r="J273" s="16">
        <f>H273*I273</f>
        <v/>
      </c>
      <c r="K273" s="16" t="n">
        <v/>
      </c>
      <c r="L273" s="5" t="inlineStr"/>
    </row>
    <row r="274" outlineLevel="1" ht="22" customHeight="1">
      <c r="B274" s="17" t="inlineStr">
        <is>
          <t>骑行服</t>
        </is>
      </c>
      <c r="C274" s="8" t="inlineStr">
        <is>
          <t>PISSEI 骑行服 队版连体服 （UAEM012R）XL码</t>
        </is>
      </c>
      <c r="D274" s="17" t="inlineStr">
        <is>
          <t>PISSEI</t>
        </is>
      </c>
      <c r="E274" s="17" t="inlineStr">
        <is>
          <t>配件</t>
        </is>
      </c>
      <c r="F274" s="18" t="n">
        <v>1</v>
      </c>
      <c r="G274" s="18" t="n">
        <v>0</v>
      </c>
      <c r="H274" s="18">
        <f>F274+G274</f>
        <v/>
      </c>
      <c r="I274" s="18" t="n">
        <v>1794</v>
      </c>
      <c r="J274" s="18">
        <f>H274*I274</f>
        <v/>
      </c>
      <c r="K274" s="18" t="n">
        <v/>
      </c>
      <c r="L274" s="8" t="inlineStr"/>
    </row>
    <row r="275" outlineLevel="1" ht="22" customHeight="1">
      <c r="B275" s="15" t="inlineStr">
        <is>
          <t>骑行服</t>
        </is>
      </c>
      <c r="C275" s="5" t="inlineStr">
        <is>
          <t>PISSEI 骑行服 队版马甲 （UAEM06R）S码</t>
        </is>
      </c>
      <c r="D275" s="15" t="inlineStr">
        <is>
          <t>PISSEI</t>
        </is>
      </c>
      <c r="E275" s="15" t="inlineStr">
        <is>
          <t>配件</t>
        </is>
      </c>
      <c r="F275" s="16" t="n">
        <v>1</v>
      </c>
      <c r="G275" s="16" t="n">
        <v>0</v>
      </c>
      <c r="H275" s="16">
        <f>F275+G275</f>
        <v/>
      </c>
      <c r="I275" s="16" t="n">
        <v>426</v>
      </c>
      <c r="J275" s="16">
        <f>H275*I275</f>
        <v/>
      </c>
      <c r="K275" s="16" t="n">
        <v/>
      </c>
      <c r="L275" s="5" t="inlineStr"/>
    </row>
    <row r="276" outlineLevel="1" ht="22" customHeight="1">
      <c r="B276" s="17" t="inlineStr">
        <is>
          <t>骑行服</t>
        </is>
      </c>
      <c r="C276" s="8" t="inlineStr">
        <is>
          <t>PISSEI 骑行服 队版马甲 （UAEM06R）XS码</t>
        </is>
      </c>
      <c r="D276" s="17" t="inlineStr">
        <is>
          <t>PISSEI</t>
        </is>
      </c>
      <c r="E276" s="17" t="inlineStr">
        <is>
          <t>配件</t>
        </is>
      </c>
      <c r="F276" s="18" t="n">
        <v>1</v>
      </c>
      <c r="G276" s="18" t="n">
        <v>0</v>
      </c>
      <c r="H276" s="18">
        <f>F276+G276</f>
        <v/>
      </c>
      <c r="I276" s="18" t="n">
        <v>426</v>
      </c>
      <c r="J276" s="18">
        <f>H276*I276</f>
        <v/>
      </c>
      <c r="K276" s="18" t="n">
        <v/>
      </c>
      <c r="L276" s="8" t="inlineStr"/>
    </row>
    <row r="277" outlineLevel="1" ht="22" customHeight="1">
      <c r="B277" s="15" t="inlineStr">
        <is>
          <t>骑行服</t>
        </is>
      </c>
      <c r="C277" s="5" t="inlineStr">
        <is>
          <t>PISSEI 骑行服 队版马甲 （UAEM06R）XXS码</t>
        </is>
      </c>
      <c r="D277" s="15" t="inlineStr">
        <is>
          <t>PISSEI</t>
        </is>
      </c>
      <c r="E277" s="15" t="inlineStr">
        <is>
          <t>配件</t>
        </is>
      </c>
      <c r="F277" s="16" t="n">
        <v>1</v>
      </c>
      <c r="G277" s="16" t="n">
        <v>0</v>
      </c>
      <c r="H277" s="16">
        <f>F277+G277</f>
        <v/>
      </c>
      <c r="I277" s="16" t="n">
        <v>426</v>
      </c>
      <c r="J277" s="16">
        <f>H277*I277</f>
        <v/>
      </c>
      <c r="K277" s="16" t="n">
        <v/>
      </c>
      <c r="L277" s="5" t="inlineStr"/>
    </row>
    <row r="278" outlineLevel="1" ht="22" customHeight="1">
      <c r="B278" s="17" t="inlineStr">
        <is>
          <t>骑行服</t>
        </is>
      </c>
      <c r="C278" s="8" t="inlineStr">
        <is>
          <t>RAPHA 骑行服 七分骑行裤 BSL ¥2360</t>
        </is>
      </c>
      <c r="D278" s="17" t="inlineStr">
        <is>
          <t>RAPHA</t>
        </is>
      </c>
      <c r="E278" s="17" t="inlineStr">
        <is>
          <t>配件</t>
        </is>
      </c>
      <c r="F278" s="18" t="n">
        <v>4</v>
      </c>
      <c r="G278" s="18" t="n">
        <v>0</v>
      </c>
      <c r="H278" s="18">
        <f>F278+G278</f>
        <v/>
      </c>
      <c r="I278" s="18" t="n">
        <v>1652</v>
      </c>
      <c r="J278" s="18">
        <f>H278*I278</f>
        <v/>
      </c>
      <c r="K278" s="18" t="n">
        <v/>
      </c>
      <c r="L278" s="8" t="inlineStr"/>
    </row>
    <row r="279" outlineLevel="1" ht="22" customHeight="1">
      <c r="B279" s="15" t="inlineStr">
        <is>
          <t>骑行服</t>
        </is>
      </c>
      <c r="C279" s="5" t="inlineStr">
        <is>
          <t>RAPHA 骑行服 卫衣 LPH ¥868</t>
        </is>
      </c>
      <c r="D279" s="15" t="inlineStr">
        <is>
          <t>RAPHA</t>
        </is>
      </c>
      <c r="E279" s="15" t="inlineStr">
        <is>
          <t>配件</t>
        </is>
      </c>
      <c r="F279" s="16" t="n">
        <v>2</v>
      </c>
      <c r="G279" s="16" t="n">
        <v>0</v>
      </c>
      <c r="H279" s="16">
        <f>F279+G279</f>
        <v/>
      </c>
      <c r="I279" s="16" t="n">
        <v>608</v>
      </c>
      <c r="J279" s="16">
        <f>H279*I279</f>
        <v/>
      </c>
      <c r="K279" s="16" t="n">
        <v/>
      </c>
      <c r="L279" s="5" t="inlineStr"/>
    </row>
    <row r="280" outlineLevel="1" ht="22" customHeight="1">
      <c r="B280" s="17" t="inlineStr">
        <is>
          <t>骑行服</t>
        </is>
      </c>
      <c r="C280" s="8" t="inlineStr">
        <is>
          <t>RAPHA 骑行服 手套黑色带光条</t>
        </is>
      </c>
      <c r="D280" s="17" t="inlineStr">
        <is>
          <t>RAPHA</t>
        </is>
      </c>
      <c r="E280" s="17" t="inlineStr">
        <is>
          <t>配件</t>
        </is>
      </c>
      <c r="F280" s="18" t="n">
        <v>2</v>
      </c>
      <c r="G280" s="18" t="n">
        <v>0</v>
      </c>
      <c r="H280" s="18">
        <f>F280+G280</f>
        <v/>
      </c>
      <c r="I280" s="18" t="n">
        <v>260</v>
      </c>
      <c r="J280" s="18">
        <f>H280*I280</f>
        <v/>
      </c>
      <c r="K280" s="18" t="n">
        <v/>
      </c>
      <c r="L280" s="8" t="inlineStr"/>
    </row>
    <row r="281" outlineLevel="1" ht="22" customHeight="1">
      <c r="B281" s="15" t="inlineStr">
        <is>
          <t>骑行服</t>
        </is>
      </c>
      <c r="C281" s="5" t="inlineStr">
        <is>
          <t>RAPHA 骑行服 断码T恤 ¥888</t>
        </is>
      </c>
      <c r="D281" s="15" t="inlineStr">
        <is>
          <t>RAPHA</t>
        </is>
      </c>
      <c r="E281" s="15" t="inlineStr">
        <is>
          <t>配件</t>
        </is>
      </c>
      <c r="F281" s="16" t="n">
        <v>31</v>
      </c>
      <c r="G281" s="16" t="n">
        <v>0</v>
      </c>
      <c r="H281" s="16">
        <f>F281+G281</f>
        <v/>
      </c>
      <c r="I281" s="16" t="n">
        <v>622</v>
      </c>
      <c r="J281" s="16">
        <f>H281*I281</f>
        <v/>
      </c>
      <c r="K281" s="16" t="n">
        <v/>
      </c>
      <c r="L281" s="5" t="inlineStr"/>
    </row>
    <row r="282" outlineLevel="1" ht="22" customHeight="1">
      <c r="B282" s="17" t="inlineStr">
        <is>
          <t>骑行服</t>
        </is>
      </c>
      <c r="C282" s="8" t="inlineStr">
        <is>
          <t>RAPHA 骑行服 断码风衣 ¥1599</t>
        </is>
      </c>
      <c r="D282" s="17" t="inlineStr">
        <is>
          <t>RAPHA</t>
        </is>
      </c>
      <c r="E282" s="17" t="inlineStr">
        <is>
          <t>配件</t>
        </is>
      </c>
      <c r="F282" s="18" t="n">
        <v>1</v>
      </c>
      <c r="G282" s="18" t="n">
        <v>0</v>
      </c>
      <c r="H282" s="18">
        <f>F282+G282</f>
        <v/>
      </c>
      <c r="I282" s="18" t="n">
        <v>1119</v>
      </c>
      <c r="J282" s="18">
        <f>H282*I282</f>
        <v/>
      </c>
      <c r="K282" s="18" t="n">
        <v/>
      </c>
      <c r="L282" s="8" t="inlineStr"/>
    </row>
    <row r="283" outlineLevel="1" ht="22" customHeight="1">
      <c r="B283" s="15" t="inlineStr">
        <is>
          <t>骑行服</t>
        </is>
      </c>
      <c r="C283" s="5" t="inlineStr">
        <is>
          <t>RAPHA 骑行服 短袖 ¥1599</t>
        </is>
      </c>
      <c r="D283" s="15" t="inlineStr">
        <is>
          <t>RAPHA</t>
        </is>
      </c>
      <c r="E283" s="15" t="inlineStr">
        <is>
          <t>配件</t>
        </is>
      </c>
      <c r="F283" s="16" t="n">
        <v>6</v>
      </c>
      <c r="G283" s="16" t="n">
        <v>0</v>
      </c>
      <c r="H283" s="16">
        <f>F283+G283</f>
        <v/>
      </c>
      <c r="I283" s="16" t="n">
        <v>1120</v>
      </c>
      <c r="J283" s="16">
        <f>H283*I283</f>
        <v/>
      </c>
      <c r="K283" s="16" t="n">
        <v/>
      </c>
      <c r="L283" s="5" t="inlineStr"/>
    </row>
    <row r="284" outlineLevel="1" ht="22" customHeight="1">
      <c r="B284" s="17" t="inlineStr">
        <is>
          <t>骑行服</t>
        </is>
      </c>
      <c r="C284" s="8" t="inlineStr">
        <is>
          <t>RAPHA 骑行服 粉色短袖 ¥830</t>
        </is>
      </c>
      <c r="D284" s="17" t="inlineStr">
        <is>
          <t>RAPHA</t>
        </is>
      </c>
      <c r="E284" s="17" t="inlineStr">
        <is>
          <t>配件</t>
        </is>
      </c>
      <c r="F284" s="18" t="n">
        <v>1</v>
      </c>
      <c r="G284" s="18" t="n">
        <v>0</v>
      </c>
      <c r="H284" s="18">
        <f>F284+G284</f>
        <v/>
      </c>
      <c r="I284" s="18" t="n">
        <v>581</v>
      </c>
      <c r="J284" s="18">
        <f>H284*I284</f>
        <v/>
      </c>
      <c r="K284" s="18" t="n">
        <v/>
      </c>
      <c r="L284" s="8" t="inlineStr"/>
    </row>
    <row r="285" outlineLevel="1" ht="22" customHeight="1">
      <c r="B285" s="15" t="inlineStr">
        <is>
          <t>骑行服</t>
        </is>
      </c>
      <c r="C285" s="5" t="inlineStr">
        <is>
          <t>RAPHA 骑行服 袜子 ¥199</t>
        </is>
      </c>
      <c r="D285" s="15" t="inlineStr">
        <is>
          <t>RAPHA</t>
        </is>
      </c>
      <c r="E285" s="15" t="inlineStr">
        <is>
          <t>配件</t>
        </is>
      </c>
      <c r="F285" s="16" t="n">
        <v>7</v>
      </c>
      <c r="G285" s="16" t="n">
        <v>0</v>
      </c>
      <c r="H285" s="16">
        <f>F285+G285</f>
        <v/>
      </c>
      <c r="I285" s="16" t="n">
        <v>140</v>
      </c>
      <c r="J285" s="16">
        <f>H285*I285</f>
        <v/>
      </c>
      <c r="K285" s="16" t="n">
        <v/>
      </c>
      <c r="L285" s="5" t="inlineStr"/>
    </row>
    <row r="286" outlineLevel="1" ht="22" customHeight="1">
      <c r="B286" s="17" t="inlineStr">
        <is>
          <t>骑行服</t>
        </is>
      </c>
      <c r="C286" s="8" t="inlineStr">
        <is>
          <t>RAPHA 骑行服 长袖上衣 BJR ¥1850</t>
        </is>
      </c>
      <c r="D286" s="17" t="inlineStr">
        <is>
          <t>RAPHA</t>
        </is>
      </c>
      <c r="E286" s="17" t="inlineStr">
        <is>
          <t>配件</t>
        </is>
      </c>
      <c r="F286" s="18" t="n">
        <v>1</v>
      </c>
      <c r="G286" s="18" t="n">
        <v>0</v>
      </c>
      <c r="H286" s="18">
        <f>F286+G286</f>
        <v/>
      </c>
      <c r="I286" s="18" t="n">
        <v>1295</v>
      </c>
      <c r="J286" s="18">
        <f>H286*I286</f>
        <v/>
      </c>
      <c r="K286" s="18" t="n">
        <v/>
      </c>
      <c r="L286" s="8" t="inlineStr"/>
    </row>
    <row r="287" outlineLevel="1" ht="22" customHeight="1">
      <c r="B287" s="15" t="inlineStr">
        <is>
          <t>骑行服</t>
        </is>
      </c>
      <c r="C287" s="5" t="inlineStr">
        <is>
          <t>RAPHA 骑行服 长袖上衣 CLL ¥1560</t>
        </is>
      </c>
      <c r="D287" s="15" t="inlineStr">
        <is>
          <t>RAPHA</t>
        </is>
      </c>
      <c r="E287" s="15" t="inlineStr">
        <is>
          <t>配件</t>
        </is>
      </c>
      <c r="F287" s="16" t="n">
        <v>1</v>
      </c>
      <c r="G287" s="16" t="n">
        <v>0</v>
      </c>
      <c r="H287" s="16">
        <f>F287+G287</f>
        <v/>
      </c>
      <c r="I287" s="16" t="n">
        <v>1092</v>
      </c>
      <c r="J287" s="16">
        <f>H287*I287</f>
        <v/>
      </c>
      <c r="K287" s="16" t="n">
        <v/>
      </c>
      <c r="L287" s="5" t="inlineStr"/>
    </row>
    <row r="288" outlineLevel="1" ht="22" customHeight="1">
      <c r="B288" s="17" t="inlineStr">
        <is>
          <t>骑行服</t>
        </is>
      </c>
      <c r="C288" s="8" t="inlineStr">
        <is>
          <t>RAPHA 骑行服 长裤 AHO ¥1560</t>
        </is>
      </c>
      <c r="D288" s="17" t="inlineStr">
        <is>
          <t>RAPHA</t>
        </is>
      </c>
      <c r="E288" s="17" t="inlineStr">
        <is>
          <t>配件</t>
        </is>
      </c>
      <c r="F288" s="18" t="n">
        <v>2</v>
      </c>
      <c r="G288" s="18" t="n">
        <v>0</v>
      </c>
      <c r="H288" s="18">
        <f>F288+G288</f>
        <v/>
      </c>
      <c r="I288" s="18" t="n">
        <v>1092</v>
      </c>
      <c r="J288" s="18">
        <f>H288*I288</f>
        <v/>
      </c>
      <c r="K288" s="18" t="n">
        <v/>
      </c>
      <c r="L288" s="8" t="inlineStr"/>
    </row>
    <row r="289" outlineLevel="1" ht="22" customHeight="1">
      <c r="B289" s="15" t="inlineStr">
        <is>
          <t>骑行服</t>
        </is>
      </c>
      <c r="C289" s="5" t="inlineStr">
        <is>
          <t>RAPHA 骑行服 风衣 CRR ¥1430</t>
        </is>
      </c>
      <c r="D289" s="15" t="inlineStr">
        <is>
          <t>RAPHA</t>
        </is>
      </c>
      <c r="E289" s="15" t="inlineStr">
        <is>
          <t>配件</t>
        </is>
      </c>
      <c r="F289" s="16" t="n">
        <v>3</v>
      </c>
      <c r="G289" s="16" t="n">
        <v>0</v>
      </c>
      <c r="H289" s="16">
        <f>F289+G289</f>
        <v/>
      </c>
      <c r="I289" s="16" t="n">
        <v>1001</v>
      </c>
      <c r="J289" s="16">
        <f>H289*I289</f>
        <v/>
      </c>
      <c r="K289" s="16" t="n">
        <v/>
      </c>
      <c r="L289" s="5" t="inlineStr"/>
    </row>
    <row r="290" outlineLevel="1" ht="22" customHeight="1">
      <c r="B290" s="17" t="inlineStr">
        <is>
          <t>骑行服</t>
        </is>
      </c>
      <c r="C290" s="8" t="inlineStr">
        <is>
          <t>RAPHA 骑行服 马甲 BGL ¥1220</t>
        </is>
      </c>
      <c r="D290" s="17" t="inlineStr">
        <is>
          <t>RAPHA</t>
        </is>
      </c>
      <c r="E290" s="17" t="inlineStr">
        <is>
          <t>配件</t>
        </is>
      </c>
      <c r="F290" s="18" t="n">
        <v>2</v>
      </c>
      <c r="G290" s="18" t="n">
        <v>0</v>
      </c>
      <c r="H290" s="18">
        <f>F290+G290</f>
        <v/>
      </c>
      <c r="I290" s="18" t="n">
        <v>854</v>
      </c>
      <c r="J290" s="18">
        <f>H290*I290</f>
        <v/>
      </c>
      <c r="K290" s="18" t="n">
        <v/>
      </c>
      <c r="L290" s="8" t="inlineStr"/>
    </row>
    <row r="291" outlineLevel="1" ht="22" customHeight="1">
      <c r="B291" s="15" t="inlineStr">
        <is>
          <t>骑行服</t>
        </is>
      </c>
      <c r="C291" s="5" t="inlineStr">
        <is>
          <t>RAPHA 骑行服 马甲 BIG ¥1720（厚）</t>
        </is>
      </c>
      <c r="D291" s="15" t="inlineStr">
        <is>
          <t>RAPHA</t>
        </is>
      </c>
      <c r="E291" s="15" t="inlineStr">
        <is>
          <t>配件</t>
        </is>
      </c>
      <c r="F291" s="16" t="n">
        <v>4</v>
      </c>
      <c r="G291" s="16" t="n">
        <v>0</v>
      </c>
      <c r="H291" s="16">
        <f>F291+G291</f>
        <v/>
      </c>
      <c r="I291" s="16" t="n">
        <v>1204</v>
      </c>
      <c r="J291" s="16">
        <f>H291*I291</f>
        <v/>
      </c>
      <c r="K291" s="16" t="n">
        <v/>
      </c>
      <c r="L291" s="5" t="inlineStr"/>
    </row>
    <row r="292" outlineLevel="1" ht="22" customHeight="1">
      <c r="B292" s="17" t="inlineStr">
        <is>
          <t>骑行服</t>
        </is>
      </c>
      <c r="C292" s="8" t="inlineStr">
        <is>
          <t>RCC 骑行服 拖鞋</t>
        </is>
      </c>
      <c r="D292" s="17" t="inlineStr">
        <is>
          <t>RCC</t>
        </is>
      </c>
      <c r="E292" s="17" t="inlineStr">
        <is>
          <t>配件</t>
        </is>
      </c>
      <c r="F292" s="18" t="n">
        <v>22</v>
      </c>
      <c r="G292" s="18" t="n">
        <v>0</v>
      </c>
      <c r="H292" s="18">
        <f>F292+G292</f>
        <v/>
      </c>
      <c r="I292" s="18" t="n">
        <v>294</v>
      </c>
      <c r="J292" s="18">
        <f>H292*I292</f>
        <v/>
      </c>
      <c r="K292" s="18" t="n">
        <v/>
      </c>
      <c r="L292" s="8" t="inlineStr"/>
    </row>
    <row r="293" outlineLevel="1" ht="22" customHeight="1">
      <c r="B293" s="15" t="inlineStr">
        <is>
          <t>骑行服</t>
        </is>
      </c>
      <c r="C293" s="5" t="inlineStr">
        <is>
          <t>RCC 骑行服 短袖T恤 ¥1220</t>
        </is>
      </c>
      <c r="D293" s="15" t="inlineStr">
        <is>
          <t>RCC</t>
        </is>
      </c>
      <c r="E293" s="15" t="inlineStr">
        <is>
          <t>配件</t>
        </is>
      </c>
      <c r="F293" s="16" t="n">
        <v>2</v>
      </c>
      <c r="G293" s="16" t="n">
        <v>0</v>
      </c>
      <c r="H293" s="16">
        <f>F293+G293</f>
        <v/>
      </c>
      <c r="I293" s="16" t="n">
        <v>854</v>
      </c>
      <c r="J293" s="16">
        <f>H293*I293</f>
        <v/>
      </c>
      <c r="K293" s="16" t="n">
        <v/>
      </c>
      <c r="L293" s="5" t="inlineStr"/>
    </row>
    <row r="294" outlineLevel="1" ht="22" customHeight="1">
      <c r="B294" s="17" t="inlineStr">
        <is>
          <t>骑行服</t>
        </is>
      </c>
      <c r="C294" s="8" t="inlineStr">
        <is>
          <t>RCC 骑行服 连体骑行裤 ¥2450</t>
        </is>
      </c>
      <c r="D294" s="17" t="inlineStr">
        <is>
          <t>RCC</t>
        </is>
      </c>
      <c r="E294" s="17" t="inlineStr">
        <is>
          <t>配件</t>
        </is>
      </c>
      <c r="F294" s="18" t="n">
        <v>2</v>
      </c>
      <c r="G294" s="18" t="n">
        <v>0</v>
      </c>
      <c r="H294" s="18">
        <f>F294+G294</f>
        <v/>
      </c>
      <c r="I294" s="18" t="n">
        <v>1715</v>
      </c>
      <c r="J294" s="18">
        <f>H294*I294</f>
        <v/>
      </c>
      <c r="K294" s="18" t="n">
        <v/>
      </c>
      <c r="L294" s="8" t="inlineStr"/>
    </row>
    <row r="295" outlineLevel="1" ht="22" customHeight="1">
      <c r="B295" s="15" t="inlineStr">
        <is>
          <t>骑行服</t>
        </is>
      </c>
      <c r="C295" s="5" t="inlineStr">
        <is>
          <t>RCC 骑行服 马甲 ¥1000</t>
        </is>
      </c>
      <c r="D295" s="15" t="inlineStr">
        <is>
          <t>RCC</t>
        </is>
      </c>
      <c r="E295" s="15" t="inlineStr">
        <is>
          <t>配件</t>
        </is>
      </c>
      <c r="F295" s="16" t="n">
        <v>1</v>
      </c>
      <c r="G295" s="16" t="n">
        <v>0</v>
      </c>
      <c r="H295" s="16">
        <f>F295+G295</f>
        <v/>
      </c>
      <c r="I295" s="16" t="n">
        <v>700</v>
      </c>
      <c r="J295" s="16">
        <f>H295*I295</f>
        <v/>
      </c>
      <c r="K295" s="16" t="n">
        <v/>
      </c>
      <c r="L295" s="5" t="inlineStr"/>
    </row>
    <row r="296" outlineLevel="1" ht="22" customHeight="1">
      <c r="B296" s="17" t="inlineStr">
        <is>
          <t>骑行服</t>
        </is>
      </c>
      <c r="C296" s="8" t="inlineStr">
        <is>
          <t>RCC 骑行服 骑行裤 ¥2900</t>
        </is>
      </c>
      <c r="D296" s="17" t="inlineStr">
        <is>
          <t>RCC</t>
        </is>
      </c>
      <c r="E296" s="17" t="inlineStr">
        <is>
          <t>配件</t>
        </is>
      </c>
      <c r="F296" s="18" t="n">
        <v>1</v>
      </c>
      <c r="G296" s="18" t="n">
        <v>0</v>
      </c>
      <c r="H296" s="18">
        <f>F296+G296</f>
        <v/>
      </c>
      <c r="I296" s="18" t="n">
        <v>2030</v>
      </c>
      <c r="J296" s="18">
        <f>H296*I296</f>
        <v/>
      </c>
      <c r="K296" s="18" t="n">
        <v/>
      </c>
      <c r="L296" s="8" t="inlineStr"/>
    </row>
    <row r="297" outlineLevel="1" ht="22" customHeight="1">
      <c r="B297" s="15" t="inlineStr">
        <is>
          <t>骑行服</t>
        </is>
      </c>
      <c r="C297" s="5" t="inlineStr">
        <is>
          <t>VB 骑行服 短袖上衣T恤 ¥2080</t>
        </is>
      </c>
      <c r="D297" s="15" t="inlineStr">
        <is>
          <t>VB</t>
        </is>
      </c>
      <c r="E297" s="15" t="inlineStr">
        <is>
          <t>配件</t>
        </is>
      </c>
      <c r="F297" s="16" t="n">
        <v>5</v>
      </c>
      <c r="G297" s="16" t="n">
        <v>0</v>
      </c>
      <c r="H297" s="16">
        <f>F297+G297</f>
        <v/>
      </c>
      <c r="I297" s="16" t="n">
        <v>1456</v>
      </c>
      <c r="J297" s="16">
        <f>H297*I297</f>
        <v/>
      </c>
      <c r="K297" s="16" t="n">
        <v/>
      </c>
      <c r="L297" s="5" t="inlineStr"/>
    </row>
    <row r="298" outlineLevel="1" ht="22" customHeight="1">
      <c r="B298" s="17" t="inlineStr">
        <is>
          <t>骑行服</t>
        </is>
      </c>
      <c r="C298" s="8" t="inlineStr">
        <is>
          <t>VB 骑行服 连体骑行短裤 ¥2280</t>
        </is>
      </c>
      <c r="D298" s="17" t="inlineStr">
        <is>
          <t>VB</t>
        </is>
      </c>
      <c r="E298" s="17" t="inlineStr">
        <is>
          <t>配件</t>
        </is>
      </c>
      <c r="F298" s="18" t="n">
        <v>1</v>
      </c>
      <c r="G298" s="18" t="n">
        <v>0</v>
      </c>
      <c r="H298" s="18">
        <f>F298+G298</f>
        <v/>
      </c>
      <c r="I298" s="18" t="n">
        <v>1596</v>
      </c>
      <c r="J298" s="18">
        <f>H298*I298</f>
        <v/>
      </c>
      <c r="K298" s="18" t="n">
        <v/>
      </c>
      <c r="L298" s="8" t="inlineStr"/>
    </row>
    <row r="299" outlineLevel="1" ht="22" customHeight="1">
      <c r="B299" s="15" t="inlineStr">
        <is>
          <t>骑行服</t>
        </is>
      </c>
      <c r="C299" s="5" t="inlineStr">
        <is>
          <t>其他 骑行服 断码外套 ¥888</t>
        </is>
      </c>
      <c r="D299" s="15" t="inlineStr">
        <is>
          <t>其他</t>
        </is>
      </c>
      <c r="E299" s="15" t="inlineStr">
        <is>
          <t>配件</t>
        </is>
      </c>
      <c r="F299" s="16" t="n">
        <v>1</v>
      </c>
      <c r="G299" s="16" t="n">
        <v>0</v>
      </c>
      <c r="H299" s="16">
        <f>F299+G299</f>
        <v/>
      </c>
      <c r="I299" s="16" t="n">
        <v>622</v>
      </c>
      <c r="J299" s="16">
        <f>H299*I299</f>
        <v/>
      </c>
      <c r="K299" s="16" t="n">
        <v/>
      </c>
      <c r="L299" s="5" t="inlineStr"/>
    </row>
    <row r="300" outlineLevel="1" ht="22" customHeight="1">
      <c r="B300" s="17" t="inlineStr">
        <is>
          <t>骑行服</t>
        </is>
      </c>
      <c r="C300" s="8" t="inlineStr">
        <is>
          <t>其他 骑行服 断码风衣 ¥1650</t>
        </is>
      </c>
      <c r="D300" s="17" t="inlineStr">
        <is>
          <t>其他</t>
        </is>
      </c>
      <c r="E300" s="17" t="inlineStr">
        <is>
          <t>配件</t>
        </is>
      </c>
      <c r="F300" s="18" t="n">
        <v>1</v>
      </c>
      <c r="G300" s="18" t="n">
        <v>0</v>
      </c>
      <c r="H300" s="18">
        <f>F300+G300</f>
        <v/>
      </c>
      <c r="I300" s="18" t="n">
        <v>1155</v>
      </c>
      <c r="J300" s="18">
        <f>H300*I300</f>
        <v/>
      </c>
      <c r="K300" s="18" t="n">
        <v/>
      </c>
      <c r="L300" s="8" t="inlineStr"/>
    </row>
    <row r="301" outlineLevel="1" ht="22" customHeight="1">
      <c r="B301" s="15" t="inlineStr">
        <is>
          <t>骑行服</t>
        </is>
      </c>
      <c r="C301" s="5" t="inlineStr">
        <is>
          <t>其他 骑行服 断码骑行短裤 ¥1298</t>
        </is>
      </c>
      <c r="D301" s="15" t="inlineStr">
        <is>
          <t>其他</t>
        </is>
      </c>
      <c r="E301" s="15" t="inlineStr">
        <is>
          <t>配件</t>
        </is>
      </c>
      <c r="F301" s="16" t="n">
        <v>18</v>
      </c>
      <c r="G301" s="16" t="n">
        <v>0</v>
      </c>
      <c r="H301" s="16">
        <f>F301+G301</f>
        <v/>
      </c>
      <c r="I301" s="16" t="n">
        <v>909</v>
      </c>
      <c r="J301" s="16">
        <f>H301*I301</f>
        <v/>
      </c>
      <c r="K301" s="16" t="n">
        <v/>
      </c>
      <c r="L301" s="5" t="inlineStr"/>
    </row>
    <row r="302" outlineLevel="1" ht="22" customHeight="1">
      <c r="B302" s="17" t="inlineStr">
        <is>
          <t>其他小配件</t>
        </is>
      </c>
      <c r="C302" s="8" t="inlineStr">
        <is>
          <t>AB 其他小配件 蓝鳞片</t>
        </is>
      </c>
      <c r="D302" s="17" t="inlineStr">
        <is>
          <t>AB</t>
        </is>
      </c>
      <c r="E302" s="17" t="inlineStr">
        <is>
          <t>配件</t>
        </is>
      </c>
      <c r="F302" s="18" t="n">
        <v>28</v>
      </c>
      <c r="G302" s="18" t="n">
        <v>0</v>
      </c>
      <c r="H302" s="18">
        <f>F302+G302</f>
        <v/>
      </c>
      <c r="I302" s="18" t="n">
        <v>420</v>
      </c>
      <c r="J302" s="18">
        <f>H302*I302</f>
        <v/>
      </c>
      <c r="K302" s="18" t="n">
        <v/>
      </c>
      <c r="L302" s="8" t="inlineStr"/>
    </row>
    <row r="303" outlineLevel="1" ht="22" customHeight="1">
      <c r="B303" s="15" t="inlineStr">
        <is>
          <t>其他小配件</t>
        </is>
      </c>
      <c r="C303" s="5" t="inlineStr">
        <is>
          <t>Cybrei 其他小配件 盘钉</t>
        </is>
      </c>
      <c r="D303" s="15" t="inlineStr">
        <is>
          <t>Cybrei</t>
        </is>
      </c>
      <c r="E303" s="15" t="inlineStr">
        <is>
          <t>配件</t>
        </is>
      </c>
      <c r="F303" s="16" t="n">
        <v>1</v>
      </c>
      <c r="G303" s="16" t="n">
        <v>0</v>
      </c>
      <c r="H303" s="16">
        <f>F303+G303</f>
        <v/>
      </c>
      <c r="I303" s="16" t="n">
        <v>62</v>
      </c>
      <c r="J303" s="16">
        <f>H303*I303</f>
        <v/>
      </c>
      <c r="K303" s="16" t="n">
        <v/>
      </c>
      <c r="L303" s="5" t="inlineStr"/>
    </row>
    <row r="304" outlineLevel="1" ht="22" customHeight="1">
      <c r="B304" s="17" t="inlineStr">
        <is>
          <t>其他小配件</t>
        </is>
      </c>
      <c r="C304" s="8" t="inlineStr">
        <is>
          <t>Pinarello 其他小配件 水壶架螺丝</t>
        </is>
      </c>
      <c r="D304" s="17" t="inlineStr">
        <is>
          <t>Pinarello</t>
        </is>
      </c>
      <c r="E304" s="17" t="inlineStr">
        <is>
          <t>配件</t>
        </is>
      </c>
      <c r="F304" s="18" t="n">
        <v>34</v>
      </c>
      <c r="G304" s="18" t="n">
        <v>0</v>
      </c>
      <c r="H304" s="18">
        <f>F304+G304</f>
        <v/>
      </c>
      <c r="I304" s="18" t="n">
        <v>5</v>
      </c>
      <c r="J304" s="18">
        <f>H304*I304</f>
        <v/>
      </c>
      <c r="K304" s="18" t="n">
        <v/>
      </c>
      <c r="L304" s="8" t="inlineStr"/>
    </row>
    <row r="305" outlineLevel="1" ht="22" customHeight="1">
      <c r="B305" s="15" t="inlineStr">
        <is>
          <t>其他小配件</t>
        </is>
      </c>
      <c r="C305" s="5" t="inlineStr">
        <is>
          <t>RC 其他小配件 会员礼盒</t>
        </is>
      </c>
      <c r="D305" s="15" t="inlineStr">
        <is>
          <t>RC</t>
        </is>
      </c>
      <c r="E305" s="15" t="inlineStr">
        <is>
          <t>配件</t>
        </is>
      </c>
      <c r="F305" s="16" t="n">
        <v>20</v>
      </c>
      <c r="G305" s="16" t="n">
        <v>0</v>
      </c>
      <c r="H305" s="16">
        <f>F305+G305</f>
        <v/>
      </c>
      <c r="I305" s="16" t="n">
        <v>300</v>
      </c>
      <c r="J305" s="16">
        <f>H305*I305</f>
        <v/>
      </c>
      <c r="K305" s="16" t="n">
        <v/>
      </c>
      <c r="L305" s="5" t="inlineStr"/>
    </row>
    <row r="306" outlineLevel="1" ht="22" customHeight="1">
      <c r="B306" s="17" t="inlineStr">
        <is>
          <t>其他小配件</t>
        </is>
      </c>
      <c r="C306" s="8" t="inlineStr">
        <is>
          <t>S- PARTS 其他小配件 shimano R8150 变速传动套装</t>
        </is>
      </c>
      <c r="D306" s="17" t="inlineStr">
        <is>
          <t>S- PARTS</t>
        </is>
      </c>
      <c r="E306" s="17" t="inlineStr">
        <is>
          <t>配件</t>
        </is>
      </c>
      <c r="F306" s="18" t="n">
        <v>4</v>
      </c>
      <c r="G306" s="18" t="n">
        <v>0</v>
      </c>
      <c r="H306" s="18">
        <f>F306+G306</f>
        <v/>
      </c>
      <c r="I306" s="18" t="n">
        <v>213.5</v>
      </c>
      <c r="J306" s="18">
        <f>H306*I306</f>
        <v/>
      </c>
      <c r="K306" s="18" t="n">
        <v/>
      </c>
      <c r="L306" s="8" t="inlineStr"/>
    </row>
    <row r="307" outlineLevel="1" ht="22" customHeight="1">
      <c r="B307" s="15" t="inlineStr">
        <is>
          <t>其他小配件</t>
        </is>
      </c>
      <c r="C307" s="5" t="inlineStr">
        <is>
          <t>S- PARTS 其他小配件 shimano R9250 变速传动套装</t>
        </is>
      </c>
      <c r="D307" s="15" t="inlineStr">
        <is>
          <t>S- PARTS</t>
        </is>
      </c>
      <c r="E307" s="15" t="inlineStr">
        <is>
          <t>配件</t>
        </is>
      </c>
      <c r="F307" s="16" t="n">
        <v>1</v>
      </c>
      <c r="G307" s="16" t="n">
        <v>0</v>
      </c>
      <c r="H307" s="16">
        <f>F307+G307</f>
        <v/>
      </c>
      <c r="I307" s="16" t="n">
        <v>213.5</v>
      </c>
      <c r="J307" s="16">
        <f>H307*I307</f>
        <v/>
      </c>
      <c r="K307" s="16" t="n">
        <v/>
      </c>
      <c r="L307" s="5" t="inlineStr"/>
    </row>
    <row r="308" outlineLevel="1" ht="22" customHeight="1">
      <c r="B308" s="17" t="inlineStr">
        <is>
          <t>其他小配件</t>
        </is>
      </c>
      <c r="C308" s="8" t="inlineStr">
        <is>
          <t>S-PARTS 其他小配件 PINA  筒轴杆</t>
        </is>
      </c>
      <c r="D308" s="17" t="inlineStr">
        <is>
          <t>S-PARTS</t>
        </is>
      </c>
      <c r="E308" s="17" t="inlineStr">
        <is>
          <t>配件</t>
        </is>
      </c>
      <c r="F308" s="18" t="n">
        <v>5</v>
      </c>
      <c r="G308" s="18" t="n">
        <v>0</v>
      </c>
      <c r="H308" s="18">
        <f>F308+G308</f>
        <v/>
      </c>
      <c r="I308" s="18" t="n">
        <v>454</v>
      </c>
      <c r="J308" s="18">
        <f>H308*I308</f>
        <v/>
      </c>
      <c r="K308" s="18" t="n">
        <v/>
      </c>
      <c r="L308" s="8" t="inlineStr"/>
    </row>
    <row r="309" outlineLevel="1" ht="22" customHeight="1">
      <c r="B309" s="15" t="inlineStr">
        <is>
          <t>其他小配件</t>
        </is>
      </c>
      <c r="C309" s="5" t="inlineStr">
        <is>
          <t>S-PARTS 其他小配件 中锁碟片压盖</t>
        </is>
      </c>
      <c r="D309" s="15" t="inlineStr">
        <is>
          <t>S-PARTS</t>
        </is>
      </c>
      <c r="E309" s="15" t="inlineStr">
        <is>
          <t>配件</t>
        </is>
      </c>
      <c r="F309" s="16" t="n">
        <v>11</v>
      </c>
      <c r="G309" s="16" t="n">
        <v>0</v>
      </c>
      <c r="H309" s="16">
        <f>F309+G309</f>
        <v/>
      </c>
      <c r="I309" s="16" t="n">
        <v>109</v>
      </c>
      <c r="J309" s="16">
        <f>H309*I309</f>
        <v/>
      </c>
      <c r="K309" s="16" t="n">
        <v/>
      </c>
      <c r="L309" s="5" t="inlineStr"/>
    </row>
    <row r="310" outlineLevel="1" ht="22" customHeight="1">
      <c r="B310" s="17" t="inlineStr">
        <is>
          <t>其他小配件</t>
        </is>
      </c>
      <c r="C310" s="8" t="inlineStr">
        <is>
          <t>S-PARTS 其他小配件 棒棒糖锁踏</t>
        </is>
      </c>
      <c r="D310" s="17" t="inlineStr">
        <is>
          <t>S-PARTS</t>
        </is>
      </c>
      <c r="E310" s="17" t="inlineStr">
        <is>
          <t>配件</t>
        </is>
      </c>
      <c r="F310" s="18" t="n">
        <v>3</v>
      </c>
      <c r="G310" s="18" t="n">
        <v>0</v>
      </c>
      <c r="H310" s="18">
        <f>F310+G310</f>
        <v/>
      </c>
      <c r="I310" s="18" t="n">
        <v>178</v>
      </c>
      <c r="J310" s="18">
        <f>H310*I310</f>
        <v/>
      </c>
      <c r="K310" s="18" t="n">
        <v/>
      </c>
      <c r="L310" s="8" t="inlineStr"/>
    </row>
    <row r="311" outlineLevel="1" ht="22" customHeight="1">
      <c r="B311" s="15" t="inlineStr">
        <is>
          <t>其他小配件</t>
        </is>
      </c>
      <c r="C311" s="5" t="inlineStr">
        <is>
          <t>S-PARTS 其他小配件 碟刹套装（SHIMANO R8170）</t>
        </is>
      </c>
      <c r="D311" s="15" t="inlineStr">
        <is>
          <t>S-PARTS</t>
        </is>
      </c>
      <c r="E311" s="15" t="inlineStr">
        <is>
          <t>配件</t>
        </is>
      </c>
      <c r="F311" s="16" t="n">
        <v>3</v>
      </c>
      <c r="G311" s="16" t="n">
        <v>0</v>
      </c>
      <c r="H311" s="16">
        <f>F311+G311</f>
        <v/>
      </c>
      <c r="I311" s="16" t="n">
        <v>278</v>
      </c>
      <c r="J311" s="16">
        <f>H311*I311</f>
        <v/>
      </c>
      <c r="K311" s="16" t="n">
        <v/>
      </c>
      <c r="L311" s="5" t="inlineStr"/>
    </row>
    <row r="312" outlineLevel="1" ht="22" customHeight="1">
      <c r="B312" s="17" t="inlineStr">
        <is>
          <t>其他小配件</t>
        </is>
      </c>
      <c r="C312" s="8" t="inlineStr">
        <is>
          <t>S-PARTS 其他小配件 碟刹套装（SHIMANO R9270）</t>
        </is>
      </c>
      <c r="D312" s="17" t="inlineStr">
        <is>
          <t>S-PARTS</t>
        </is>
      </c>
      <c r="E312" s="17" t="inlineStr">
        <is>
          <t>配件</t>
        </is>
      </c>
      <c r="F312" s="18" t="n">
        <v>1</v>
      </c>
      <c r="G312" s="18" t="n">
        <v>0</v>
      </c>
      <c r="H312" s="18">
        <f>F312+G312</f>
        <v/>
      </c>
      <c r="I312" s="18" t="n">
        <v>252</v>
      </c>
      <c r="J312" s="18">
        <f>H312*I312</f>
        <v/>
      </c>
      <c r="K312" s="18" t="n">
        <v/>
      </c>
      <c r="L312" s="8" t="inlineStr"/>
    </row>
    <row r="313" outlineLevel="1" ht="22" customHeight="1">
      <c r="B313" s="15" t="inlineStr">
        <is>
          <t>其他小配件</t>
        </is>
      </c>
      <c r="C313" s="5" t="inlineStr">
        <is>
          <t>SRAM 其他小配件 充电器</t>
        </is>
      </c>
      <c r="D313" s="15" t="inlineStr">
        <is>
          <t>SRAM</t>
        </is>
      </c>
      <c r="E313" s="15" t="inlineStr">
        <is>
          <t>配件</t>
        </is>
      </c>
      <c r="F313" s="16" t="n">
        <v>20</v>
      </c>
      <c r="G313" s="16" t="n">
        <v>0</v>
      </c>
      <c r="H313" s="16">
        <f>F313+G313</f>
        <v/>
      </c>
      <c r="I313" s="16" t="n">
        <v>250</v>
      </c>
      <c r="J313" s="16">
        <f>H313*I313</f>
        <v/>
      </c>
      <c r="K313" s="16" t="n">
        <v/>
      </c>
      <c r="L313" s="5" t="inlineStr"/>
    </row>
    <row r="314" outlineLevel="1" ht="22" customHeight="1">
      <c r="B314" s="17" t="inlineStr">
        <is>
          <t>其他小配件</t>
        </is>
      </c>
      <c r="C314" s="8" t="inlineStr">
        <is>
          <t>SRAM 其他小配件 电池</t>
        </is>
      </c>
      <c r="D314" s="17" t="inlineStr">
        <is>
          <t>SRAM</t>
        </is>
      </c>
      <c r="E314" s="17" t="inlineStr">
        <is>
          <t>配件</t>
        </is>
      </c>
      <c r="F314" s="18" t="n">
        <v>35</v>
      </c>
      <c r="G314" s="18" t="n">
        <v>0</v>
      </c>
      <c r="H314" s="18">
        <f>F314+G314</f>
        <v/>
      </c>
      <c r="I314" s="18" t="n">
        <v>220</v>
      </c>
      <c r="J314" s="18">
        <f>H314*I314</f>
        <v/>
      </c>
      <c r="K314" s="18" t="n">
        <v/>
      </c>
      <c r="L314" s="8" t="inlineStr"/>
    </row>
    <row r="315" outlineLevel="1" ht="22" customHeight="1">
      <c r="B315" s="15" t="inlineStr">
        <is>
          <t>其他小配件</t>
        </is>
      </c>
      <c r="C315" s="5" t="inlineStr">
        <is>
          <t>VACUUM 其他小配件 VACUUM 自行车手机支架</t>
        </is>
      </c>
      <c r="D315" s="15" t="inlineStr">
        <is>
          <t>VACUUM</t>
        </is>
      </c>
      <c r="E315" s="15" t="inlineStr">
        <is>
          <t>配件</t>
        </is>
      </c>
      <c r="F315" s="16" t="n">
        <v>2</v>
      </c>
      <c r="G315" s="16" t="n">
        <v>0</v>
      </c>
      <c r="H315" s="16">
        <f>F315+G315</f>
        <v/>
      </c>
      <c r="I315" s="16" t="n">
        <v>31</v>
      </c>
      <c r="J315" s="16">
        <f>H315*I315</f>
        <v/>
      </c>
      <c r="K315" s="16" t="n">
        <v/>
      </c>
      <c r="L315" s="5" t="inlineStr"/>
    </row>
    <row r="316" outlineLevel="1" ht="22" customHeight="1">
      <c r="B316" s="17" t="inlineStr">
        <is>
          <t>其他小配件</t>
        </is>
      </c>
      <c r="C316" s="8" t="inlineStr">
        <is>
          <t>VOSO 其他小配件 真空气嘴70L</t>
        </is>
      </c>
      <c r="D316" s="17" t="inlineStr">
        <is>
          <t>VOSO</t>
        </is>
      </c>
      <c r="E316" s="17" t="inlineStr">
        <is>
          <t>配件</t>
        </is>
      </c>
      <c r="F316" s="18" t="n">
        <v>10</v>
      </c>
      <c r="G316" s="18" t="n">
        <v>0</v>
      </c>
      <c r="H316" s="18">
        <f>F316+G316</f>
        <v/>
      </c>
      <c r="I316" s="18" t="n">
        <v>50</v>
      </c>
      <c r="J316" s="18">
        <f>H316*I316</f>
        <v/>
      </c>
      <c r="K316" s="18" t="n">
        <v/>
      </c>
      <c r="L316" s="8" t="inlineStr"/>
    </row>
    <row r="317" outlineLevel="1" ht="22" customHeight="1">
      <c r="B317" s="15" t="inlineStr">
        <is>
          <t>其他小配件</t>
        </is>
      </c>
      <c r="C317" s="5" t="inlineStr">
        <is>
          <t>WAHOO 其他小配件 KICKR SNAP 142*12筒轴转接器</t>
        </is>
      </c>
      <c r="D317" s="15" t="inlineStr">
        <is>
          <t>WAHOO</t>
        </is>
      </c>
      <c r="E317" s="15" t="inlineStr">
        <is>
          <t>配件</t>
        </is>
      </c>
      <c r="F317" s="16" t="n">
        <v>1</v>
      </c>
      <c r="G317" s="16" t="n">
        <v>0</v>
      </c>
      <c r="H317" s="16">
        <f>F317+G317</f>
        <v/>
      </c>
      <c r="I317" s="16" t="n">
        <v>286</v>
      </c>
      <c r="J317" s="16">
        <f>H317*I317</f>
        <v/>
      </c>
      <c r="K317" s="16" t="n">
        <v/>
      </c>
      <c r="L317" s="5" t="inlineStr"/>
    </row>
    <row r="318" outlineLevel="1" ht="22" customHeight="1">
      <c r="B318" s="17" t="inlineStr">
        <is>
          <t>其他小配件</t>
        </is>
      </c>
      <c r="C318" s="8" t="inlineStr">
        <is>
          <t>梅花 其他小配件 码表架</t>
        </is>
      </c>
      <c r="D318" s="17" t="inlineStr">
        <is>
          <t>梅花</t>
        </is>
      </c>
      <c r="E318" s="17" t="inlineStr">
        <is>
          <t>配件</t>
        </is>
      </c>
      <c r="F318" s="18" t="n">
        <v>1</v>
      </c>
      <c r="G318" s="18" t="n">
        <v>0</v>
      </c>
      <c r="H318" s="18">
        <f>F318+G318</f>
        <v/>
      </c>
      <c r="I318" s="18" t="n">
        <v>80</v>
      </c>
      <c r="J318" s="18">
        <f>H318*I318</f>
        <v/>
      </c>
      <c r="K318" s="18" t="n">
        <v/>
      </c>
      <c r="L318" s="8" t="inlineStr"/>
    </row>
    <row r="319" outlineLevel="1" ht="22" customHeight="1">
      <c r="B319" s="15" t="inlineStr">
        <is>
          <t>其他小配件</t>
        </is>
      </c>
      <c r="C319" s="5" t="inlineStr">
        <is>
          <t>麦急炫 其他小配件 MAGICSHINE 自行车灯</t>
        </is>
      </c>
      <c r="D319" s="15" t="inlineStr">
        <is>
          <t>麦急炫</t>
        </is>
      </c>
      <c r="E319" s="15" t="inlineStr">
        <is>
          <t>配件</t>
        </is>
      </c>
      <c r="F319" s="16" t="n">
        <v>6</v>
      </c>
      <c r="G319" s="16" t="n">
        <v>0</v>
      </c>
      <c r="H319" s="16">
        <f>F319+G319</f>
        <v/>
      </c>
      <c r="I319" s="16" t="n">
        <v>20</v>
      </c>
      <c r="J319" s="16">
        <f>H319*I319</f>
        <v/>
      </c>
      <c r="K319" s="16" t="n">
        <v/>
      </c>
      <c r="L319" s="5" t="inlineStr"/>
    </row>
    <row r="320" outlineLevel="1" ht="22" customHeight="1">
      <c r="B320" s="17" t="inlineStr">
        <is>
          <t>其他小配件</t>
        </is>
      </c>
      <c r="C320" s="8" t="inlineStr">
        <is>
          <t>麦急炫 其他小配件 前车灯</t>
        </is>
      </c>
      <c r="D320" s="17" t="inlineStr">
        <is>
          <t>麦急炫</t>
        </is>
      </c>
      <c r="E320" s="17" t="inlineStr">
        <is>
          <t>配件</t>
        </is>
      </c>
      <c r="F320" s="18" t="n">
        <v>7</v>
      </c>
      <c r="G320" s="18" t="n">
        <v>0</v>
      </c>
      <c r="H320" s="18">
        <f>F320+G320</f>
        <v/>
      </c>
      <c r="I320" s="18" t="n">
        <v>228</v>
      </c>
      <c r="J320" s="18">
        <f>H320*I320</f>
        <v/>
      </c>
      <c r="K320" s="18" t="n">
        <v/>
      </c>
      <c r="L320" s="8" t="inlineStr"/>
    </row>
    <row r="321" ht="22" customHeight="1">
      <c r="B321" s="19" t="inlineStr">
        <is>
          <t>小计</t>
        </is>
      </c>
      <c r="C321" s="11" t="n"/>
      <c r="D321" s="11">
        <f>COUNTA(C202:C320)</f>
        <v/>
      </c>
      <c r="E321" s="11" t="n"/>
      <c r="F321" s="11" t="n"/>
      <c r="G321" s="11" t="n"/>
      <c r="H321" s="12">
        <f>SUM(H202:H320)</f>
        <v/>
      </c>
      <c r="I321" s="11" t="n"/>
      <c r="J321" s="12">
        <f>SUM(J202:J320)</f>
        <v/>
      </c>
      <c r="K321" s="11" t="n"/>
      <c r="L321" s="11" t="n"/>
    </row>
    <row r="322" ht="22" customHeight="1">
      <c r="B322" s="14" t="inlineStr">
        <is>
          <t>⚪ 铺货商品</t>
        </is>
      </c>
    </row>
    <row r="323" outlineLevel="1" ht="22" customHeight="1">
      <c r="B323" s="15" t="inlineStr">
        <is>
          <t>整车</t>
        </is>
      </c>
      <c r="C323" s="5" t="inlineStr">
        <is>
          <t>Specialised 整车 SL7 冲刺王 绿</t>
        </is>
      </c>
      <c r="D323" s="15" t="inlineStr">
        <is>
          <t>Specialised</t>
        </is>
      </c>
      <c r="E323" s="15" t="inlineStr">
        <is>
          <t>铺货商品</t>
        </is>
      </c>
      <c r="F323" s="16" t="n">
        <v>1</v>
      </c>
      <c r="G323" s="16" t="n">
        <v>0</v>
      </c>
      <c r="H323" s="16">
        <f>F323+G323</f>
        <v/>
      </c>
      <c r="I323" s="16" t="n">
        <v>0</v>
      </c>
      <c r="J323" s="16">
        <f>H323*I323</f>
        <v/>
      </c>
      <c r="K323" s="16" t="n">
        <v/>
      </c>
      <c r="L323" s="5" t="inlineStr"/>
    </row>
    <row r="324" outlineLevel="1" ht="22" customHeight="1">
      <c r="B324" s="17" t="inlineStr">
        <is>
          <t>车架</t>
        </is>
      </c>
      <c r="C324" s="8" t="inlineStr">
        <is>
          <t>BMC 车架 蓝红色 47</t>
        </is>
      </c>
      <c r="D324" s="17" t="inlineStr">
        <is>
          <t>BMC</t>
        </is>
      </c>
      <c r="E324" s="17" t="inlineStr">
        <is>
          <t>铺货商品</t>
        </is>
      </c>
      <c r="F324" s="18" t="n">
        <v>1</v>
      </c>
      <c r="G324" s="18" t="n">
        <v>0</v>
      </c>
      <c r="H324" s="18">
        <f>F324+G324</f>
        <v/>
      </c>
      <c r="I324" s="18" t="n">
        <v>0</v>
      </c>
      <c r="J324" s="18">
        <f>H324*I324</f>
        <v/>
      </c>
      <c r="K324" s="18" t="n">
        <v/>
      </c>
      <c r="L324" s="8" t="inlineStr"/>
    </row>
    <row r="325" outlineLevel="1" ht="22" customHeight="1">
      <c r="B325" s="15" t="inlineStr">
        <is>
          <t>车架</t>
        </is>
      </c>
      <c r="C325" s="5" t="inlineStr">
        <is>
          <t>Colnago 车架 V4RS 彩虹 510</t>
        </is>
      </c>
      <c r="D325" s="15" t="inlineStr">
        <is>
          <t>Colnago</t>
        </is>
      </c>
      <c r="E325" s="15" t="inlineStr">
        <is>
          <t>铺货商品</t>
        </is>
      </c>
      <c r="F325" s="16" t="n">
        <v>1</v>
      </c>
      <c r="G325" s="16" t="n">
        <v>0</v>
      </c>
      <c r="H325" s="16">
        <f>F325+G325</f>
        <v/>
      </c>
      <c r="I325" s="16" t="n">
        <v>0</v>
      </c>
      <c r="J325" s="16">
        <f>H325*I325</f>
        <v/>
      </c>
      <c r="K325" s="16" t="n">
        <v/>
      </c>
      <c r="L325" s="5" t="inlineStr"/>
    </row>
    <row r="326" outlineLevel="1" ht="22" customHeight="1">
      <c r="B326" s="17" t="inlineStr">
        <is>
          <t>车架</t>
        </is>
      </c>
      <c r="C326" s="8" t="inlineStr">
        <is>
          <t>Colnago 车架 Y1RS L码 彩虹（带把）</t>
        </is>
      </c>
      <c r="D326" s="17" t="inlineStr">
        <is>
          <t>Colnago</t>
        </is>
      </c>
      <c r="E326" s="17" t="inlineStr">
        <is>
          <t>铺货商品</t>
        </is>
      </c>
      <c r="F326" s="18" t="n">
        <v>1</v>
      </c>
      <c r="G326" s="18" t="n">
        <v>0</v>
      </c>
      <c r="H326" s="18">
        <f>F326+G326</f>
        <v/>
      </c>
      <c r="I326" s="18" t="n">
        <v>0</v>
      </c>
      <c r="J326" s="18">
        <f>H326*I326</f>
        <v/>
      </c>
      <c r="K326" s="18" t="n">
        <v/>
      </c>
      <c r="L326" s="8" t="inlineStr"/>
    </row>
    <row r="327" outlineLevel="1" ht="22" customHeight="1">
      <c r="B327" s="15" t="inlineStr">
        <is>
          <t>车架</t>
        </is>
      </c>
      <c r="C327" s="5" t="inlineStr">
        <is>
          <t>Dogma F 【25款】 车架 ZWIFT 540</t>
        </is>
      </c>
      <c r="D327" s="15" t="inlineStr">
        <is>
          <t>Dogma F 【25款】</t>
        </is>
      </c>
      <c r="E327" s="15" t="inlineStr">
        <is>
          <t>铺货商品</t>
        </is>
      </c>
      <c r="F327" s="16" t="n">
        <v>1</v>
      </c>
      <c r="G327" s="16" t="n">
        <v>0</v>
      </c>
      <c r="H327" s="16">
        <f>F327+G327</f>
        <v/>
      </c>
      <c r="I327" s="16" t="n">
        <v>0</v>
      </c>
      <c r="J327" s="16">
        <f>H327*I327</f>
        <v/>
      </c>
      <c r="K327" s="16" t="n">
        <v/>
      </c>
      <c r="L327" s="5" t="inlineStr"/>
    </row>
    <row r="328" outlineLevel="1" ht="22" customHeight="1">
      <c r="B328" s="17" t="inlineStr">
        <is>
          <t>车架</t>
        </is>
      </c>
      <c r="C328" s="8" t="inlineStr">
        <is>
          <t>Dogma F 【25款】Myway 车架 全金 515（带金色车把42-120）</t>
        </is>
      </c>
      <c r="D328" s="17" t="inlineStr">
        <is>
          <t>Dogma F 【25款】Myway</t>
        </is>
      </c>
      <c r="E328" s="17" t="inlineStr">
        <is>
          <t>铺货商品</t>
        </is>
      </c>
      <c r="F328" s="18" t="n">
        <v>1</v>
      </c>
      <c r="G328" s="18" t="n">
        <v>0</v>
      </c>
      <c r="H328" s="18">
        <f>F328+G328</f>
        <v/>
      </c>
      <c r="I328" s="18" t="n">
        <v>0</v>
      </c>
      <c r="J328" s="18">
        <f>H328*I328</f>
        <v/>
      </c>
      <c r="K328" s="18" t="n">
        <v/>
      </c>
      <c r="L328" s="8" t="inlineStr"/>
    </row>
    <row r="329" outlineLevel="1" ht="22" customHeight="1">
      <c r="B329" s="15" t="inlineStr">
        <is>
          <t>车架</t>
        </is>
      </c>
      <c r="C329" s="5" t="inlineStr">
        <is>
          <t>Dogma F 【25款】Myway 车架 变色龙 515（带车把）</t>
        </is>
      </c>
      <c r="D329" s="15" t="inlineStr">
        <is>
          <t>Dogma F 【25款】Myway</t>
        </is>
      </c>
      <c r="E329" s="15" t="inlineStr">
        <is>
          <t>铺货商品</t>
        </is>
      </c>
      <c r="F329" s="16" t="n">
        <v>2</v>
      </c>
      <c r="G329" s="16" t="n">
        <v>0</v>
      </c>
      <c r="H329" s="16">
        <f>F329+G329</f>
        <v/>
      </c>
      <c r="I329" s="16" t="n">
        <v>0</v>
      </c>
      <c r="J329" s="16">
        <f>H329*I329</f>
        <v/>
      </c>
      <c r="K329" s="16" t="n">
        <v/>
      </c>
      <c r="L329" s="5" t="inlineStr"/>
    </row>
    <row r="330" outlineLevel="1" ht="22" customHeight="1">
      <c r="B330" s="17" t="inlineStr">
        <is>
          <t>车架</t>
        </is>
      </c>
      <c r="C330" s="8" t="inlineStr">
        <is>
          <t>Dogma F 【25款】Myway 车架 粉白车身 白色车标 540（带白把））</t>
        </is>
      </c>
      <c r="D330" s="17" t="inlineStr">
        <is>
          <t>Dogma F 【25款】Myway</t>
        </is>
      </c>
      <c r="E330" s="17" t="inlineStr">
        <is>
          <t>铺货商品</t>
        </is>
      </c>
      <c r="F330" s="18" t="n">
        <v>1</v>
      </c>
      <c r="G330" s="18" t="n">
        <v>0</v>
      </c>
      <c r="H330" s="18">
        <f>F330+G330</f>
        <v/>
      </c>
      <c r="I330" s="18" t="n">
        <v>0</v>
      </c>
      <c r="J330" s="18">
        <f>H330*I330</f>
        <v/>
      </c>
      <c r="K330" s="18" t="n">
        <v/>
      </c>
      <c r="L330" s="8" t="inlineStr"/>
    </row>
    <row r="331" outlineLevel="1" ht="22" customHeight="1">
      <c r="B331" s="15" t="inlineStr">
        <is>
          <t>车架</t>
        </is>
      </c>
      <c r="C331" s="5" t="inlineStr">
        <is>
          <t>Dogma F 【25款】Myway 车架 粉白车身 金色车标 515（带粉白把））</t>
        </is>
      </c>
      <c r="D331" s="15" t="inlineStr">
        <is>
          <t>Dogma F 【25款】Myway</t>
        </is>
      </c>
      <c r="E331" s="15" t="inlineStr">
        <is>
          <t>铺货商品</t>
        </is>
      </c>
      <c r="F331" s="16" t="n">
        <v>1</v>
      </c>
      <c r="G331" s="16" t="n">
        <v>0</v>
      </c>
      <c r="H331" s="16">
        <f>F331+G331</f>
        <v/>
      </c>
      <c r="I331" s="16" t="n">
        <v>0</v>
      </c>
      <c r="J331" s="16">
        <f>H331*I331</f>
        <v/>
      </c>
      <c r="K331" s="16" t="n">
        <v/>
      </c>
      <c r="L331" s="5" t="inlineStr"/>
    </row>
    <row r="332" outlineLevel="1" ht="22" customHeight="1">
      <c r="B332" s="17" t="inlineStr">
        <is>
          <t>车架</t>
        </is>
      </c>
      <c r="C332" s="8" t="inlineStr">
        <is>
          <t>Dogma F 【25款】Myway 车架 蓝金 530（带金色车把42-100）</t>
        </is>
      </c>
      <c r="D332" s="17" t="inlineStr">
        <is>
          <t>Dogma F 【25款】Myway</t>
        </is>
      </c>
      <c r="E332" s="17" t="inlineStr">
        <is>
          <t>铺货商品</t>
        </is>
      </c>
      <c r="F332" s="18" t="n">
        <v>1</v>
      </c>
      <c r="G332" s="18" t="n">
        <v>0</v>
      </c>
      <c r="H332" s="18">
        <f>F332+G332</f>
        <v/>
      </c>
      <c r="I332" s="18" t="n">
        <v>0</v>
      </c>
      <c r="J332" s="18">
        <f>H332*I332</f>
        <v/>
      </c>
      <c r="K332" s="18" t="n">
        <v/>
      </c>
      <c r="L332" s="8" t="inlineStr"/>
    </row>
    <row r="333" outlineLevel="1" ht="22" customHeight="1">
      <c r="B333" s="15" t="inlineStr">
        <is>
          <t>车架</t>
        </is>
      </c>
      <c r="C333" s="5" t="inlineStr">
        <is>
          <t>LOOK 车架 红色 S码</t>
        </is>
      </c>
      <c r="D333" s="15" t="inlineStr">
        <is>
          <t>LOOK</t>
        </is>
      </c>
      <c r="E333" s="15" t="inlineStr">
        <is>
          <t>铺货商品</t>
        </is>
      </c>
      <c r="F333" s="16" t="n">
        <v>1</v>
      </c>
      <c r="G333" s="16" t="n">
        <v>0</v>
      </c>
      <c r="H333" s="16">
        <f>F333+G333</f>
        <v/>
      </c>
      <c r="I333" s="16" t="n">
        <v>0</v>
      </c>
      <c r="J333" s="16">
        <f>H333*I333</f>
        <v/>
      </c>
      <c r="K333" s="16" t="n">
        <v/>
      </c>
      <c r="L333" s="5" t="inlineStr"/>
    </row>
    <row r="334" outlineLevel="1" ht="22" customHeight="1">
      <c r="B334" s="17" t="inlineStr">
        <is>
          <t>车架</t>
        </is>
      </c>
      <c r="C334" s="8" t="inlineStr">
        <is>
          <t>LOOK 车架 队版 M码</t>
        </is>
      </c>
      <c r="D334" s="17" t="inlineStr">
        <is>
          <t>LOOK</t>
        </is>
      </c>
      <c r="E334" s="17" t="inlineStr">
        <is>
          <t>铺货商品</t>
        </is>
      </c>
      <c r="F334" s="18" t="n">
        <v>1</v>
      </c>
      <c r="G334" s="18" t="n">
        <v>0</v>
      </c>
      <c r="H334" s="18">
        <f>F334+G334</f>
        <v/>
      </c>
      <c r="I334" s="18" t="n">
        <v>0</v>
      </c>
      <c r="J334" s="18">
        <f>H334*I334</f>
        <v/>
      </c>
      <c r="K334" s="18" t="n">
        <v/>
      </c>
      <c r="L334" s="8" t="inlineStr"/>
    </row>
    <row r="335" outlineLevel="1" ht="22" customHeight="1">
      <c r="B335" s="15" t="inlineStr">
        <is>
          <t>车架</t>
        </is>
      </c>
      <c r="C335" s="5" t="inlineStr">
        <is>
          <t>SPECIALIZED 车架 SL7  彩虹冰裂纹 （签名版）54</t>
        </is>
      </c>
      <c r="D335" s="15" t="inlineStr">
        <is>
          <t>SPECIALIZED</t>
        </is>
      </c>
      <c r="E335" s="15" t="inlineStr">
        <is>
          <t>铺货商品</t>
        </is>
      </c>
      <c r="F335" s="16" t="n">
        <v>1</v>
      </c>
      <c r="G335" s="16" t="n">
        <v>0</v>
      </c>
      <c r="H335" s="16">
        <f>F335+G335</f>
        <v/>
      </c>
      <c r="I335" s="16" t="n">
        <v>0</v>
      </c>
      <c r="J335" s="16">
        <f>H335*I335</f>
        <v/>
      </c>
      <c r="K335" s="16" t="n">
        <v/>
      </c>
      <c r="L335" s="5" t="inlineStr"/>
    </row>
    <row r="336" outlineLevel="1" ht="22" customHeight="1">
      <c r="B336" s="17" t="inlineStr">
        <is>
          <t>车架</t>
        </is>
      </c>
      <c r="C336" s="8" t="inlineStr">
        <is>
          <t>帕索尼 车架 虎纹 54</t>
        </is>
      </c>
      <c r="D336" s="17" t="inlineStr">
        <is>
          <t>帕索尼</t>
        </is>
      </c>
      <c r="E336" s="17" t="inlineStr">
        <is>
          <t>铺货商品</t>
        </is>
      </c>
      <c r="F336" s="18" t="n">
        <v>1</v>
      </c>
      <c r="G336" s="18" t="n">
        <v>0</v>
      </c>
      <c r="H336" s="18">
        <f>F336+G336</f>
        <v/>
      </c>
      <c r="I336" s="18" t="n">
        <v>0</v>
      </c>
      <c r="J336" s="18">
        <f>H336*I336</f>
        <v/>
      </c>
      <c r="K336" s="18" t="n">
        <v/>
      </c>
      <c r="L336" s="8" t="inlineStr"/>
    </row>
    <row r="337" outlineLevel="1" ht="22" customHeight="1">
      <c r="B337" s="15" t="inlineStr">
        <is>
          <t>轮组</t>
        </is>
      </c>
      <c r="C337" s="5" t="inlineStr">
        <is>
          <t>帕索尼 轮组 五福</t>
        </is>
      </c>
      <c r="D337" s="15" t="inlineStr">
        <is>
          <t>帕索尼</t>
        </is>
      </c>
      <c r="E337" s="15" t="inlineStr">
        <is>
          <t>铺货商品</t>
        </is>
      </c>
      <c r="F337" s="16" t="n">
        <v>1</v>
      </c>
      <c r="G337" s="16" t="n">
        <v>0</v>
      </c>
      <c r="H337" s="16">
        <f>F337+G337</f>
        <v/>
      </c>
      <c r="I337" s="16" t="n">
        <v>0</v>
      </c>
      <c r="J337" s="16">
        <f>H337*I337</f>
        <v/>
      </c>
      <c r="K337" s="16" t="n">
        <v/>
      </c>
      <c r="L337" s="5" t="inlineStr"/>
    </row>
    <row r="338" outlineLevel="1" ht="22" customHeight="1">
      <c r="B338" s="17" t="inlineStr">
        <is>
          <t>骑行台</t>
        </is>
      </c>
      <c r="C338" s="8" t="inlineStr">
        <is>
          <t>WAHOO 骑行台 KICKR CORE 自行车骑行台（CLIMB通用）</t>
        </is>
      </c>
      <c r="D338" s="17" t="inlineStr">
        <is>
          <t>WAHOO</t>
        </is>
      </c>
      <c r="E338" s="17" t="inlineStr">
        <is>
          <t>铺货商品</t>
        </is>
      </c>
      <c r="F338" s="18" t="n">
        <v>1</v>
      </c>
      <c r="G338" s="18" t="n">
        <v>0</v>
      </c>
      <c r="H338" s="18">
        <f>F338+G338</f>
        <v/>
      </c>
      <c r="I338" s="18" t="n">
        <v>0</v>
      </c>
      <c r="J338" s="18">
        <f>H338*I338</f>
        <v/>
      </c>
      <c r="K338" s="18" t="n">
        <v/>
      </c>
      <c r="L338" s="8" t="inlineStr"/>
    </row>
    <row r="339" outlineLevel="1" ht="22" customHeight="1">
      <c r="B339" s="15" t="inlineStr">
        <is>
          <t>骑行台</t>
        </is>
      </c>
      <c r="C339" s="5" t="inlineStr">
        <is>
          <t>WAHOO 骑行台 KICKR SNAP</t>
        </is>
      </c>
      <c r="D339" s="15" t="inlineStr">
        <is>
          <t>WAHOO</t>
        </is>
      </c>
      <c r="E339" s="15" t="inlineStr">
        <is>
          <t>铺货商品</t>
        </is>
      </c>
      <c r="F339" s="16" t="n">
        <v>2</v>
      </c>
      <c r="G339" s="16" t="n">
        <v>0</v>
      </c>
      <c r="H339" s="16">
        <f>F339+G339</f>
        <v/>
      </c>
      <c r="I339" s="16" t="n">
        <v>0</v>
      </c>
      <c r="J339" s="16">
        <f>H339*I339</f>
        <v/>
      </c>
      <c r="K339" s="16" t="n">
        <v/>
      </c>
      <c r="L339" s="5" t="inlineStr"/>
    </row>
    <row r="340" outlineLevel="1" ht="22" customHeight="1">
      <c r="B340" s="17" t="inlineStr">
        <is>
          <t>骑行台</t>
        </is>
      </c>
      <c r="C340" s="8" t="inlineStr">
        <is>
          <t>WAHOO 骑行台 KICKR 自行车智能骑行台 WI-FI版本</t>
        </is>
      </c>
      <c r="D340" s="17" t="inlineStr">
        <is>
          <t>WAHOO</t>
        </is>
      </c>
      <c r="E340" s="17" t="inlineStr">
        <is>
          <t>铺货商品</t>
        </is>
      </c>
      <c r="F340" s="18" t="n">
        <v>1</v>
      </c>
      <c r="G340" s="18" t="n">
        <v>0</v>
      </c>
      <c r="H340" s="18">
        <f>F340+G340</f>
        <v/>
      </c>
      <c r="I340" s="18" t="n">
        <v>0</v>
      </c>
      <c r="J340" s="18">
        <f>H340*I340</f>
        <v/>
      </c>
      <c r="K340" s="18" t="n">
        <v/>
      </c>
      <c r="L340" s="8" t="inlineStr"/>
    </row>
    <row r="341" outlineLevel="1" ht="22" customHeight="1">
      <c r="B341" s="15" t="inlineStr">
        <is>
          <t>骑行台</t>
        </is>
      </c>
      <c r="C341" s="5" t="inlineStr">
        <is>
          <t>WAHOO 骑行台 KIKCR CLIMB爬坡模拟器</t>
        </is>
      </c>
      <c r="D341" s="15" t="inlineStr">
        <is>
          <t>WAHOO</t>
        </is>
      </c>
      <c r="E341" s="15" t="inlineStr">
        <is>
          <t>铺货商品</t>
        </is>
      </c>
      <c r="F341" s="16" t="n">
        <v>1</v>
      </c>
      <c r="G341" s="16" t="n">
        <v>0</v>
      </c>
      <c r="H341" s="16">
        <f>F341+G341</f>
        <v/>
      </c>
      <c r="I341" s="16" t="n">
        <v>0</v>
      </c>
      <c r="J341" s="16">
        <f>H341*I341</f>
        <v/>
      </c>
      <c r="K341" s="16" t="n">
        <v/>
      </c>
      <c r="L341" s="5" t="inlineStr"/>
    </row>
    <row r="342" ht="22" customHeight="1">
      <c r="B342" s="19" t="inlineStr">
        <is>
          <t>小计</t>
        </is>
      </c>
      <c r="C342" s="11" t="n"/>
      <c r="D342" s="11">
        <f>COUNTA(C323:C341)</f>
        <v/>
      </c>
      <c r="E342" s="11" t="n"/>
      <c r="F342" s="11" t="n"/>
      <c r="G342" s="11" t="n"/>
      <c r="H342" s="12">
        <f>SUM(H323:H341)</f>
        <v/>
      </c>
      <c r="I342" s="11" t="n"/>
      <c r="J342" s="12">
        <f>SUM(J323:J341)</f>
        <v/>
      </c>
      <c r="K342" s="11" t="n"/>
      <c r="L342" s="11" t="n"/>
    </row>
    <row r="343" ht="22" customHeight="1">
      <c r="B343" s="19" t="inlineStr">
        <is>
          <t>总计</t>
        </is>
      </c>
      <c r="C343" s="11" t="n"/>
      <c r="D343" s="11" t="n"/>
      <c r="E343" s="11" t="n"/>
      <c r="F343" s="11" t="n"/>
      <c r="G343" s="11" t="n"/>
      <c r="H343" s="12">
        <f>SUMIF(E6:E342,"&lt;&gt;",H6:H342)</f>
        <v/>
      </c>
      <c r="I343" s="11" t="n"/>
      <c r="J343" s="12">
        <f>SUMIF(E6:E342,"&lt;&gt;",J6:J342)</f>
        <v/>
      </c>
      <c r="K343" s="11" t="n"/>
      <c r="L343" s="11" t="n"/>
    </row>
    <row r="345" ht="16" customHeight="1">
      <c r="B345" s="13" t="inlineStr">
        <is>
          <t>数据来源：宇宙销售统计中心_2026 商品SKU_031316.xlsx  |  统计时间：3/13</t>
        </is>
      </c>
    </row>
  </sheetData>
  <mergeCells count="14">
    <mergeCell ref="B43:L43"/>
    <mergeCell ref="B96:L96"/>
    <mergeCell ref="B153:L153"/>
    <mergeCell ref="B6:L6"/>
    <mergeCell ref="B21:L21"/>
    <mergeCell ref="B201:L201"/>
    <mergeCell ref="B165:L165"/>
    <mergeCell ref="B3:L3"/>
    <mergeCell ref="B2:L2"/>
    <mergeCell ref="B196:L196"/>
    <mergeCell ref="B172:L172"/>
    <mergeCell ref="B345:L345"/>
    <mergeCell ref="B159:L159"/>
    <mergeCell ref="B322:L32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tabColor rgb="003D6B4F"/>
    <outlinePr summaryBelow="1" summaryRight="1"/>
    <pageSetUpPr/>
  </sheetPr>
  <dimension ref="B2:K37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12" customWidth="1" min="2" max="2"/>
    <col width="32" customWidth="1" min="3" max="3"/>
    <col width="14" customWidth="1" min="4" max="4"/>
    <col width="14" customWidth="1" min="5" max="5"/>
    <col width="9" customWidth="1" min="6" max="6"/>
    <col width="11" customWidth="1" min="7" max="7"/>
    <col width="9" customWidth="1" min="8" max="8"/>
    <col width="11" customWidth="1" min="9" max="9"/>
    <col width="9" customWidth="1" min="10" max="10"/>
    <col width="11" customWidth="1" min="11" max="11"/>
  </cols>
  <sheetData>
    <row r="2" ht="32" customHeight="1">
      <c r="B2" s="1" t="inlineStr">
        <is>
          <t>库存变动对比  ·  3/12 → 3/13  ·  高流通品类</t>
        </is>
      </c>
    </row>
    <row r="3" ht="18" customHeight="1">
      <c r="B3" s="2" t="inlineStr">
        <is>
          <t>仅含高流通级别（正常商品/DA·Zipp/换货回/FSA/自营/套件/配件/铺货）· 仅显示有变动的SKU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</row>
    <row r="5" ht="20" customHeight="1">
      <c r="B5" s="20" t="inlineStr">
        <is>
          <t>本期（3/12 → 3/13）高流通库存共 18 个SKU发生变动：出库 17 个SKU，入库 1 个SKU。合计出库 55 件，库存成本减少 ¥25,072。</t>
        </is>
      </c>
    </row>
    <row r="6" ht="22" customHeight="1">
      <c r="B6" s="21" t="inlineStr">
        <is>
          <t>上次总成本 (3/12)</t>
        </is>
      </c>
      <c r="C6" s="22" t="n">
        <v>677070.0600000001</v>
      </c>
      <c r="D6" s="21" t="inlineStr">
        <is>
          <t>本次总成本 (3/13)</t>
        </is>
      </c>
      <c r="E6" s="22" t="n">
        <v>651997.85</v>
      </c>
      <c r="F6" s="21" t="inlineStr">
        <is>
          <t>成本变动</t>
        </is>
      </c>
      <c r="G6" s="23" t="n">
        <v>-25072.21000000008</v>
      </c>
      <c r="H6" s="21" t="inlineStr">
        <is>
          <t>合计变动件数</t>
        </is>
      </c>
      <c r="I6" s="23" t="n">
        <v>-55</v>
      </c>
      <c r="J6" s="24" t="n"/>
      <c r="K6" s="24" t="n"/>
    </row>
    <row r="7" ht="6" customHeight="1">
      <c r="B7" s="3" t="n"/>
      <c r="C7" s="3" t="n"/>
      <c r="D7" s="3" t="n"/>
      <c r="E7" s="3" t="n"/>
      <c r="F7" s="3" t="n"/>
      <c r="G7" s="3" t="n"/>
      <c r="H7" s="3" t="n"/>
      <c r="I7" s="3" t="n"/>
      <c r="J7" s="3" t="n"/>
      <c r="K7" s="3" t="n"/>
    </row>
    <row r="8" ht="28" customHeight="1">
      <c r="B8" s="4" t="inlineStr">
        <is>
          <t>品类</t>
        </is>
      </c>
      <c r="C8" s="4" t="inlineStr">
        <is>
          <t>SKU名称</t>
        </is>
      </c>
      <c r="D8" s="4" t="inlineStr">
        <is>
          <t>系列</t>
        </is>
      </c>
      <c r="E8" s="4" t="inlineStr">
        <is>
          <t>库存级别</t>
        </is>
      </c>
      <c r="F8" s="4" t="inlineStr">
        <is>
          <t>上次件数
(3/12)</t>
        </is>
      </c>
      <c r="G8" s="4" t="inlineStr">
        <is>
          <t>上次成本
(3/12)</t>
        </is>
      </c>
      <c r="H8" s="4" t="inlineStr">
        <is>
          <t>本次件数
(3/13)</t>
        </is>
      </c>
      <c r="I8" s="4" t="inlineStr">
        <is>
          <t>本次成本
(3/13)</t>
        </is>
      </c>
      <c r="J8" s="4" t="inlineStr">
        <is>
          <t>变动件数</t>
        </is>
      </c>
      <c r="K8" s="4" t="inlineStr">
        <is>
          <t>变动成本</t>
        </is>
      </c>
    </row>
    <row r="9" ht="22" customHeight="1">
      <c r="B9" s="14" t="inlineStr">
        <is>
          <t>🟢 正常商品</t>
        </is>
      </c>
    </row>
    <row r="10" ht="22" customHeight="1">
      <c r="B10" s="17" t="inlineStr">
        <is>
          <t>轮组</t>
        </is>
      </c>
      <c r="C10" s="8" t="inlineStr">
        <is>
          <t>静藤 轮组 LIGHT  D50</t>
        </is>
      </c>
      <c r="D10" s="17" t="inlineStr">
        <is>
          <t>静藤</t>
        </is>
      </c>
      <c r="E10" s="17" t="inlineStr">
        <is>
          <t>正常商品</t>
        </is>
      </c>
      <c r="F10" s="18" t="n">
        <v>1</v>
      </c>
      <c r="G10" s="18" t="n">
        <v>4018</v>
      </c>
      <c r="H10" s="18" t="n">
        <v>0</v>
      </c>
      <c r="I10" s="18" t="n">
        <v>0</v>
      </c>
      <c r="J10" s="25">
        <f>H10-F10</f>
        <v/>
      </c>
      <c r="K10" s="25">
        <f>I10-G10</f>
        <v/>
      </c>
    </row>
    <row r="11" ht="22" customHeight="1">
      <c r="B11" s="15" t="inlineStr">
        <is>
          <t>外胎</t>
        </is>
      </c>
      <c r="C11" s="5" t="inlineStr">
        <is>
          <t>倍耐力 外胎 rs真空 28C黑边</t>
        </is>
      </c>
      <c r="D11" s="15" t="inlineStr">
        <is>
          <t>倍耐力</t>
        </is>
      </c>
      <c r="E11" s="15" t="inlineStr">
        <is>
          <t>正常商品</t>
        </is>
      </c>
      <c r="F11" s="16" t="n">
        <v>15</v>
      </c>
      <c r="G11" s="16" t="n">
        <v>5250</v>
      </c>
      <c r="H11" s="16" t="n">
        <v>11</v>
      </c>
      <c r="I11" s="16" t="n">
        <v>3850</v>
      </c>
      <c r="J11" s="26">
        <f>H11-F11</f>
        <v/>
      </c>
      <c r="K11" s="26">
        <f>I11-G11</f>
        <v/>
      </c>
    </row>
    <row r="12" ht="22" customHeight="1">
      <c r="B12" s="17" t="inlineStr">
        <is>
          <t>外胎</t>
        </is>
      </c>
      <c r="C12" s="8" t="inlineStr">
        <is>
          <t>米其林POWER CUP 外胎 开口黄边28C(散装）</t>
        </is>
      </c>
      <c r="D12" s="17" t="inlineStr">
        <is>
          <t>米其林POWER CUP</t>
        </is>
      </c>
      <c r="E12" s="17" t="inlineStr">
        <is>
          <t>正常商品</t>
        </is>
      </c>
      <c r="F12" s="18" t="n">
        <v>50</v>
      </c>
      <c r="G12" s="18" t="n">
        <v>6750</v>
      </c>
      <c r="H12" s="18" t="n">
        <v>35</v>
      </c>
      <c r="I12" s="18" t="n">
        <v>4725</v>
      </c>
      <c r="J12" s="25">
        <f>H12-F12</f>
        <v/>
      </c>
      <c r="K12" s="25">
        <f>I12-G12</f>
        <v/>
      </c>
    </row>
    <row r="13" ht="22" customHeight="1">
      <c r="B13" s="15" t="inlineStr">
        <is>
          <t>外胎</t>
        </is>
      </c>
      <c r="C13" s="5" t="inlineStr">
        <is>
          <t>米其林POWER CUP 外胎 开口黑边28C(散装）</t>
        </is>
      </c>
      <c r="D13" s="15" t="inlineStr">
        <is>
          <t>米其林POWER CUP</t>
        </is>
      </c>
      <c r="E13" s="15" t="inlineStr">
        <is>
          <t>正常商品</t>
        </is>
      </c>
      <c r="F13" s="16" t="n">
        <v>29</v>
      </c>
      <c r="G13" s="16" t="n">
        <v>3915</v>
      </c>
      <c r="H13" s="16" t="n">
        <v>24</v>
      </c>
      <c r="I13" s="16" t="n">
        <v>3240</v>
      </c>
      <c r="J13" s="26">
        <f>H13-F13</f>
        <v/>
      </c>
      <c r="K13" s="26">
        <f>I13-G13</f>
        <v/>
      </c>
    </row>
    <row r="14" ht="22" customHeight="1">
      <c r="B14" s="17" t="inlineStr">
        <is>
          <t>外胎</t>
        </is>
      </c>
      <c r="C14" s="8" t="inlineStr">
        <is>
          <t>米其林POWER CUP 外胎 真空黄边28C(散装）</t>
        </is>
      </c>
      <c r="D14" s="17" t="inlineStr">
        <is>
          <t>米其林POWER CUP</t>
        </is>
      </c>
      <c r="E14" s="17" t="inlineStr">
        <is>
          <t>正常商品</t>
        </is>
      </c>
      <c r="F14" s="18" t="n">
        <v>100</v>
      </c>
      <c r="G14" s="18" t="n">
        <v>14000</v>
      </c>
      <c r="H14" s="18" t="n">
        <v>95</v>
      </c>
      <c r="I14" s="18" t="n">
        <v>13300</v>
      </c>
      <c r="J14" s="25">
        <f>H14-F14</f>
        <v/>
      </c>
      <c r="K14" s="25">
        <f>I14-G14</f>
        <v/>
      </c>
    </row>
    <row r="15" ht="22" customHeight="1">
      <c r="B15" s="15" t="inlineStr">
        <is>
          <t>外胎</t>
        </is>
      </c>
      <c r="C15" s="5" t="inlineStr">
        <is>
          <t>米其林POWER CUP 外胎 真空黑边边28C(散装）</t>
        </is>
      </c>
      <c r="D15" s="15" t="inlineStr">
        <is>
          <t>米其林POWER CUP</t>
        </is>
      </c>
      <c r="E15" s="15" t="inlineStr">
        <is>
          <t>正常商品</t>
        </is>
      </c>
      <c r="F15" s="16" t="n">
        <v>80</v>
      </c>
      <c r="G15" s="16" t="n">
        <v>11200</v>
      </c>
      <c r="H15" s="16" t="n">
        <v>75</v>
      </c>
      <c r="I15" s="16" t="n">
        <v>10500</v>
      </c>
      <c r="J15" s="26">
        <f>H15-F15</f>
        <v/>
      </c>
      <c r="K15" s="26">
        <f>I15-G15</f>
        <v/>
      </c>
    </row>
    <row r="16" ht="22" customHeight="1">
      <c r="B16" s="17" t="inlineStr">
        <is>
          <t>外胎</t>
        </is>
      </c>
      <c r="C16" s="8" t="inlineStr">
        <is>
          <t>马牌 外胎 TERRA TRAIL(瓜胎）35C</t>
        </is>
      </c>
      <c r="D16" s="17" t="inlineStr">
        <is>
          <t>马牌</t>
        </is>
      </c>
      <c r="E16" s="17" t="inlineStr">
        <is>
          <t>正常商品</t>
        </is>
      </c>
      <c r="F16" s="18" t="n">
        <v>381</v>
      </c>
      <c r="G16" s="18" t="n">
        <v>35433</v>
      </c>
      <c r="H16" s="18" t="n">
        <v>375</v>
      </c>
      <c r="I16" s="18" t="n">
        <v>34875</v>
      </c>
      <c r="J16" s="25">
        <f>H16-F16</f>
        <v/>
      </c>
      <c r="K16" s="25">
        <f>I16-G16</f>
        <v/>
      </c>
    </row>
    <row r="17" ht="22" customHeight="1">
      <c r="B17" s="15" t="inlineStr">
        <is>
          <t>外胎</t>
        </is>
      </c>
      <c r="C17" s="5" t="inlineStr">
        <is>
          <t>马牌 外胎 TR 32C 黑边</t>
        </is>
      </c>
      <c r="D17" s="15" t="inlineStr">
        <is>
          <t>马牌</t>
        </is>
      </c>
      <c r="E17" s="15" t="inlineStr">
        <is>
          <t>正常商品</t>
        </is>
      </c>
      <c r="F17" s="16" t="n">
        <v>216</v>
      </c>
      <c r="G17" s="16" t="n">
        <v>18144</v>
      </c>
      <c r="H17" s="16" t="n">
        <v>214</v>
      </c>
      <c r="I17" s="16" t="n">
        <v>17976</v>
      </c>
      <c r="J17" s="26">
        <f>H17-F17</f>
        <v/>
      </c>
      <c r="K17" s="26">
        <f>I17-G17</f>
        <v/>
      </c>
    </row>
    <row r="18" ht="22" customHeight="1">
      <c r="B18" s="17" t="inlineStr">
        <is>
          <t>外胎</t>
        </is>
      </c>
      <c r="C18" s="8" t="inlineStr">
        <is>
          <t>马牌 GP5000 外胎 开口 28C 黑色</t>
        </is>
      </c>
      <c r="D18" s="17" t="inlineStr">
        <is>
          <t>马牌 GP5000</t>
        </is>
      </c>
      <c r="E18" s="17" t="inlineStr">
        <is>
          <t>正常商品</t>
        </is>
      </c>
      <c r="F18" s="18" t="n">
        <v>5</v>
      </c>
      <c r="G18" s="18" t="n">
        <v>1350</v>
      </c>
      <c r="H18" s="18" t="n">
        <v>1</v>
      </c>
      <c r="I18" s="18" t="n">
        <v>270</v>
      </c>
      <c r="J18" s="25">
        <f>H18-F18</f>
        <v/>
      </c>
      <c r="K18" s="25">
        <f>I18-G18</f>
        <v/>
      </c>
    </row>
    <row r="19" ht="22" customHeight="1">
      <c r="B19" s="15" t="inlineStr">
        <is>
          <t>座垫</t>
        </is>
      </c>
      <c r="C19" s="5" t="inlineStr">
        <is>
          <t>Selle Italia   座垫 钢轨 黑色（散装）</t>
        </is>
      </c>
      <c r="D19" s="15" t="inlineStr">
        <is>
          <t>Selle Italia</t>
        </is>
      </c>
      <c r="E19" s="15" t="inlineStr">
        <is>
          <t>正常商品</t>
        </is>
      </c>
      <c r="F19" s="16" t="n">
        <v>106</v>
      </c>
      <c r="G19" s="16" t="n">
        <v>32118</v>
      </c>
      <c r="H19" s="16" t="n">
        <v>102</v>
      </c>
      <c r="I19" s="16" t="n">
        <v>30906</v>
      </c>
      <c r="J19" s="26">
        <f>H19-F19</f>
        <v/>
      </c>
      <c r="K19" s="26">
        <f>I19-G19</f>
        <v/>
      </c>
    </row>
    <row r="20" ht="22" customHeight="1">
      <c r="B20" s="17" t="inlineStr">
        <is>
          <t>链条</t>
        </is>
      </c>
      <c r="C20" s="8" t="inlineStr">
        <is>
          <t>RIVAL 链条 E1 链条</t>
        </is>
      </c>
      <c r="D20" s="17" t="inlineStr">
        <is>
          <t>RIVAL</t>
        </is>
      </c>
      <c r="E20" s="17" t="inlineStr">
        <is>
          <t>正常商品</t>
        </is>
      </c>
      <c r="F20" s="18" t="n">
        <v>30</v>
      </c>
      <c r="G20" s="18" t="n">
        <v>5550</v>
      </c>
      <c r="H20" s="18" t="n">
        <v>29</v>
      </c>
      <c r="I20" s="18" t="n">
        <v>5365</v>
      </c>
      <c r="J20" s="25">
        <f>H20-F20</f>
        <v/>
      </c>
      <c r="K20" s="25">
        <f>I20-G20</f>
        <v/>
      </c>
    </row>
    <row r="21" ht="22" customHeight="1">
      <c r="B21" s="15" t="inlineStr">
        <is>
          <t>锁踏</t>
        </is>
      </c>
      <c r="C21" s="5" t="inlineStr">
        <is>
          <t>DA 锁踏 PDR 9100</t>
        </is>
      </c>
      <c r="D21" s="15" t="inlineStr">
        <is>
          <t>DA</t>
        </is>
      </c>
      <c r="E21" s="15" t="inlineStr">
        <is>
          <t>正常商品</t>
        </is>
      </c>
      <c r="F21" s="16" t="n">
        <v>103</v>
      </c>
      <c r="G21" s="16" t="n">
        <v>106090</v>
      </c>
      <c r="H21" s="16" t="n">
        <v>102</v>
      </c>
      <c r="I21" s="16" t="n">
        <v>105060</v>
      </c>
      <c r="J21" s="26">
        <f>H21-F21</f>
        <v/>
      </c>
      <c r="K21" s="26">
        <f>I21-G21</f>
        <v/>
      </c>
    </row>
    <row r="22" ht="22" customHeight="1">
      <c r="B22" s="19" t="inlineStr">
        <is>
          <t>小计</t>
        </is>
      </c>
      <c r="C22" s="11" t="n"/>
      <c r="D22" s="11" t="n"/>
      <c r="E22" s="11" t="n"/>
      <c r="F22" s="12">
        <f>SUM(F10:F21)</f>
        <v/>
      </c>
      <c r="G22" s="12">
        <f>SUM(G10:G21)</f>
        <v/>
      </c>
      <c r="H22" s="12">
        <f>SUM(H10:H21)</f>
        <v/>
      </c>
      <c r="I22" s="12">
        <f>SUM(I10:I21)</f>
        <v/>
      </c>
      <c r="J22" s="12">
        <f>SUM(J10:J21)</f>
        <v/>
      </c>
      <c r="K22" s="12">
        <f>SUM(K10:K21)</f>
        <v/>
      </c>
    </row>
    <row r="23" ht="22" customHeight="1">
      <c r="B23" s="14" t="inlineStr">
        <is>
          <t>🔵 DA/Zipp 轮组</t>
        </is>
      </c>
    </row>
    <row r="24" ht="22" customHeight="1">
      <c r="B24" s="17" t="inlineStr">
        <is>
          <t>轮组</t>
        </is>
      </c>
      <c r="C24" s="8" t="inlineStr">
        <is>
          <t>DA 轮组 C50 (SH)</t>
        </is>
      </c>
      <c r="D24" s="17" t="inlineStr">
        <is>
          <t>DA</t>
        </is>
      </c>
      <c r="E24" s="17" t="inlineStr">
        <is>
          <t>DA/Zipp 轮组</t>
        </is>
      </c>
      <c r="F24" s="18" t="n">
        <v>6</v>
      </c>
      <c r="G24" s="18" t="n">
        <v>44060.46</v>
      </c>
      <c r="H24" s="18" t="n">
        <v>5</v>
      </c>
      <c r="I24" s="18" t="n">
        <v>36717.05</v>
      </c>
      <c r="J24" s="25">
        <f>H24-F24</f>
        <v/>
      </c>
      <c r="K24" s="25">
        <f>I24-G24</f>
        <v/>
      </c>
    </row>
    <row r="25" ht="22" customHeight="1">
      <c r="B25" s="19" t="inlineStr">
        <is>
          <t>小计</t>
        </is>
      </c>
      <c r="C25" s="11" t="n"/>
      <c r="D25" s="11" t="n"/>
      <c r="E25" s="11" t="n"/>
      <c r="F25" s="12">
        <f>SUM(F24:F24)</f>
        <v/>
      </c>
      <c r="G25" s="12">
        <f>SUM(G24:G24)</f>
        <v/>
      </c>
      <c r="H25" s="12">
        <f>SUM(H24:H24)</f>
        <v/>
      </c>
      <c r="I25" s="12">
        <f>SUM(I24:I24)</f>
        <v/>
      </c>
      <c r="J25" s="12">
        <f>SUM(J24:J24)</f>
        <v/>
      </c>
      <c r="K25" s="12">
        <f>SUM(K24:K24)</f>
        <v/>
      </c>
    </row>
    <row r="26" ht="22" customHeight="1">
      <c r="B26" s="14" t="inlineStr">
        <is>
          <t>🟢 自营产品</t>
        </is>
      </c>
    </row>
    <row r="27" ht="22" customHeight="1">
      <c r="B27" s="15" t="inlineStr">
        <is>
          <t>轮组</t>
        </is>
      </c>
      <c r="C27" s="5" t="inlineStr">
        <is>
          <t>ILLUSION 轮组 银标 钢条 4550</t>
        </is>
      </c>
      <c r="D27" s="15" t="inlineStr">
        <is>
          <t>ILLUSION</t>
        </is>
      </c>
      <c r="E27" s="15" t="inlineStr">
        <is>
          <t>自营产品</t>
        </is>
      </c>
      <c r="F27" s="16" t="n">
        <v>6</v>
      </c>
      <c r="G27" s="16" t="n">
        <v>10212</v>
      </c>
      <c r="H27" s="16" t="n">
        <v>10</v>
      </c>
      <c r="I27" s="16" t="n">
        <v>17020</v>
      </c>
      <c r="J27" s="16">
        <f>H27-F27</f>
        <v/>
      </c>
      <c r="K27" s="16">
        <f>I27-G27</f>
        <v/>
      </c>
    </row>
    <row r="28" ht="22" customHeight="1">
      <c r="B28" s="17" t="inlineStr">
        <is>
          <t>轮组</t>
        </is>
      </c>
      <c r="C28" s="8" t="inlineStr">
        <is>
          <t>ILLUSION 轮组 银标 钢条 50</t>
        </is>
      </c>
      <c r="D28" s="17" t="inlineStr">
        <is>
          <t>ILLUSION</t>
        </is>
      </c>
      <c r="E28" s="17" t="inlineStr">
        <is>
          <t>自营产品</t>
        </is>
      </c>
      <c r="F28" s="18" t="n">
        <v>59</v>
      </c>
      <c r="G28" s="18" t="n">
        <v>133422.6</v>
      </c>
      <c r="H28" s="18" t="n">
        <v>57</v>
      </c>
      <c r="I28" s="18" t="n">
        <v>128899.8</v>
      </c>
      <c r="J28" s="25">
        <f>H28-F28</f>
        <v/>
      </c>
      <c r="K28" s="25">
        <f>I28-G28</f>
        <v/>
      </c>
    </row>
    <row r="29" ht="22" customHeight="1">
      <c r="B29" s="19" t="inlineStr">
        <is>
          <t>小计</t>
        </is>
      </c>
      <c r="C29" s="11" t="n"/>
      <c r="D29" s="11" t="n"/>
      <c r="E29" s="11" t="n"/>
      <c r="F29" s="12">
        <f>SUM(F27:F28)</f>
        <v/>
      </c>
      <c r="G29" s="12">
        <f>SUM(G27:G28)</f>
        <v/>
      </c>
      <c r="H29" s="12">
        <f>SUM(H27:H28)</f>
        <v/>
      </c>
      <c r="I29" s="12">
        <f>SUM(I27:I28)</f>
        <v/>
      </c>
      <c r="J29" s="12">
        <f>SUM(J27:J28)</f>
        <v/>
      </c>
      <c r="K29" s="12">
        <f>SUM(K27:K28)</f>
        <v/>
      </c>
    </row>
    <row r="30" ht="22" customHeight="1">
      <c r="B30" s="14" t="inlineStr">
        <is>
          <t>🟢 套件类</t>
        </is>
      </c>
    </row>
    <row r="31" ht="22" customHeight="1">
      <c r="B31" s="15" t="inlineStr">
        <is>
          <t>碟片组</t>
        </is>
      </c>
      <c r="C31" s="5" t="inlineStr">
        <is>
          <t>UT 碟片组 CL800【2张160】</t>
        </is>
      </c>
      <c r="D31" s="15" t="inlineStr">
        <is>
          <t>UT</t>
        </is>
      </c>
      <c r="E31" s="15" t="inlineStr">
        <is>
          <t>套件类</t>
        </is>
      </c>
      <c r="F31" s="16" t="n">
        <v>13</v>
      </c>
      <c r="G31" s="16" t="n">
        <v>3900</v>
      </c>
      <c r="H31" s="16" t="n">
        <v>12</v>
      </c>
      <c r="I31" s="16" t="n">
        <v>3600</v>
      </c>
      <c r="J31" s="26">
        <f>H31-F31</f>
        <v/>
      </c>
      <c r="K31" s="26">
        <f>I31-G31</f>
        <v/>
      </c>
    </row>
    <row r="32" ht="22" customHeight="1">
      <c r="B32" s="17" t="inlineStr">
        <is>
          <t>套件组</t>
        </is>
      </c>
      <c r="C32" s="8" t="inlineStr">
        <is>
          <t>UT 套件组 基础配置</t>
        </is>
      </c>
      <c r="D32" s="17" t="inlineStr">
        <is>
          <t>UT</t>
        </is>
      </c>
      <c r="E32" s="17" t="inlineStr">
        <is>
          <t>套件类</t>
        </is>
      </c>
      <c r="F32" s="18" t="n">
        <v>39</v>
      </c>
      <c r="G32" s="18" t="n">
        <v>227487</v>
      </c>
      <c r="H32" s="18" t="n">
        <v>38</v>
      </c>
      <c r="I32" s="18" t="n">
        <v>221654</v>
      </c>
      <c r="J32" s="25">
        <f>H32-F32</f>
        <v/>
      </c>
      <c r="K32" s="25">
        <f>I32-G32</f>
        <v/>
      </c>
    </row>
    <row r="33" ht="22" customHeight="1">
      <c r="B33" s="15" t="inlineStr">
        <is>
          <t>套件链条</t>
        </is>
      </c>
      <c r="C33" s="5" t="inlineStr">
        <is>
          <t>UT 套件链条 8100</t>
        </is>
      </c>
      <c r="D33" s="15" t="inlineStr">
        <is>
          <t>UT</t>
        </is>
      </c>
      <c r="E33" s="15" t="inlineStr">
        <is>
          <t>套件类</t>
        </is>
      </c>
      <c r="F33" s="16" t="n">
        <v>109</v>
      </c>
      <c r="G33" s="16" t="n">
        <v>14170</v>
      </c>
      <c r="H33" s="16" t="n">
        <v>108</v>
      </c>
      <c r="I33" s="16" t="n">
        <v>14040</v>
      </c>
      <c r="J33" s="26">
        <f>H33-F33</f>
        <v/>
      </c>
      <c r="K33" s="26">
        <f>I33-G33</f>
        <v/>
      </c>
    </row>
    <row r="34" ht="22" customHeight="1">
      <c r="B34" s="19" t="inlineStr">
        <is>
          <t>小计</t>
        </is>
      </c>
      <c r="C34" s="11" t="n"/>
      <c r="D34" s="11" t="n"/>
      <c r="E34" s="11" t="n"/>
      <c r="F34" s="12">
        <f>SUM(F31:F33)</f>
        <v/>
      </c>
      <c r="G34" s="12">
        <f>SUM(G31:G33)</f>
        <v/>
      </c>
      <c r="H34" s="12">
        <f>SUM(H31:H33)</f>
        <v/>
      </c>
      <c r="I34" s="12">
        <f>SUM(I31:I33)</f>
        <v/>
      </c>
      <c r="J34" s="12">
        <f>SUM(J31:J33)</f>
        <v/>
      </c>
      <c r="K34" s="12">
        <f>SUM(K31:K33)</f>
        <v/>
      </c>
    </row>
    <row r="35" ht="22" customHeight="1">
      <c r="B35" s="19" t="inlineStr">
        <is>
          <t>变动合计</t>
        </is>
      </c>
      <c r="C35" s="11" t="n"/>
      <c r="D35" s="11" t="n"/>
      <c r="E35" s="11" t="n"/>
      <c r="F35" s="12">
        <f>SUM(F9:F34)</f>
        <v/>
      </c>
      <c r="G35" s="12">
        <f>SUM(G9:G34)</f>
        <v/>
      </c>
      <c r="H35" s="12">
        <f>SUM(H9:H34)</f>
        <v/>
      </c>
      <c r="I35" s="12">
        <f>SUM(I9:I34)</f>
        <v/>
      </c>
      <c r="J35" s="12">
        <f>SUM(J9:J34)</f>
        <v/>
      </c>
      <c r="K35" s="12">
        <f>SUM(K9:K34)</f>
        <v/>
      </c>
    </row>
    <row r="37" ht="16" customHeight="1">
      <c r="B37" s="13" t="inlineStr">
        <is>
          <t>数据来源：宇宙销售统计中心_2026 商品SKU_031214.xlsx vs 宇宙销售统计中心_2026 商品SKU_031316.xlsx  |  统计时间：3/13</t>
        </is>
      </c>
    </row>
  </sheetData>
  <mergeCells count="8">
    <mergeCell ref="B23:K23"/>
    <mergeCell ref="B26:K26"/>
    <mergeCell ref="B9:K9"/>
    <mergeCell ref="B30:K30"/>
    <mergeCell ref="B2:K2"/>
    <mergeCell ref="B3:K3"/>
    <mergeCell ref="B5:K5"/>
    <mergeCell ref="B37:K37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tabColor rgb="008B1A1A"/>
    <outlinePr summaryBelow="1" summaryRight="1"/>
    <pageSetUpPr/>
  </sheetPr>
  <dimension ref="B2:P102"/>
  <sheetViews>
    <sheetView showGridLines="0" workbookViewId="0">
      <selection activeCell="A1" sqref="A1"/>
    </sheetView>
  </sheetViews>
  <sheetFormatPr baseColWidth="8" defaultRowHeight="15"/>
  <cols>
    <col width="2" customWidth="1" min="1" max="1"/>
    <col width="30" customWidth="1" min="2" max="2"/>
    <col width="10" customWidth="1" min="3" max="3"/>
    <col width="13" customWidth="1" min="4" max="4"/>
    <col width="8" customWidth="1" min="5" max="5"/>
    <col width="11" customWidth="1" min="6" max="6"/>
    <col width="8" customWidth="1" min="7" max="7"/>
    <col width="11" customWidth="1" min="8" max="8"/>
    <col width="8" customWidth="1" min="9" max="9"/>
    <col width="11" customWidth="1" min="10" max="10"/>
    <col width="8" customWidth="1" min="11" max="11"/>
    <col width="11" customWidth="1" min="12" max="12"/>
    <col width="18" customWidth="1" min="13" max="13"/>
    <col width="13" customWidth="1" min="14" max="14"/>
    <col width="10" customWidth="1" min="15" max="15"/>
    <col width="13" customWidth="1" min="16" max="16"/>
  </cols>
  <sheetData>
    <row r="2" ht="32" customHeight="1">
      <c r="B2" s="1" t="inlineStr">
        <is>
          <t>清理库存跟踪  ·  3/13</t>
        </is>
      </c>
    </row>
    <row r="3" ht="18" customHeight="1">
      <c r="B3" s="2" t="inlineStr">
        <is>
          <t>期初(2/8) → 3/12 → 3/13  ·  含 Pinarello 清理 + 清理库存  ·  按负责人分组  ·  M/P列目标请手动填写</t>
        </is>
      </c>
    </row>
    <row r="4" ht="6" customHeight="1">
      <c r="B4" s="3" t="n"/>
      <c r="C4" s="3" t="n"/>
      <c r="D4" s="3" t="n"/>
      <c r="E4" s="3" t="n"/>
      <c r="F4" s="3" t="n"/>
      <c r="G4" s="3" t="n"/>
      <c r="H4" s="3" t="n"/>
      <c r="I4" s="3" t="n"/>
      <c r="J4" s="3" t="n"/>
      <c r="K4" s="3" t="n"/>
      <c r="L4" s="3" t="n"/>
      <c r="M4" s="3" t="n"/>
      <c r="N4" s="3" t="n"/>
      <c r="O4" s="3" t="n"/>
      <c r="P4" s="3" t="n"/>
    </row>
    <row r="5" ht="16" customHeight="1">
      <c r="B5" s="2" t="inlineStr">
        <is>
          <t>已清成本 = 期初成本 - 当前成本  ·  完成率 = 已清成本 / 4/15清货目标  ·  N/P列目标为人工手填金额</t>
        </is>
      </c>
    </row>
    <row r="6" ht="28" customHeight="1">
      <c r="B6" s="4" t="inlineStr">
        <is>
          <t>SKU名称</t>
        </is>
      </c>
      <c r="C6" s="4" t="inlineStr">
        <is>
          <t>品类</t>
        </is>
      </c>
      <c r="D6" s="4" t="inlineStr">
        <is>
          <t>系列</t>
        </is>
      </c>
      <c r="E6" s="4" t="inlineStr">
        <is>
          <t>期初
件数
(2/8)</t>
        </is>
      </c>
      <c r="F6" s="4" t="inlineStr">
        <is>
          <t>期初
总成本
(2/8)</t>
        </is>
      </c>
      <c r="G6" s="4" t="inlineStr">
        <is>
          <t>3/12
件数</t>
        </is>
      </c>
      <c r="H6" s="4" t="inlineStr">
        <is>
          <t>3/12
成本</t>
        </is>
      </c>
      <c r="I6" s="4" t="inlineStr">
        <is>
          <t>3/13
件数</t>
        </is>
      </c>
      <c r="J6" s="4" t="inlineStr">
        <is>
          <t>3/13
成本</t>
        </is>
      </c>
      <c r="K6" s="4" t="inlineStr">
        <is>
          <t>已清
件数</t>
        </is>
      </c>
      <c r="L6" s="4" t="inlineStr">
        <is>
          <t>已清
成本</t>
        </is>
      </c>
      <c r="M6" s="4" t="inlineStr">
        <is>
          <t>备注</t>
        </is>
      </c>
      <c r="N6" s="4" t="inlineStr">
        <is>
          <t>4/15
清货目标</t>
        </is>
      </c>
      <c r="O6" s="4" t="inlineStr">
        <is>
          <t>完成率</t>
        </is>
      </c>
      <c r="P6" s="4" t="inlineStr">
        <is>
          <t>6/15
清货目标</t>
        </is>
      </c>
    </row>
    <row r="7" ht="26" customHeight="1">
      <c r="B7" s="27" t="inlineStr">
        <is>
          <t>▸  张振</t>
        </is>
      </c>
    </row>
    <row r="8" ht="20" customHeight="1">
      <c r="B8" s="28" t="inlineStr">
        <is>
          <t xml:space="preserve">  ▸ Pinarello / Dogma 清理</t>
        </is>
      </c>
    </row>
    <row r="9" outlineLevel="2" ht="22" customHeight="1">
      <c r="B9" s="5" t="inlineStr">
        <is>
          <t>Pinarello 整车 F5 白 530</t>
        </is>
      </c>
      <c r="C9" s="15" t="inlineStr">
        <is>
          <t>整车</t>
        </is>
      </c>
      <c r="D9" s="15" t="inlineStr">
        <is>
          <t>Pinarello</t>
        </is>
      </c>
      <c r="E9" s="16" t="n">
        <v>1</v>
      </c>
      <c r="F9" s="16" t="n">
        <v>24400</v>
      </c>
      <c r="G9" s="16" t="n">
        <v>1</v>
      </c>
      <c r="H9" s="16" t="n">
        <v>24400</v>
      </c>
      <c r="I9" s="16" t="n">
        <v>1</v>
      </c>
      <c r="J9" s="16" t="n">
        <v>24400</v>
      </c>
      <c r="K9" s="16">
        <f>IF(E9-I9=0,"",E9-I9)</f>
        <v/>
      </c>
      <c r="L9" s="16">
        <f>IF(F9-J9=0,"",F9-J9)</f>
        <v/>
      </c>
      <c r="M9" s="5" t="inlineStr"/>
    </row>
    <row r="10" outlineLevel="2" ht="22" customHeight="1">
      <c r="B10" s="8" t="inlineStr">
        <is>
          <t>Pinarello 整车 F5 白 560</t>
        </is>
      </c>
      <c r="C10" s="17" t="inlineStr">
        <is>
          <t>整车</t>
        </is>
      </c>
      <c r="D10" s="17" t="inlineStr">
        <is>
          <t>Pinarello</t>
        </is>
      </c>
      <c r="E10" s="18" t="n">
        <v>1</v>
      </c>
      <c r="F10" s="18" t="n">
        <v>24400</v>
      </c>
      <c r="G10" s="18" t="n">
        <v>1</v>
      </c>
      <c r="H10" s="18" t="n">
        <v>24400</v>
      </c>
      <c r="I10" s="18" t="n">
        <v>1</v>
      </c>
      <c r="J10" s="18" t="n">
        <v>24400</v>
      </c>
      <c r="K10" s="18">
        <f>IF(E10-I10=0,"",E10-I10)</f>
        <v/>
      </c>
      <c r="L10" s="18">
        <f>IF(F10-J10=0,"",F10-J10)</f>
        <v/>
      </c>
      <c r="M10" s="8" t="inlineStr"/>
    </row>
    <row r="11" outlineLevel="2" ht="22" customHeight="1">
      <c r="B11" s="5" t="inlineStr">
        <is>
          <t>Pinarello 整车 F5 蓝 465</t>
        </is>
      </c>
      <c r="C11" s="15" t="inlineStr">
        <is>
          <t>整车</t>
        </is>
      </c>
      <c r="D11" s="15" t="inlineStr">
        <is>
          <t>Pinarello</t>
        </is>
      </c>
      <c r="E11" s="16" t="n">
        <v>1</v>
      </c>
      <c r="F11" s="16" t="n">
        <v>24400</v>
      </c>
      <c r="G11" s="16" t="n">
        <v>1</v>
      </c>
      <c r="H11" s="16" t="n">
        <v>24400</v>
      </c>
      <c r="I11" s="16" t="n">
        <v>1</v>
      </c>
      <c r="J11" s="16" t="n">
        <v>24400</v>
      </c>
      <c r="K11" s="16">
        <f>IF(E11-I11=0,"",E11-I11)</f>
        <v/>
      </c>
      <c r="L11" s="16">
        <f>IF(F11-J11=0,"",F11-J11)</f>
        <v/>
      </c>
      <c r="M11" s="5" t="inlineStr"/>
    </row>
    <row r="12" outlineLevel="2" ht="22" customHeight="1">
      <c r="B12" s="8" t="inlineStr">
        <is>
          <t>Pinarello 整车 F9 宝石蓝 515</t>
        </is>
      </c>
      <c r="C12" s="17" t="inlineStr">
        <is>
          <t>整车</t>
        </is>
      </c>
      <c r="D12" s="17" t="inlineStr">
        <is>
          <t>Pinarello</t>
        </is>
      </c>
      <c r="E12" s="18" t="n">
        <v>1</v>
      </c>
      <c r="F12" s="18" t="n">
        <v>31500</v>
      </c>
      <c r="G12" s="18" t="n">
        <v>0</v>
      </c>
      <c r="H12" s="18" t="n">
        <v>0</v>
      </c>
      <c r="I12" s="18" t="n">
        <v>0</v>
      </c>
      <c r="J12" s="18" t="n">
        <v>0</v>
      </c>
      <c r="K12" s="18">
        <f>IF(E12-I12=0,"",E12-I12)</f>
        <v/>
      </c>
      <c r="L12" s="18">
        <f>IF(F12-J12=0,"",F12-J12)</f>
        <v/>
      </c>
      <c r="M12" s="8" t="inlineStr"/>
    </row>
    <row r="13" outlineLevel="2" ht="22" customHeight="1">
      <c r="B13" s="5" t="inlineStr">
        <is>
          <t>Pinarello 整车 F9 黑白 545</t>
        </is>
      </c>
      <c r="C13" s="15" t="inlineStr">
        <is>
          <t>整车</t>
        </is>
      </c>
      <c r="D13" s="15" t="inlineStr">
        <is>
          <t>Pinarello</t>
        </is>
      </c>
      <c r="E13" s="16" t="n">
        <v>1</v>
      </c>
      <c r="F13" s="16" t="n">
        <v>31500</v>
      </c>
      <c r="G13" s="16" t="n">
        <v>1</v>
      </c>
      <c r="H13" s="16" t="n">
        <v>31500</v>
      </c>
      <c r="I13" s="16" t="n">
        <v>1</v>
      </c>
      <c r="J13" s="16" t="n">
        <v>31500</v>
      </c>
      <c r="K13" s="16">
        <f>IF(E13-I13=0,"",E13-I13)</f>
        <v/>
      </c>
      <c r="L13" s="16">
        <f>IF(F13-J13=0,"",F13-J13)</f>
        <v/>
      </c>
      <c r="M13" s="5" t="inlineStr"/>
    </row>
    <row r="14" outlineLevel="2" ht="22" customHeight="1">
      <c r="B14" s="8" t="inlineStr">
        <is>
          <t>Pinarello 整车 F9 黑绿 515</t>
        </is>
      </c>
      <c r="C14" s="17" t="inlineStr">
        <is>
          <t>整车</t>
        </is>
      </c>
      <c r="D14" s="17" t="inlineStr">
        <is>
          <t>Pinarello</t>
        </is>
      </c>
      <c r="E14" s="18" t="n">
        <v>1</v>
      </c>
      <c r="F14" s="18" t="n">
        <v>31500</v>
      </c>
      <c r="G14" s="18" t="n">
        <v>1</v>
      </c>
      <c r="H14" s="18" t="n">
        <v>31500</v>
      </c>
      <c r="I14" s="18" t="n">
        <v>1</v>
      </c>
      <c r="J14" s="18" t="n">
        <v>31500</v>
      </c>
      <c r="K14" s="18">
        <f>IF(E14-I14=0,"",E14-I14)</f>
        <v/>
      </c>
      <c r="L14" s="18">
        <f>IF(F14-J14=0,"",F14-J14)</f>
        <v/>
      </c>
      <c r="M14" s="8" t="inlineStr"/>
    </row>
    <row r="15" outlineLevel="2" ht="22" customHeight="1">
      <c r="B15" s="5" t="inlineStr">
        <is>
          <t>Pinarello 整车 X5 白色蓝标</t>
        </is>
      </c>
      <c r="C15" s="15" t="inlineStr">
        <is>
          <t>整车</t>
        </is>
      </c>
      <c r="D15" s="15" t="inlineStr">
        <is>
          <t>Pinarello</t>
        </is>
      </c>
      <c r="E15" s="16" t="n">
        <v>1</v>
      </c>
      <c r="F15" s="16" t="n">
        <v>20000</v>
      </c>
      <c r="G15" s="16" t="n">
        <v>1</v>
      </c>
      <c r="H15" s="16" t="n">
        <v>20000</v>
      </c>
      <c r="I15" s="16" t="n">
        <v>1</v>
      </c>
      <c r="J15" s="16" t="n">
        <v>20000</v>
      </c>
      <c r="K15" s="16">
        <f>IF(E15-I15=0,"",E15-I15)</f>
        <v/>
      </c>
      <c r="L15" s="16">
        <f>IF(F15-J15=0,"",F15-J15)</f>
        <v/>
      </c>
      <c r="M15" s="5" t="inlineStr"/>
    </row>
    <row r="16" outlineLevel="2" ht="22" customHeight="1">
      <c r="B16" s="8" t="inlineStr">
        <is>
          <t>Pinarello 整车 X5 黑色银标</t>
        </is>
      </c>
      <c r="C16" s="17" t="inlineStr">
        <is>
          <t>整车</t>
        </is>
      </c>
      <c r="D16" s="17" t="inlineStr">
        <is>
          <t>Pinarello</t>
        </is>
      </c>
      <c r="E16" s="18" t="n">
        <v>1</v>
      </c>
      <c r="F16" s="18" t="n">
        <v>20000</v>
      </c>
      <c r="G16" s="18" t="n">
        <v>1</v>
      </c>
      <c r="H16" s="18" t="n">
        <v>20000</v>
      </c>
      <c r="I16" s="18" t="n">
        <v>1</v>
      </c>
      <c r="J16" s="18" t="n">
        <v>20000</v>
      </c>
      <c r="K16" s="18">
        <f>IF(E16-I16=0,"",E16-I16)</f>
        <v/>
      </c>
      <c r="L16" s="18">
        <f>IF(F16-J16=0,"",F16-J16)</f>
        <v/>
      </c>
      <c r="M16" s="8" t="inlineStr"/>
    </row>
    <row r="17" outlineLevel="2" ht="22" customHeight="1">
      <c r="B17" s="5" t="inlineStr">
        <is>
          <t>Pinarello 整车 X9 金色 530</t>
        </is>
      </c>
      <c r="C17" s="15" t="inlineStr">
        <is>
          <t>整车</t>
        </is>
      </c>
      <c r="D17" s="15" t="inlineStr">
        <is>
          <t>Pinarello</t>
        </is>
      </c>
      <c r="E17" s="16" t="n">
        <v>1</v>
      </c>
      <c r="F17" s="16" t="n">
        <v>33916</v>
      </c>
      <c r="G17" s="16" t="n">
        <v>1</v>
      </c>
      <c r="H17" s="16" t="n">
        <v>33916</v>
      </c>
      <c r="I17" s="16" t="n">
        <v>1</v>
      </c>
      <c r="J17" s="16" t="n">
        <v>33916</v>
      </c>
      <c r="K17" s="16">
        <f>IF(E17-I17=0,"",E17-I17)</f>
        <v/>
      </c>
      <c r="L17" s="16">
        <f>IF(F17-J17=0,"",F17-J17)</f>
        <v/>
      </c>
      <c r="M17" s="5" t="inlineStr"/>
    </row>
    <row r="18" outlineLevel="2" ht="22" customHeight="1">
      <c r="B18" s="8" t="inlineStr">
        <is>
          <t>Dogma X 车架 BOB 515</t>
        </is>
      </c>
      <c r="C18" s="17" t="inlineStr">
        <is>
          <t>车架</t>
        </is>
      </c>
      <c r="D18" s="17" t="inlineStr">
        <is>
          <t>Dogma X</t>
        </is>
      </c>
      <c r="E18" s="18" t="n">
        <v>1</v>
      </c>
      <c r="F18" s="18" t="n">
        <v>28000</v>
      </c>
      <c r="G18" s="18" t="n">
        <v>1</v>
      </c>
      <c r="H18" s="18" t="n">
        <v>28000</v>
      </c>
      <c r="I18" s="18" t="n">
        <v>1</v>
      </c>
      <c r="J18" s="18" t="n">
        <v>28000</v>
      </c>
      <c r="K18" s="18">
        <f>IF(E18-I18=0,"",E18-I18)</f>
        <v/>
      </c>
      <c r="L18" s="18">
        <f>IF(F18-J18=0,"",F18-J18)</f>
        <v/>
      </c>
      <c r="M18" s="8" t="inlineStr"/>
    </row>
    <row r="19" outlineLevel="2" ht="22" customHeight="1">
      <c r="B19" s="5" t="inlineStr">
        <is>
          <t>Pinarello 车架 F9  黑白 560</t>
        </is>
      </c>
      <c r="C19" s="15" t="inlineStr">
        <is>
          <t>车架</t>
        </is>
      </c>
      <c r="D19" s="15" t="inlineStr">
        <is>
          <t>Pinarello</t>
        </is>
      </c>
      <c r="E19" s="16" t="n">
        <v>1</v>
      </c>
      <c r="F19" s="16" t="n">
        <v>24400</v>
      </c>
      <c r="G19" s="16" t="n">
        <v>1</v>
      </c>
      <c r="H19" s="16" t="n">
        <v>24400</v>
      </c>
      <c r="I19" s="16" t="n">
        <v>1</v>
      </c>
      <c r="J19" s="16" t="n">
        <v>24400</v>
      </c>
      <c r="K19" s="16">
        <f>IF(E19-I19=0,"",E19-I19)</f>
        <v/>
      </c>
      <c r="L19" s="16">
        <f>IF(F19-J19=0,"",F19-J19)</f>
        <v/>
      </c>
      <c r="M19" s="5" t="inlineStr"/>
    </row>
    <row r="20" outlineLevel="2" ht="22" customHeight="1">
      <c r="B20" s="8" t="inlineStr">
        <is>
          <t>Pinarello 车架 F9  黑白 575</t>
        </is>
      </c>
      <c r="C20" s="17" t="inlineStr">
        <is>
          <t>车架</t>
        </is>
      </c>
      <c r="D20" s="17" t="inlineStr">
        <is>
          <t>Pinarello</t>
        </is>
      </c>
      <c r="E20" s="18" t="n">
        <v>1</v>
      </c>
      <c r="F20" s="18" t="n">
        <v>24400</v>
      </c>
      <c r="G20" s="18" t="n">
        <v>1</v>
      </c>
      <c r="H20" s="18" t="n">
        <v>24400</v>
      </c>
      <c r="I20" s="18" t="n">
        <v>1</v>
      </c>
      <c r="J20" s="18" t="n">
        <v>24400</v>
      </c>
      <c r="K20" s="18">
        <f>IF(E20-I20=0,"",E20-I20)</f>
        <v/>
      </c>
      <c r="L20" s="18">
        <f>IF(F20-J20=0,"",F20-J20)</f>
        <v/>
      </c>
      <c r="M20" s="8" t="inlineStr"/>
    </row>
    <row r="21" outlineLevel="2" ht="22" customHeight="1">
      <c r="B21" s="5" t="inlineStr">
        <is>
          <t>Pinarello 车架 F9 BOB 465</t>
        </is>
      </c>
      <c r="C21" s="15" t="inlineStr">
        <is>
          <t>车架</t>
        </is>
      </c>
      <c r="D21" s="15" t="inlineStr">
        <is>
          <t>Pinarello</t>
        </is>
      </c>
      <c r="E21" s="16" t="n">
        <v>1</v>
      </c>
      <c r="F21" s="16" t="n">
        <v>24400</v>
      </c>
      <c r="G21" s="16" t="n">
        <v>1</v>
      </c>
      <c r="H21" s="16" t="n">
        <v>24400</v>
      </c>
      <c r="I21" s="16" t="n">
        <v>1</v>
      </c>
      <c r="J21" s="16" t="n">
        <v>24400</v>
      </c>
      <c r="K21" s="16">
        <f>IF(E21-I21=0,"",E21-I21)</f>
        <v/>
      </c>
      <c r="L21" s="16">
        <f>IF(F21-J21=0,"",F21-J21)</f>
        <v/>
      </c>
      <c r="M21" s="5" t="inlineStr"/>
    </row>
    <row r="22" outlineLevel="2" ht="22" customHeight="1">
      <c r="B22" s="8" t="inlineStr">
        <is>
          <t>Pinarello 车架 F9 BOB 515</t>
        </is>
      </c>
      <c r="C22" s="17" t="inlineStr">
        <is>
          <t>车架</t>
        </is>
      </c>
      <c r="D22" s="17" t="inlineStr">
        <is>
          <t>Pinarello</t>
        </is>
      </c>
      <c r="E22" s="18" t="n">
        <v>1</v>
      </c>
      <c r="F22" s="18" t="n">
        <v>24400</v>
      </c>
      <c r="G22" s="18" t="n">
        <v>1</v>
      </c>
      <c r="H22" s="18" t="n">
        <v>24400</v>
      </c>
      <c r="I22" s="18" t="n">
        <v>1</v>
      </c>
      <c r="J22" s="18" t="n">
        <v>24400</v>
      </c>
      <c r="K22" s="18">
        <f>IF(E22-I22=0,"",E22-I22)</f>
        <v/>
      </c>
      <c r="L22" s="18">
        <f>IF(F22-J22=0,"",F22-J22)</f>
        <v/>
      </c>
      <c r="M22" s="8" t="inlineStr"/>
    </row>
    <row r="23" outlineLevel="2" ht="22" customHeight="1">
      <c r="B23" s="5" t="inlineStr">
        <is>
          <t>Pinarello 车架 F9 BOB 530</t>
        </is>
      </c>
      <c r="C23" s="15" t="inlineStr">
        <is>
          <t>车架</t>
        </is>
      </c>
      <c r="D23" s="15" t="inlineStr">
        <is>
          <t>Pinarello</t>
        </is>
      </c>
      <c r="E23" s="16" t="n">
        <v>1</v>
      </c>
      <c r="F23" s="16" t="n">
        <v>24400</v>
      </c>
      <c r="G23" s="16" t="n">
        <v>1</v>
      </c>
      <c r="H23" s="16" t="n">
        <v>24400</v>
      </c>
      <c r="I23" s="16" t="n">
        <v>1</v>
      </c>
      <c r="J23" s="16" t="n">
        <v>24400</v>
      </c>
      <c r="K23" s="16">
        <f>IF(E23-I23=0,"",E23-I23)</f>
        <v/>
      </c>
      <c r="L23" s="16">
        <f>IF(F23-J23=0,"",F23-J23)</f>
        <v/>
      </c>
      <c r="M23" s="5" t="inlineStr"/>
    </row>
    <row r="24" outlineLevel="2" ht="22" customHeight="1">
      <c r="B24" s="8" t="inlineStr">
        <is>
          <t>Pinarello 车架 F9 宝石蓝 500</t>
        </is>
      </c>
      <c r="C24" s="17" t="inlineStr">
        <is>
          <t>车架</t>
        </is>
      </c>
      <c r="D24" s="17" t="inlineStr">
        <is>
          <t>Pinarello</t>
        </is>
      </c>
      <c r="E24" s="18" t="n">
        <v>2</v>
      </c>
      <c r="F24" s="18" t="n">
        <v>48800</v>
      </c>
      <c r="G24" s="18" t="n">
        <v>2</v>
      </c>
      <c r="H24" s="18" t="n">
        <v>48800</v>
      </c>
      <c r="I24" s="18" t="n">
        <v>2</v>
      </c>
      <c r="J24" s="18" t="n">
        <v>48800</v>
      </c>
      <c r="K24" s="18">
        <f>IF(E24-I24=0,"",E24-I24)</f>
        <v/>
      </c>
      <c r="L24" s="18">
        <f>IF(F24-J24=0,"",F24-J24)</f>
        <v/>
      </c>
      <c r="M24" s="8" t="inlineStr"/>
    </row>
    <row r="25" outlineLevel="2" ht="22" customHeight="1">
      <c r="B25" s="5" t="inlineStr">
        <is>
          <t>Pinarello 车架 F9 宝石蓝 515</t>
        </is>
      </c>
      <c r="C25" s="15" t="inlineStr">
        <is>
          <t>车架</t>
        </is>
      </c>
      <c r="D25" s="15" t="inlineStr">
        <is>
          <t>Pinarello</t>
        </is>
      </c>
      <c r="E25" s="16" t="n">
        <v>2</v>
      </c>
      <c r="F25" s="16" t="n">
        <v>48800</v>
      </c>
      <c r="G25" s="16" t="n">
        <v>2</v>
      </c>
      <c r="H25" s="16" t="n">
        <v>48800</v>
      </c>
      <c r="I25" s="16" t="n">
        <v>2</v>
      </c>
      <c r="J25" s="16" t="n">
        <v>48800</v>
      </c>
      <c r="K25" s="16">
        <f>IF(E25-I25=0,"",E25-I25)</f>
        <v/>
      </c>
      <c r="L25" s="16">
        <f>IF(F25-J25=0,"",F25-J25)</f>
        <v/>
      </c>
      <c r="M25" s="5" t="inlineStr"/>
    </row>
    <row r="26" outlineLevel="2" ht="22" customHeight="1">
      <c r="B26" s="8" t="inlineStr">
        <is>
          <t>Pinarello 车架 F9 宝石蓝 530</t>
        </is>
      </c>
      <c r="C26" s="17" t="inlineStr">
        <is>
          <t>车架</t>
        </is>
      </c>
      <c r="D26" s="17" t="inlineStr">
        <is>
          <t>Pinarello</t>
        </is>
      </c>
      <c r="E26" s="18" t="n">
        <v>1</v>
      </c>
      <c r="F26" s="18" t="n">
        <v>24400</v>
      </c>
      <c r="G26" s="18" t="n">
        <v>1</v>
      </c>
      <c r="H26" s="18" t="n">
        <v>24400</v>
      </c>
      <c r="I26" s="18" t="n">
        <v>1</v>
      </c>
      <c r="J26" s="18" t="n">
        <v>24400</v>
      </c>
      <c r="K26" s="18">
        <f>IF(E26-I26=0,"",E26-I26)</f>
        <v/>
      </c>
      <c r="L26" s="18">
        <f>IF(F26-J26=0,"",F26-J26)</f>
        <v/>
      </c>
      <c r="M26" s="8" t="inlineStr"/>
    </row>
    <row r="27" outlineLevel="2" ht="22" customHeight="1">
      <c r="B27" s="5" t="inlineStr">
        <is>
          <t>Pinarello 车架 F9 宝石蓝 545</t>
        </is>
      </c>
      <c r="C27" s="15" t="inlineStr">
        <is>
          <t>车架</t>
        </is>
      </c>
      <c r="D27" s="15" t="inlineStr">
        <is>
          <t>Pinarello</t>
        </is>
      </c>
      <c r="E27" s="16" t="n">
        <v>2</v>
      </c>
      <c r="F27" s="16" t="n">
        <v>48800</v>
      </c>
      <c r="G27" s="16" t="n">
        <v>2</v>
      </c>
      <c r="H27" s="16" t="n">
        <v>48800</v>
      </c>
      <c r="I27" s="16" t="n">
        <v>2</v>
      </c>
      <c r="J27" s="16" t="n">
        <v>48800</v>
      </c>
      <c r="K27" s="16">
        <f>IF(E27-I27=0,"",E27-I27)</f>
        <v/>
      </c>
      <c r="L27" s="16">
        <f>IF(F27-J27=0,"",F27-J27)</f>
        <v/>
      </c>
      <c r="M27" s="5" t="inlineStr"/>
    </row>
    <row r="28" outlineLevel="2" ht="22" customHeight="1">
      <c r="B28" s="8" t="inlineStr">
        <is>
          <t>Pinarello 车架 F9 蓝黑 530</t>
        </is>
      </c>
      <c r="C28" s="17" t="inlineStr">
        <is>
          <t>车架</t>
        </is>
      </c>
      <c r="D28" s="17" t="inlineStr">
        <is>
          <t>Pinarello</t>
        </is>
      </c>
      <c r="E28" s="18" t="n">
        <v>1</v>
      </c>
      <c r="F28" s="18" t="n">
        <v>24400</v>
      </c>
      <c r="G28" s="18" t="n">
        <v>1</v>
      </c>
      <c r="H28" s="18" t="n">
        <v>24400</v>
      </c>
      <c r="I28" s="18" t="n">
        <v>1</v>
      </c>
      <c r="J28" s="18" t="n">
        <v>24400</v>
      </c>
      <c r="K28" s="18">
        <f>IF(E28-I28=0,"",E28-I28)</f>
        <v/>
      </c>
      <c r="L28" s="18">
        <f>IF(F28-J28=0,"",F28-J28)</f>
        <v/>
      </c>
      <c r="M28" s="8" t="inlineStr"/>
    </row>
    <row r="29" outlineLevel="2" ht="22" customHeight="1">
      <c r="B29" s="5" t="inlineStr">
        <is>
          <t>Pinarello 车架 X9 金色 545</t>
        </is>
      </c>
      <c r="C29" s="15" t="inlineStr">
        <is>
          <t>车架</t>
        </is>
      </c>
      <c r="D29" s="15" t="inlineStr">
        <is>
          <t>Pinarello</t>
        </is>
      </c>
      <c r="E29" s="16" t="n">
        <v>1</v>
      </c>
      <c r="F29" s="16" t="n">
        <v>21720</v>
      </c>
      <c r="G29" s="16" t="n">
        <v>1</v>
      </c>
      <c r="H29" s="16" t="n">
        <v>21720</v>
      </c>
      <c r="I29" s="16" t="n">
        <v>1</v>
      </c>
      <c r="J29" s="16" t="n">
        <v>21720</v>
      </c>
      <c r="K29" s="16">
        <f>IF(E29-I29=0,"",E29-I29)</f>
        <v/>
      </c>
      <c r="L29" s="16">
        <f>IF(F29-J29=0,"",F29-J29)</f>
        <v/>
      </c>
      <c r="M29" s="5" t="inlineStr"/>
    </row>
    <row r="30" outlineLevel="1" ht="22" customHeight="1">
      <c r="B30" s="19" t="inlineStr">
        <is>
          <t xml:space="preserve">  Pinarello 小计</t>
        </is>
      </c>
      <c r="C30" s="11" t="n"/>
      <c r="D30" s="11" t="n"/>
      <c r="E30" s="12">
        <f>SUM(E9:E29)</f>
        <v/>
      </c>
      <c r="F30" s="12">
        <f>SUM(F9:F29)</f>
        <v/>
      </c>
      <c r="G30" s="12">
        <f>SUM(G9:G29)</f>
        <v/>
      </c>
      <c r="H30" s="12">
        <f>SUM(H9:H29)</f>
        <v/>
      </c>
      <c r="I30" s="12">
        <f>SUM(I9:I29)</f>
        <v/>
      </c>
      <c r="J30" s="12">
        <f>SUM(J9:J29)</f>
        <v/>
      </c>
      <c r="K30" s="12">
        <f>IF(SUMPRODUCT((E9:E29)-(I9:I29))=0,"",SUM(K9:K29))</f>
        <v/>
      </c>
      <c r="L30" s="12">
        <f>IF(SUMPRODUCT((F9:F29)-(J9:J29))=0,"",SUM(L9:L29))</f>
        <v/>
      </c>
      <c r="M30" s="11" t="n"/>
      <c r="N30" s="11" t="n"/>
      <c r="O30" s="11" t="n"/>
      <c r="P30" s="11" t="n"/>
    </row>
    <row r="31" ht="20" customHeight="1">
      <c r="B31" s="14" t="inlineStr">
        <is>
          <t xml:space="preserve">  ▸ 非 Pinarello</t>
        </is>
      </c>
    </row>
    <row r="32" outlineLevel="2" ht="22" customHeight="1">
      <c r="B32" s="5" t="inlineStr">
        <is>
          <t>CANYON 整车 Ultimate 爬坡架 XS</t>
        </is>
      </c>
      <c r="C32" s="15" t="inlineStr">
        <is>
          <t>整车</t>
        </is>
      </c>
      <c r="D32" s="15" t="inlineStr">
        <is>
          <t>CANYON</t>
        </is>
      </c>
      <c r="E32" s="16" t="n">
        <v>1</v>
      </c>
      <c r="F32" s="16" t="n">
        <v>33996</v>
      </c>
      <c r="G32" s="16" t="n">
        <v>1</v>
      </c>
      <c r="H32" s="16" t="n">
        <v>33996</v>
      </c>
      <c r="I32" s="16" t="n">
        <v>1</v>
      </c>
      <c r="J32" s="16" t="n">
        <v>33996</v>
      </c>
      <c r="K32" s="16">
        <f>IF(E32-I32=0,"",E32-I32)</f>
        <v/>
      </c>
      <c r="L32" s="16">
        <f>IF(F32-J32=0,"",F32-J32)</f>
        <v/>
      </c>
      <c r="M32" s="5" t="inlineStr"/>
    </row>
    <row r="33" outlineLevel="2" ht="22" customHeight="1">
      <c r="B33" s="8" t="inlineStr">
        <is>
          <t>Lykos 整车 Lykos 蓝 48</t>
        </is>
      </c>
      <c r="C33" s="17" t="inlineStr">
        <is>
          <t>整车</t>
        </is>
      </c>
      <c r="D33" s="17" t="inlineStr">
        <is>
          <t>Lykos</t>
        </is>
      </c>
      <c r="E33" s="18" t="n">
        <v>1</v>
      </c>
      <c r="F33" s="18" t="n">
        <v>22500</v>
      </c>
      <c r="G33" s="18" t="n">
        <v>1</v>
      </c>
      <c r="H33" s="18" t="n">
        <v>22500</v>
      </c>
      <c r="I33" s="18" t="n">
        <v>1</v>
      </c>
      <c r="J33" s="18" t="n">
        <v>22500</v>
      </c>
      <c r="K33" s="18">
        <f>IF(E33-I33=0,"",E33-I33)</f>
        <v/>
      </c>
      <c r="L33" s="18">
        <f>IF(F33-J33=0,"",F33-J33)</f>
        <v/>
      </c>
      <c r="M33" s="8" t="inlineStr"/>
    </row>
    <row r="34" outlineLevel="2" ht="22" customHeight="1">
      <c r="B34" s="5" t="inlineStr">
        <is>
          <t>AURUM   车架 ESSENTIA 岩石灰 51</t>
        </is>
      </c>
      <c r="C34" s="15" t="inlineStr">
        <is>
          <t>车架</t>
        </is>
      </c>
      <c r="D34" s="15" t="inlineStr">
        <is>
          <t>AURUM</t>
        </is>
      </c>
      <c r="E34" s="16" t="n">
        <v>1</v>
      </c>
      <c r="F34" s="16" t="n">
        <v>22260</v>
      </c>
      <c r="G34" s="16" t="n">
        <v>1</v>
      </c>
      <c r="H34" s="16" t="n">
        <v>22260</v>
      </c>
      <c r="I34" s="16" t="n">
        <v>1</v>
      </c>
      <c r="J34" s="16" t="n">
        <v>22260</v>
      </c>
      <c r="K34" s="16">
        <f>IF(E34-I34=0,"",E34-I34)</f>
        <v/>
      </c>
      <c r="L34" s="16">
        <f>IF(F34-J34=0,"",F34-J34)</f>
        <v/>
      </c>
      <c r="M34" s="5" t="inlineStr"/>
    </row>
    <row r="35" outlineLevel="2" ht="22" customHeight="1">
      <c r="B35" s="8" t="inlineStr">
        <is>
          <t>AURUM   车架 MAGMA V1 玛瑙黑 48</t>
        </is>
      </c>
      <c r="C35" s="17" t="inlineStr">
        <is>
          <t>车架</t>
        </is>
      </c>
      <c r="D35" s="17" t="inlineStr">
        <is>
          <t>AURUM</t>
        </is>
      </c>
      <c r="E35" s="18" t="n">
        <v>1</v>
      </c>
      <c r="F35" s="18" t="n">
        <v>25220</v>
      </c>
      <c r="G35" s="18" t="n">
        <v>1</v>
      </c>
      <c r="H35" s="18" t="n">
        <v>25220</v>
      </c>
      <c r="I35" s="18" t="n">
        <v>1</v>
      </c>
      <c r="J35" s="18" t="n">
        <v>25220</v>
      </c>
      <c r="K35" s="18">
        <f>IF(E35-I35=0,"",E35-I35)</f>
        <v/>
      </c>
      <c r="L35" s="18">
        <f>IF(F35-J35=0,"",F35-J35)</f>
        <v/>
      </c>
      <c r="M35" s="8" t="inlineStr"/>
    </row>
    <row r="36" outlineLevel="2" ht="22" customHeight="1">
      <c r="B36" s="5" t="inlineStr">
        <is>
          <t>AURUM   车架 MAGMA V2 白色 58（含座管）</t>
        </is>
      </c>
      <c r="C36" s="15" t="inlineStr">
        <is>
          <t>车架</t>
        </is>
      </c>
      <c r="D36" s="15" t="inlineStr">
        <is>
          <t>AURUM</t>
        </is>
      </c>
      <c r="E36" s="16" t="n">
        <v>1</v>
      </c>
      <c r="F36" s="16" t="n">
        <v>32760</v>
      </c>
      <c r="G36" s="16" t="n">
        <v>1</v>
      </c>
      <c r="H36" s="16" t="n">
        <v>32760</v>
      </c>
      <c r="I36" s="16" t="n">
        <v>1</v>
      </c>
      <c r="J36" s="16" t="n">
        <v>32760</v>
      </c>
      <c r="K36" s="16">
        <f>IF(E36-I36=0,"",E36-I36)</f>
        <v/>
      </c>
      <c r="L36" s="16">
        <f>IF(F36-J36=0,"",F36-J36)</f>
        <v/>
      </c>
      <c r="M36" s="5" t="inlineStr"/>
    </row>
    <row r="37" outlineLevel="2" ht="22" customHeight="1">
      <c r="B37" s="8" t="inlineStr">
        <is>
          <t>Colnago 车架 C68 格雷金 510</t>
        </is>
      </c>
      <c r="C37" s="17" t="inlineStr">
        <is>
          <t>车架</t>
        </is>
      </c>
      <c r="D37" s="17" t="inlineStr">
        <is>
          <t>Colnago</t>
        </is>
      </c>
      <c r="E37" s="18" t="n">
        <v>1</v>
      </c>
      <c r="F37" s="18" t="n">
        <v>38000</v>
      </c>
      <c r="G37" s="18" t="n">
        <v>1</v>
      </c>
      <c r="H37" s="18" t="n">
        <v>38000</v>
      </c>
      <c r="I37" s="18" t="n">
        <v>1</v>
      </c>
      <c r="J37" s="18" t="n">
        <v>38000</v>
      </c>
      <c r="K37" s="18">
        <f>IF(E37-I37=0,"",E37-I37)</f>
        <v/>
      </c>
      <c r="L37" s="18">
        <f>IF(F37-J37=0,"",F37-J37)</f>
        <v/>
      </c>
      <c r="M37" s="8" t="inlineStr"/>
    </row>
    <row r="38" outlineLevel="2" ht="22" customHeight="1">
      <c r="B38" s="5" t="inlineStr">
        <is>
          <t>Standert 车架 白咖 52</t>
        </is>
      </c>
      <c r="C38" s="15" t="inlineStr">
        <is>
          <t>车架</t>
        </is>
      </c>
      <c r="D38" s="15" t="inlineStr">
        <is>
          <t>Standert</t>
        </is>
      </c>
      <c r="E38" s="16" t="n">
        <v>2</v>
      </c>
      <c r="F38" s="16" t="n">
        <v>30000</v>
      </c>
      <c r="G38" s="16" t="n">
        <v>2</v>
      </c>
      <c r="H38" s="16" t="n">
        <v>30000</v>
      </c>
      <c r="I38" s="16" t="n">
        <v>2</v>
      </c>
      <c r="J38" s="16" t="n">
        <v>30000</v>
      </c>
      <c r="K38" s="16">
        <f>IF(E38-I38=0,"",E38-I38)</f>
        <v/>
      </c>
      <c r="L38" s="16">
        <f>IF(F38-J38=0,"",F38-J38)</f>
        <v/>
      </c>
      <c r="M38" s="5" t="inlineStr">
        <is>
          <t>钢架</t>
        </is>
      </c>
    </row>
    <row r="39" outlineLevel="2" ht="22" customHeight="1">
      <c r="B39" s="8" t="inlineStr">
        <is>
          <t>SRM 功率计 适用 绿色（DUB中轴）</t>
        </is>
      </c>
      <c r="C39" s="17" t="inlineStr">
        <is>
          <t>功率计</t>
        </is>
      </c>
      <c r="D39" s="17" t="inlineStr">
        <is>
          <t>SRM</t>
        </is>
      </c>
      <c r="E39" s="18" t="n">
        <v>1</v>
      </c>
      <c r="F39" s="18" t="n">
        <v>12500</v>
      </c>
      <c r="G39" s="18" t="n">
        <v>1</v>
      </c>
      <c r="H39" s="18" t="n">
        <v>12500</v>
      </c>
      <c r="I39" s="18" t="n">
        <v>1</v>
      </c>
      <c r="J39" s="18" t="n">
        <v>12500</v>
      </c>
      <c r="K39" s="18">
        <f>IF(E39-I39=0,"",E39-I39)</f>
        <v/>
      </c>
      <c r="L39" s="18">
        <f>IF(F39-J39=0,"",F39-J39)</f>
        <v/>
      </c>
      <c r="M39" s="8" t="inlineStr"/>
    </row>
    <row r="40" outlineLevel="2" ht="22" customHeight="1">
      <c r="B40" s="5" t="inlineStr">
        <is>
          <t>DEDA 车把一体把 Alanera RS 42-100</t>
        </is>
      </c>
      <c r="C40" s="15" t="inlineStr">
        <is>
          <t>车把一体把</t>
        </is>
      </c>
      <c r="D40" s="15" t="inlineStr">
        <is>
          <t>DEDA</t>
        </is>
      </c>
      <c r="E40" s="16" t="n">
        <v>1</v>
      </c>
      <c r="F40" s="16" t="n">
        <v>2800</v>
      </c>
      <c r="G40" s="16" t="n">
        <v>1</v>
      </c>
      <c r="H40" s="16" t="n">
        <v>2800</v>
      </c>
      <c r="I40" s="16" t="n">
        <v>1</v>
      </c>
      <c r="J40" s="16" t="n">
        <v>2800</v>
      </c>
      <c r="K40" s="16">
        <f>IF(E40-I40=0,"",E40-I40)</f>
        <v/>
      </c>
      <c r="L40" s="16">
        <f>IF(F40-J40=0,"",F40-J40)</f>
        <v/>
      </c>
      <c r="M40" s="5" t="inlineStr"/>
    </row>
    <row r="41" outlineLevel="2" ht="22" customHeight="1">
      <c r="B41" s="8" t="inlineStr">
        <is>
          <t>DEDA 车把一体把 Alanera RS 42-110</t>
        </is>
      </c>
      <c r="C41" s="17" t="inlineStr">
        <is>
          <t>车把一体把</t>
        </is>
      </c>
      <c r="D41" s="17" t="inlineStr">
        <is>
          <t>DEDA</t>
        </is>
      </c>
      <c r="E41" s="18" t="n">
        <v>1</v>
      </c>
      <c r="F41" s="18" t="n">
        <v>2800</v>
      </c>
      <c r="G41" s="18" t="n">
        <v>1</v>
      </c>
      <c r="H41" s="18" t="n">
        <v>2800</v>
      </c>
      <c r="I41" s="18" t="n">
        <v>1</v>
      </c>
      <c r="J41" s="18" t="n">
        <v>2800</v>
      </c>
      <c r="K41" s="18">
        <f>IF(E41-I41=0,"",E41-I41)</f>
        <v/>
      </c>
      <c r="L41" s="18">
        <f>IF(F41-J41=0,"",F41-J41)</f>
        <v/>
      </c>
      <c r="M41" s="8" t="inlineStr"/>
    </row>
    <row r="42" outlineLevel="2" ht="22" customHeight="1">
      <c r="B42" s="5" t="inlineStr">
        <is>
          <t>DEDA 车把一体把 Alanera RS 44-110</t>
        </is>
      </c>
      <c r="C42" s="15" t="inlineStr">
        <is>
          <t>车把一体把</t>
        </is>
      </c>
      <c r="D42" s="15" t="inlineStr">
        <is>
          <t>DEDA</t>
        </is>
      </c>
      <c r="E42" s="16" t="n">
        <v>7</v>
      </c>
      <c r="F42" s="16" t="n">
        <v>19600</v>
      </c>
      <c r="G42" s="16" t="n">
        <v>7</v>
      </c>
      <c r="H42" s="16" t="n">
        <v>19600</v>
      </c>
      <c r="I42" s="16" t="n">
        <v>7</v>
      </c>
      <c r="J42" s="16" t="n">
        <v>19600</v>
      </c>
      <c r="K42" s="16">
        <f>IF(E42-I42=0,"",E42-I42)</f>
        <v/>
      </c>
      <c r="L42" s="16">
        <f>IF(F42-J42=0,"",F42-J42)</f>
        <v/>
      </c>
      <c r="M42" s="5" t="inlineStr"/>
    </row>
    <row r="43" outlineLevel="2" ht="22" customHeight="1">
      <c r="B43" s="8" t="inlineStr">
        <is>
          <t>EASTON 车把一体把 分体 44-31.8</t>
        </is>
      </c>
      <c r="C43" s="17" t="inlineStr">
        <is>
          <t>车把一体把</t>
        </is>
      </c>
      <c r="D43" s="17" t="inlineStr">
        <is>
          <t>EASTON</t>
        </is>
      </c>
      <c r="E43" s="18" t="n">
        <v>1</v>
      </c>
      <c r="F43" s="18" t="n">
        <v>600</v>
      </c>
      <c r="G43" s="18" t="n">
        <v>1</v>
      </c>
      <c r="H43" s="18" t="n">
        <v>600</v>
      </c>
      <c r="I43" s="18" t="n">
        <v>1</v>
      </c>
      <c r="J43" s="18" t="n">
        <v>600</v>
      </c>
      <c r="K43" s="18">
        <f>IF(E43-I43=0,"",E43-I43)</f>
        <v/>
      </c>
      <c r="L43" s="18">
        <f>IF(F43-J43=0,"",F43-J43)</f>
        <v/>
      </c>
      <c r="M43" s="8" t="inlineStr"/>
    </row>
    <row r="44" outlineLevel="2" ht="22" customHeight="1">
      <c r="B44" s="5" t="inlineStr">
        <is>
          <t>Rapantahi 车把一体把 420-100</t>
        </is>
      </c>
      <c r="C44" s="15" t="inlineStr">
        <is>
          <t>车把一体把</t>
        </is>
      </c>
      <c r="D44" s="15" t="inlineStr">
        <is>
          <t>Rapantahi</t>
        </is>
      </c>
      <c r="E44" s="16" t="n">
        <v>1</v>
      </c>
      <c r="F44" s="16" t="n">
        <v>600</v>
      </c>
      <c r="G44" s="16" t="n">
        <v>1</v>
      </c>
      <c r="H44" s="16" t="n">
        <v>600</v>
      </c>
      <c r="I44" s="16" t="n">
        <v>1</v>
      </c>
      <c r="J44" s="16" t="n">
        <v>600</v>
      </c>
      <c r="K44" s="16">
        <f>IF(E44-I44=0,"",E44-I44)</f>
        <v/>
      </c>
      <c r="L44" s="16">
        <f>IF(F44-J44=0,"",F44-J44)</f>
        <v/>
      </c>
      <c r="M44" s="5" t="inlineStr"/>
    </row>
    <row r="45" outlineLevel="2" ht="22" customHeight="1">
      <c r="B45" s="8" t="inlineStr">
        <is>
          <t>THM 车把一体把 Frontale 400-100</t>
        </is>
      </c>
      <c r="C45" s="17" t="inlineStr">
        <is>
          <t>车把一体把</t>
        </is>
      </c>
      <c r="D45" s="17" t="inlineStr">
        <is>
          <t>THM</t>
        </is>
      </c>
      <c r="E45" s="18" t="n">
        <v>1</v>
      </c>
      <c r="F45" s="18" t="n">
        <v>7520</v>
      </c>
      <c r="G45" s="18" t="n">
        <v>1</v>
      </c>
      <c r="H45" s="18" t="n">
        <v>7520</v>
      </c>
      <c r="I45" s="18" t="n">
        <v>1</v>
      </c>
      <c r="J45" s="18" t="n">
        <v>7520</v>
      </c>
      <c r="K45" s="18">
        <f>IF(E45-I45=0,"",E45-I45)</f>
        <v/>
      </c>
      <c r="L45" s="18">
        <f>IF(F45-J45=0,"",F45-J45)</f>
        <v/>
      </c>
      <c r="M45" s="8" t="inlineStr"/>
    </row>
    <row r="46" outlineLevel="2" ht="22" customHeight="1">
      <c r="B46" s="5" t="inlineStr">
        <is>
          <t>THM 车把一体把 Frontale 400-110</t>
        </is>
      </c>
      <c r="C46" s="15" t="inlineStr">
        <is>
          <t>车把一体把</t>
        </is>
      </c>
      <c r="D46" s="15" t="inlineStr">
        <is>
          <t>THM</t>
        </is>
      </c>
      <c r="E46" s="16" t="n">
        <v>3</v>
      </c>
      <c r="F46" s="16" t="n">
        <v>22560</v>
      </c>
      <c r="G46" s="16" t="n">
        <v>3</v>
      </c>
      <c r="H46" s="16" t="n">
        <v>22560</v>
      </c>
      <c r="I46" s="16" t="n">
        <v>3</v>
      </c>
      <c r="J46" s="16" t="n">
        <v>22560</v>
      </c>
      <c r="K46" s="16">
        <f>IF(E46-I46=0,"",E46-I46)</f>
        <v/>
      </c>
      <c r="L46" s="16">
        <f>IF(F46-J46=0,"",F46-J46)</f>
        <v/>
      </c>
      <c r="M46" s="5" t="inlineStr"/>
    </row>
    <row r="47" outlineLevel="2" ht="22" customHeight="1">
      <c r="B47" s="8" t="inlineStr">
        <is>
          <t>CS 后拨导轮 后拨导轮 银色</t>
        </is>
      </c>
      <c r="C47" s="17" t="inlineStr">
        <is>
          <t>后拨导轮</t>
        </is>
      </c>
      <c r="D47" s="17" t="inlineStr">
        <is>
          <t>CS</t>
        </is>
      </c>
      <c r="E47" s="18" t="n">
        <v>2</v>
      </c>
      <c r="F47" s="18" t="n">
        <v>6600</v>
      </c>
      <c r="G47" s="18" t="n">
        <v>2</v>
      </c>
      <c r="H47" s="18" t="n">
        <v>6600</v>
      </c>
      <c r="I47" s="18" t="n">
        <v>2</v>
      </c>
      <c r="J47" s="18" t="n">
        <v>6600</v>
      </c>
      <c r="K47" s="18">
        <f>IF(E47-I47=0,"",E47-I47)</f>
        <v/>
      </c>
      <c r="L47" s="18">
        <f>IF(F47-J47=0,"",F47-J47)</f>
        <v/>
      </c>
      <c r="M47" s="8" t="inlineStr"/>
    </row>
    <row r="48" outlineLevel="2" ht="22" customHeight="1">
      <c r="B48" s="5" t="inlineStr">
        <is>
          <t>CS 后拨导轮 蓝色（适用于禧玛诺）6年质保</t>
        </is>
      </c>
      <c r="C48" s="15" t="inlineStr">
        <is>
          <t>后拨导轮</t>
        </is>
      </c>
      <c r="D48" s="15" t="inlineStr">
        <is>
          <t>CS</t>
        </is>
      </c>
      <c r="E48" s="16" t="n">
        <v>2</v>
      </c>
      <c r="F48" s="16" t="n">
        <v>4000</v>
      </c>
      <c r="G48" s="16" t="n">
        <v>2</v>
      </c>
      <c r="H48" s="16" t="n">
        <v>4000</v>
      </c>
      <c r="I48" s="16" t="n">
        <v>2</v>
      </c>
      <c r="J48" s="16" t="n">
        <v>4000</v>
      </c>
      <c r="K48" s="16">
        <f>IF(E48-I48=0,"",E48-I48)</f>
        <v/>
      </c>
      <c r="L48" s="16">
        <f>IF(F48-J48=0,"",F48-J48)</f>
        <v/>
      </c>
      <c r="M48" s="5" t="inlineStr"/>
    </row>
    <row r="49" outlineLevel="1" ht="22" customHeight="1">
      <c r="B49" s="19" t="inlineStr">
        <is>
          <t xml:space="preserve">  非 Pinarello 小计</t>
        </is>
      </c>
      <c r="C49" s="11" t="n"/>
      <c r="D49" s="11" t="n"/>
      <c r="E49" s="12">
        <f>SUM(E32:E48)</f>
        <v/>
      </c>
      <c r="F49" s="12">
        <f>SUM(F32:F48)</f>
        <v/>
      </c>
      <c r="G49" s="12">
        <f>SUM(G32:G48)</f>
        <v/>
      </c>
      <c r="H49" s="12">
        <f>SUM(H32:H48)</f>
        <v/>
      </c>
      <c r="I49" s="12">
        <f>SUM(I32:I48)</f>
        <v/>
      </c>
      <c r="J49" s="12">
        <f>SUM(J32:J48)</f>
        <v/>
      </c>
      <c r="K49" s="12">
        <f>IF(SUMPRODUCT((E32:E48)-(I32:I48))=0,"",SUM(K32:K48))</f>
        <v/>
      </c>
      <c r="L49" s="12">
        <f>IF(SUMPRODUCT((F32:F48)-(J32:J48))=0,"",SUM(L32:L48))</f>
        <v/>
      </c>
      <c r="M49" s="11" t="n"/>
      <c r="N49" s="11" t="n"/>
      <c r="O49" s="11" t="n"/>
      <c r="P49" s="11" t="n"/>
    </row>
    <row r="50" ht="22" customHeight="1">
      <c r="B50" s="19" t="inlineStr">
        <is>
          <t>张振 小计</t>
        </is>
      </c>
      <c r="C50" s="11" t="n"/>
      <c r="D50" s="11" t="n"/>
      <c r="E50" s="12">
        <f>E30+E49</f>
        <v/>
      </c>
      <c r="F50" s="12">
        <f>F30+F49</f>
        <v/>
      </c>
      <c r="G50" s="12">
        <f>G30+G49</f>
        <v/>
      </c>
      <c r="H50" s="12">
        <f>H30+H49</f>
        <v/>
      </c>
      <c r="I50" s="12">
        <f>I30+I49</f>
        <v/>
      </c>
      <c r="J50" s="12">
        <f>J30+J49</f>
        <v/>
      </c>
      <c r="K50" s="12">
        <f>IF(N(K30)+N(K49)=0,"",N(K30)+N(K49))</f>
        <v/>
      </c>
      <c r="L50" s="12">
        <f>IF(N(L30)+N(L49)=0,"",N(L30)+N(L49))</f>
        <v/>
      </c>
      <c r="M50" s="11" t="n"/>
      <c r="N50" s="29" t="n"/>
      <c r="O50" s="30">
        <f>IF(OR(N50="",L50=""),"",L50/N50)</f>
        <v/>
      </c>
      <c r="P50" s="29" t="n"/>
    </row>
    <row r="52" ht="26" customHeight="1">
      <c r="B52" s="27" t="inlineStr">
        <is>
          <t>▸  郭城</t>
        </is>
      </c>
    </row>
    <row r="53" outlineLevel="1" ht="22" customHeight="1">
      <c r="B53" s="5" t="inlineStr">
        <is>
          <t>Cline 整车 火焰清漆M2</t>
        </is>
      </c>
      <c r="C53" s="15" t="inlineStr">
        <is>
          <t>整车</t>
        </is>
      </c>
      <c r="D53" s="15" t="inlineStr">
        <is>
          <t>Cline</t>
        </is>
      </c>
      <c r="E53" s="16" t="n">
        <v>1</v>
      </c>
      <c r="F53" s="16" t="n">
        <v>10888</v>
      </c>
      <c r="G53" s="16" t="n">
        <v>1</v>
      </c>
      <c r="H53" s="16" t="n">
        <v>10888</v>
      </c>
      <c r="I53" s="16" t="n">
        <v>0</v>
      </c>
      <c r="J53" s="16" t="n">
        <v>0</v>
      </c>
      <c r="K53" s="16">
        <f>IF(E53-I53=0,"",E53-I53)</f>
        <v/>
      </c>
      <c r="L53" s="16">
        <f>IF(F53-J53=0,"",F53-J53)</f>
        <v/>
      </c>
      <c r="M53" s="5" t="inlineStr"/>
    </row>
    <row r="54" outlineLevel="1" ht="22" customHeight="1">
      <c r="B54" s="8" t="inlineStr">
        <is>
          <t>Colnago 整车 Colnago V4 红色 420</t>
        </is>
      </c>
      <c r="C54" s="17" t="inlineStr">
        <is>
          <t>整车</t>
        </is>
      </c>
      <c r="D54" s="17" t="inlineStr">
        <is>
          <t>Colnago</t>
        </is>
      </c>
      <c r="E54" s="18" t="n">
        <v>1</v>
      </c>
      <c r="F54" s="18" t="n">
        <v>41468</v>
      </c>
      <c r="G54" s="18" t="n">
        <v>1</v>
      </c>
      <c r="H54" s="18" t="n">
        <v>41468</v>
      </c>
      <c r="I54" s="18" t="n">
        <v>1</v>
      </c>
      <c r="J54" s="18" t="n">
        <v>41468</v>
      </c>
      <c r="K54" s="18">
        <f>IF(E54-I54=0,"",E54-I54)</f>
        <v/>
      </c>
      <c r="L54" s="18">
        <f>IF(F54-J54=0,"",F54-J54)</f>
        <v/>
      </c>
      <c r="M54" s="8" t="inlineStr"/>
    </row>
    <row r="55" outlineLevel="1" ht="22" customHeight="1">
      <c r="B55" s="5" t="inlineStr">
        <is>
          <t>GUSTO 整车 GTR 白色 M</t>
        </is>
      </c>
      <c r="C55" s="15" t="inlineStr">
        <is>
          <t>整车</t>
        </is>
      </c>
      <c r="D55" s="15" t="inlineStr">
        <is>
          <t>GUSTO</t>
        </is>
      </c>
      <c r="E55" s="16" t="n">
        <v>1</v>
      </c>
      <c r="F55" s="16" t="n">
        <v>11800</v>
      </c>
      <c r="G55" s="16" t="n">
        <v>1</v>
      </c>
      <c r="H55" s="16" t="n">
        <v>11800</v>
      </c>
      <c r="I55" s="16" t="n">
        <v>1</v>
      </c>
      <c r="J55" s="16" t="n">
        <v>11800</v>
      </c>
      <c r="K55" s="16">
        <f>IF(E55-I55=0,"",E55-I55)</f>
        <v/>
      </c>
      <c r="L55" s="16">
        <f>IF(F55-J55=0,"",F55-J55)</f>
        <v/>
      </c>
      <c r="M55" s="5" t="inlineStr"/>
    </row>
    <row r="56" outlineLevel="1" ht="22" customHeight="1">
      <c r="B56" s="8" t="inlineStr">
        <is>
          <t>RIDLEY 整车 紫色 M码（带车把）</t>
        </is>
      </c>
      <c r="C56" s="17" t="inlineStr">
        <is>
          <t>整车</t>
        </is>
      </c>
      <c r="D56" s="17" t="inlineStr">
        <is>
          <t>RIDLEY</t>
        </is>
      </c>
      <c r="E56" s="18" t="n">
        <v>1</v>
      </c>
      <c r="F56" s="18" t="n">
        <v>16500</v>
      </c>
      <c r="G56" s="18" t="n">
        <v>1</v>
      </c>
      <c r="H56" s="18" t="n">
        <v>16500</v>
      </c>
      <c r="I56" s="18" t="n">
        <v>1</v>
      </c>
      <c r="J56" s="18" t="n">
        <v>16500</v>
      </c>
      <c r="K56" s="18">
        <f>IF(E56-I56=0,"",E56-I56)</f>
        <v/>
      </c>
      <c r="L56" s="18">
        <f>IF(F56-J56=0,"",F56-J56)</f>
        <v/>
      </c>
      <c r="M56" s="8" t="inlineStr"/>
    </row>
    <row r="57" outlineLevel="1" ht="22" customHeight="1">
      <c r="B57" s="5" t="inlineStr">
        <is>
          <t>Standert 车架 黑 48</t>
        </is>
      </c>
      <c r="C57" s="15" t="inlineStr">
        <is>
          <t>车架</t>
        </is>
      </c>
      <c r="D57" s="15" t="inlineStr">
        <is>
          <t>Standert</t>
        </is>
      </c>
      <c r="E57" s="16" t="n">
        <v>1</v>
      </c>
      <c r="F57" s="16" t="n">
        <v>15000</v>
      </c>
      <c r="G57" s="16" t="n">
        <v>1</v>
      </c>
      <c r="H57" s="16" t="n">
        <v>15000</v>
      </c>
      <c r="I57" s="16" t="n">
        <v>1</v>
      </c>
      <c r="J57" s="16" t="n">
        <v>15000</v>
      </c>
      <c r="K57" s="16">
        <f>IF(E57-I57=0,"",E57-I57)</f>
        <v/>
      </c>
      <c r="L57" s="16">
        <f>IF(F57-J57=0,"",F57-J57)</f>
        <v/>
      </c>
      <c r="M57" s="5" t="inlineStr">
        <is>
          <t>钢架</t>
        </is>
      </c>
    </row>
    <row r="58" outlineLevel="1" ht="22" customHeight="1">
      <c r="B58" s="8" t="inlineStr">
        <is>
          <t>DT 轮组 ARC 1100 38 (SH)</t>
        </is>
      </c>
      <c r="C58" s="17" t="inlineStr">
        <is>
          <t>轮组</t>
        </is>
      </c>
      <c r="D58" s="17" t="inlineStr">
        <is>
          <t>DT</t>
        </is>
      </c>
      <c r="E58" s="18" t="n">
        <v>1</v>
      </c>
      <c r="F58" s="18" t="n">
        <v>13100</v>
      </c>
      <c r="G58" s="18" t="n">
        <v>1</v>
      </c>
      <c r="H58" s="18" t="n">
        <v>13100</v>
      </c>
      <c r="I58" s="18" t="n">
        <v>1</v>
      </c>
      <c r="J58" s="18" t="n">
        <v>13100</v>
      </c>
      <c r="K58" s="18">
        <f>IF(E58-I58=0,"",E58-I58)</f>
        <v/>
      </c>
      <c r="L58" s="18">
        <f>IF(F58-J58=0,"",F58-J58)</f>
        <v/>
      </c>
      <c r="M58" s="8" t="inlineStr"/>
    </row>
    <row r="59" outlineLevel="1" ht="22" customHeight="1">
      <c r="B59" s="5" t="inlineStr">
        <is>
          <t>FSA 轮组 vision 45 RS</t>
        </is>
      </c>
      <c r="C59" s="15" t="inlineStr">
        <is>
          <t>轮组</t>
        </is>
      </c>
      <c r="D59" s="15" t="inlineStr">
        <is>
          <t>FSA</t>
        </is>
      </c>
      <c r="E59" s="16" t="n">
        <v>1</v>
      </c>
      <c r="F59" s="16" t="n">
        <v>18488</v>
      </c>
      <c r="G59" s="16" t="n">
        <v>1</v>
      </c>
      <c r="H59" s="16" t="n">
        <v>18488</v>
      </c>
      <c r="I59" s="16" t="n">
        <v>1</v>
      </c>
      <c r="J59" s="16" t="n">
        <v>18488</v>
      </c>
      <c r="K59" s="16">
        <f>IF(E59-I59=0,"",E59-I59)</f>
        <v/>
      </c>
      <c r="L59" s="16">
        <f>IF(F59-J59=0,"",F59-J59)</f>
        <v/>
      </c>
      <c r="M59" s="5" t="inlineStr"/>
    </row>
    <row r="60" outlineLevel="1" ht="22" customHeight="1">
      <c r="B60" s="8" t="inlineStr">
        <is>
          <t>ZIPP 轮组 353 (SH)</t>
        </is>
      </c>
      <c r="C60" s="17" t="inlineStr">
        <is>
          <t>轮组</t>
        </is>
      </c>
      <c r="D60" s="17" t="inlineStr">
        <is>
          <t>ZIPP</t>
        </is>
      </c>
      <c r="E60" s="18" t="n">
        <v>17</v>
      </c>
      <c r="F60" s="18" t="n">
        <v>243015</v>
      </c>
      <c r="G60" s="18" t="n">
        <v>17</v>
      </c>
      <c r="H60" s="18" t="n">
        <v>243015</v>
      </c>
      <c r="I60" s="18" t="n">
        <v>17</v>
      </c>
      <c r="J60" s="18" t="n">
        <v>243015</v>
      </c>
      <c r="K60" s="18">
        <f>IF(E60-I60=0,"",E60-I60)</f>
        <v/>
      </c>
      <c r="L60" s="18">
        <f>IF(F60-J60=0,"",F60-J60)</f>
        <v/>
      </c>
      <c r="M60" s="8" t="inlineStr"/>
    </row>
    <row r="61" outlineLevel="1" ht="22" customHeight="1">
      <c r="B61" s="5" t="inlineStr">
        <is>
          <t>CARBON—TI 盘片 55-40</t>
        </is>
      </c>
      <c r="C61" s="15" t="inlineStr">
        <is>
          <t>盘片</t>
        </is>
      </c>
      <c r="D61" s="15" t="inlineStr">
        <is>
          <t>CARBON—TI</t>
        </is>
      </c>
      <c r="E61" s="16" t="n">
        <v>1</v>
      </c>
      <c r="F61" s="16" t="n">
        <v>3000</v>
      </c>
      <c r="G61" s="16" t="n">
        <v>1</v>
      </c>
      <c r="H61" s="16" t="n">
        <v>3000</v>
      </c>
      <c r="I61" s="16" t="n">
        <v>1</v>
      </c>
      <c r="J61" s="16" t="n">
        <v>3000</v>
      </c>
      <c r="K61" s="16">
        <f>IF(E61-I61=0,"",E61-I61)</f>
        <v/>
      </c>
      <c r="L61" s="16">
        <f>IF(F61-J61=0,"",F61-J61)</f>
        <v/>
      </c>
      <c r="M61" s="5" t="inlineStr"/>
    </row>
    <row r="62" outlineLevel="1" ht="22" customHeight="1">
      <c r="B62" s="8" t="inlineStr">
        <is>
          <t>DEDA 车把一体把 Alanera RS 40-100</t>
        </is>
      </c>
      <c r="C62" s="17" t="inlineStr">
        <is>
          <t>车把一体把</t>
        </is>
      </c>
      <c r="D62" s="17" t="inlineStr">
        <is>
          <t>DEDA</t>
        </is>
      </c>
      <c r="E62" s="18" t="n">
        <v>16</v>
      </c>
      <c r="F62" s="18" t="n">
        <v>44800</v>
      </c>
      <c r="G62" s="18" t="n">
        <v>15</v>
      </c>
      <c r="H62" s="18" t="n">
        <v>42000</v>
      </c>
      <c r="I62" s="18" t="n">
        <v>15</v>
      </c>
      <c r="J62" s="18" t="n">
        <v>42000</v>
      </c>
      <c r="K62" s="18">
        <f>IF(E62-I62=0,"",E62-I62)</f>
        <v/>
      </c>
      <c r="L62" s="18">
        <f>IF(F62-J62=0,"",F62-J62)</f>
        <v/>
      </c>
      <c r="M62" s="8" t="inlineStr"/>
    </row>
    <row r="63" outlineLevel="1" ht="22" customHeight="1">
      <c r="B63" s="5" t="inlineStr">
        <is>
          <t>DEDA 车把一体把 Alanera RS 40-110</t>
        </is>
      </c>
      <c r="C63" s="15" t="inlineStr">
        <is>
          <t>车把一体把</t>
        </is>
      </c>
      <c r="D63" s="15" t="inlineStr">
        <is>
          <t>DEDA</t>
        </is>
      </c>
      <c r="E63" s="16" t="n">
        <v>11</v>
      </c>
      <c r="F63" s="16" t="n">
        <v>30800</v>
      </c>
      <c r="G63" s="16" t="n">
        <v>11</v>
      </c>
      <c r="H63" s="16" t="n">
        <v>30800</v>
      </c>
      <c r="I63" s="16" t="n">
        <v>11</v>
      </c>
      <c r="J63" s="16" t="n">
        <v>30800</v>
      </c>
      <c r="K63" s="16">
        <f>IF(E63-I63=0,"",E63-I63)</f>
        <v/>
      </c>
      <c r="L63" s="16">
        <f>IF(F63-J63=0,"",F63-J63)</f>
        <v/>
      </c>
      <c r="M63" s="5" t="inlineStr"/>
    </row>
    <row r="64" outlineLevel="1" ht="22" customHeight="1">
      <c r="B64" s="8" t="inlineStr">
        <is>
          <t>DEDA 车把一体把 Alanera RS 44-100</t>
        </is>
      </c>
      <c r="C64" s="17" t="inlineStr">
        <is>
          <t>车把一体把</t>
        </is>
      </c>
      <c r="D64" s="17" t="inlineStr">
        <is>
          <t>DEDA</t>
        </is>
      </c>
      <c r="E64" s="18" t="n">
        <v>9</v>
      </c>
      <c r="F64" s="18" t="n">
        <v>25200</v>
      </c>
      <c r="G64" s="18" t="n">
        <v>9</v>
      </c>
      <c r="H64" s="18" t="n">
        <v>25200</v>
      </c>
      <c r="I64" s="18" t="n">
        <v>9</v>
      </c>
      <c r="J64" s="18" t="n">
        <v>25200</v>
      </c>
      <c r="K64" s="18">
        <f>IF(E64-I64=0,"",E64-I64)</f>
        <v/>
      </c>
      <c r="L64" s="18">
        <f>IF(F64-J64=0,"",F64-J64)</f>
        <v/>
      </c>
      <c r="M64" s="8" t="inlineStr"/>
    </row>
    <row r="65" outlineLevel="1" ht="22" customHeight="1">
      <c r="B65" s="5" t="inlineStr">
        <is>
          <t>DEDA 车把一体把 Alanera RS 44-120</t>
        </is>
      </c>
      <c r="C65" s="15" t="inlineStr">
        <is>
          <t>车把一体把</t>
        </is>
      </c>
      <c r="D65" s="15" t="inlineStr">
        <is>
          <t>DEDA</t>
        </is>
      </c>
      <c r="E65" s="16" t="n">
        <v>8</v>
      </c>
      <c r="F65" s="16" t="n">
        <v>22400</v>
      </c>
      <c r="G65" s="16" t="n">
        <v>8</v>
      </c>
      <c r="H65" s="16" t="n">
        <v>22400</v>
      </c>
      <c r="I65" s="16" t="n">
        <v>8</v>
      </c>
      <c r="J65" s="16" t="n">
        <v>22400</v>
      </c>
      <c r="K65" s="16">
        <f>IF(E65-I65=0,"",E65-I65)</f>
        <v/>
      </c>
      <c r="L65" s="16">
        <f>IF(F65-J65=0,"",F65-J65)</f>
        <v/>
      </c>
      <c r="M65" s="5" t="inlineStr"/>
    </row>
    <row r="66" ht="22" customHeight="1">
      <c r="B66" s="19" t="inlineStr">
        <is>
          <t>郭城 小计</t>
        </is>
      </c>
      <c r="C66" s="11" t="n"/>
      <c r="D66" s="11" t="n"/>
      <c r="E66" s="12">
        <f>SUM(E53:E65)</f>
        <v/>
      </c>
      <c r="F66" s="12">
        <f>SUM(F53:F65)</f>
        <v/>
      </c>
      <c r="G66" s="12">
        <f>SUM(G53:G65)</f>
        <v/>
      </c>
      <c r="H66" s="12">
        <f>SUM(H53:H65)</f>
        <v/>
      </c>
      <c r="I66" s="12">
        <f>SUM(I53:I65)</f>
        <v/>
      </c>
      <c r="J66" s="12">
        <f>SUM(J53:J65)</f>
        <v/>
      </c>
      <c r="K66" s="12">
        <f>IF(SUMPRODUCT((E53:E65)-(I53:I65))=0,"",SUM(K53:K65))</f>
        <v/>
      </c>
      <c r="L66" s="12">
        <f>IF(SUMPRODUCT((F53:F65)-(J53:J65))=0,"",SUM(L53:L65))</f>
        <v/>
      </c>
      <c r="M66" s="11" t="n"/>
      <c r="N66" s="29" t="n"/>
      <c r="O66" s="30">
        <f>IF(OR(N66="",L66=""),"",L66/N66)</f>
        <v/>
      </c>
      <c r="P66" s="29" t="n"/>
    </row>
    <row r="68" ht="26" customHeight="1">
      <c r="B68" s="27" t="inlineStr">
        <is>
          <t>▸  潘昊</t>
        </is>
      </c>
    </row>
    <row r="69" outlineLevel="1" ht="22" customHeight="1">
      <c r="B69" s="5" t="inlineStr">
        <is>
          <t>De Rosa 车架 idol 红 53</t>
        </is>
      </c>
      <c r="C69" s="15" t="inlineStr">
        <is>
          <t>车架</t>
        </is>
      </c>
      <c r="D69" s="15" t="inlineStr">
        <is>
          <t>De Rosa</t>
        </is>
      </c>
      <c r="E69" s="16" t="n">
        <v>1</v>
      </c>
      <c r="F69" s="16" t="n">
        <v>18000</v>
      </c>
      <c r="G69" s="16" t="n">
        <v>1</v>
      </c>
      <c r="H69" s="16" t="n">
        <v>18000</v>
      </c>
      <c r="I69" s="16" t="n">
        <v>1</v>
      </c>
      <c r="J69" s="16" t="n">
        <v>18000</v>
      </c>
      <c r="K69" s="16">
        <f>IF(E69-I69=0,"",E69-I69)</f>
        <v/>
      </c>
      <c r="L69" s="16">
        <f>IF(F69-J69=0,"",F69-J69)</f>
        <v/>
      </c>
      <c r="M69" s="5" t="inlineStr"/>
    </row>
    <row r="70" outlineLevel="1" ht="22" customHeight="1">
      <c r="B70" s="8" t="inlineStr">
        <is>
          <t>RIDLEY 车架 粉色 XS码（带车把）</t>
        </is>
      </c>
      <c r="C70" s="17" t="inlineStr">
        <is>
          <t>车架</t>
        </is>
      </c>
      <c r="D70" s="17" t="inlineStr">
        <is>
          <t>RIDLEY</t>
        </is>
      </c>
      <c r="E70" s="18" t="n">
        <v>1</v>
      </c>
      <c r="F70" s="18" t="n">
        <v>7825</v>
      </c>
      <c r="G70" s="18" t="n">
        <v>1</v>
      </c>
      <c r="H70" s="18" t="n">
        <v>7825</v>
      </c>
      <c r="I70" s="18" t="n">
        <v>1</v>
      </c>
      <c r="J70" s="18" t="n">
        <v>7825</v>
      </c>
      <c r="K70" s="18">
        <f>IF(E70-I70=0,"",E70-I70)</f>
        <v/>
      </c>
      <c r="L70" s="18">
        <f>IF(F70-J70=0,"",F70-J70)</f>
        <v/>
      </c>
      <c r="M70" s="8" t="inlineStr"/>
    </row>
    <row r="71" outlineLevel="1" ht="22" customHeight="1">
      <c r="B71" s="5" t="inlineStr">
        <is>
          <t>RIDLEY 车架 黑白 L码（带车把）</t>
        </is>
      </c>
      <c r="C71" s="15" t="inlineStr">
        <is>
          <t>车架</t>
        </is>
      </c>
      <c r="D71" s="15" t="inlineStr">
        <is>
          <t>RIDLEY</t>
        </is>
      </c>
      <c r="E71" s="16" t="n">
        <v>1</v>
      </c>
      <c r="F71" s="16" t="n">
        <v>7825</v>
      </c>
      <c r="G71" s="16" t="n">
        <v>1</v>
      </c>
      <c r="H71" s="16" t="n">
        <v>7825</v>
      </c>
      <c r="I71" s="16" t="n">
        <v>1</v>
      </c>
      <c r="J71" s="16" t="n">
        <v>7825</v>
      </c>
      <c r="K71" s="16">
        <f>IF(E71-I71=0,"",E71-I71)</f>
        <v/>
      </c>
      <c r="L71" s="16">
        <f>IF(F71-J71=0,"",F71-J71)</f>
        <v/>
      </c>
      <c r="M71" s="5" t="inlineStr"/>
    </row>
    <row r="72" outlineLevel="1" ht="22" customHeight="1">
      <c r="B72" s="8" t="inlineStr">
        <is>
          <t>SPECIALIZED 车架 SL8 玫瑰金 54</t>
        </is>
      </c>
      <c r="C72" s="17" t="inlineStr">
        <is>
          <t>车架</t>
        </is>
      </c>
      <c r="D72" s="17" t="inlineStr">
        <is>
          <t>SPECIALIZED</t>
        </is>
      </c>
      <c r="E72" s="18" t="n">
        <v>1</v>
      </c>
      <c r="F72" s="18" t="n">
        <v>31550</v>
      </c>
      <c r="G72" s="18" t="n">
        <v>1</v>
      </c>
      <c r="H72" s="18" t="n">
        <v>31550</v>
      </c>
      <c r="I72" s="18" t="n">
        <v>1</v>
      </c>
      <c r="J72" s="18" t="n">
        <v>31550</v>
      </c>
      <c r="K72" s="18">
        <f>IF(E72-I72=0,"",E72-I72)</f>
        <v/>
      </c>
      <c r="L72" s="18">
        <f>IF(F72-J72=0,"",F72-J72)</f>
        <v/>
      </c>
      <c r="M72" s="8" t="inlineStr"/>
    </row>
    <row r="73" outlineLevel="1" ht="22" customHeight="1">
      <c r="B73" s="5" t="inlineStr">
        <is>
          <t>SCOM 风刃 轮组 49/67 银标 碟刹</t>
        </is>
      </c>
      <c r="C73" s="15" t="inlineStr">
        <is>
          <t>轮组</t>
        </is>
      </c>
      <c r="D73" s="15" t="inlineStr">
        <is>
          <t>SCOM 风刃</t>
        </is>
      </c>
      <c r="E73" s="16" t="n">
        <v>5</v>
      </c>
      <c r="F73" s="16" t="n">
        <v>17500</v>
      </c>
      <c r="G73" s="16" t="n">
        <v>2</v>
      </c>
      <c r="H73" s="16" t="n">
        <v>7000</v>
      </c>
      <c r="I73" s="16" t="n">
        <v>2</v>
      </c>
      <c r="J73" s="16" t="n">
        <v>7000</v>
      </c>
      <c r="K73" s="16">
        <f>IF(E73-I73=0,"",E73-I73)</f>
        <v/>
      </c>
      <c r="L73" s="16">
        <f>IF(F73-J73=0,"",F73-J73)</f>
        <v/>
      </c>
      <c r="M73" s="5" t="inlineStr"/>
    </row>
    <row r="74" outlineLevel="1" ht="22" customHeight="1">
      <c r="B74" s="8" t="inlineStr">
        <is>
          <t>SCOM 风刃 轮组 49/67 黑标 碟刹</t>
        </is>
      </c>
      <c r="C74" s="17" t="inlineStr">
        <is>
          <t>轮组</t>
        </is>
      </c>
      <c r="D74" s="17" t="inlineStr">
        <is>
          <t>SCOM 风刃</t>
        </is>
      </c>
      <c r="E74" s="18" t="n">
        <v>8</v>
      </c>
      <c r="F74" s="18" t="n">
        <v>28000</v>
      </c>
      <c r="G74" s="18" t="n">
        <v>6</v>
      </c>
      <c r="H74" s="18" t="n">
        <v>21000</v>
      </c>
      <c r="I74" s="18" t="n">
        <v>6</v>
      </c>
      <c r="J74" s="18" t="n">
        <v>21000</v>
      </c>
      <c r="K74" s="18">
        <f>IF(E74-I74=0,"",E74-I74)</f>
        <v/>
      </c>
      <c r="L74" s="18">
        <f>IF(F74-J74=0,"",F74-J74)</f>
        <v/>
      </c>
      <c r="M74" s="8" t="inlineStr"/>
    </row>
    <row r="75" outlineLevel="1" ht="22" customHeight="1">
      <c r="B75" s="5" t="inlineStr">
        <is>
          <t>Superteam 轮组 水滴纹 (SH)</t>
        </is>
      </c>
      <c r="C75" s="15" t="inlineStr">
        <is>
          <t>轮组</t>
        </is>
      </c>
      <c r="D75" s="15" t="inlineStr">
        <is>
          <t>Superteam</t>
        </is>
      </c>
      <c r="E75" s="16" t="n">
        <v>1</v>
      </c>
      <c r="F75" s="16" t="n">
        <v>6099</v>
      </c>
      <c r="G75" s="16" t="n">
        <v>1</v>
      </c>
      <c r="H75" s="16" t="n">
        <v>6099</v>
      </c>
      <c r="I75" s="16" t="n">
        <v>1</v>
      </c>
      <c r="J75" s="16" t="n">
        <v>6099</v>
      </c>
      <c r="K75" s="16">
        <f>IF(E75-I75=0,"",E75-I75)</f>
        <v/>
      </c>
      <c r="L75" s="16">
        <f>IF(F75-J75=0,"",F75-J75)</f>
        <v/>
      </c>
      <c r="M75" s="5" t="inlineStr"/>
    </row>
    <row r="76" outlineLevel="1" ht="22" customHeight="1">
      <c r="B76" s="8" t="inlineStr">
        <is>
          <t>Superteam 轮组 鲨鱼纹 (SH)</t>
        </is>
      </c>
      <c r="C76" s="17" t="inlineStr">
        <is>
          <t>轮组</t>
        </is>
      </c>
      <c r="D76" s="17" t="inlineStr">
        <is>
          <t>Superteam</t>
        </is>
      </c>
      <c r="E76" s="18" t="n">
        <v>1</v>
      </c>
      <c r="F76" s="18" t="n">
        <v>4199</v>
      </c>
      <c r="G76" s="18" t="n">
        <v>1</v>
      </c>
      <c r="H76" s="18" t="n">
        <v>4199</v>
      </c>
      <c r="I76" s="18" t="n">
        <v>1</v>
      </c>
      <c r="J76" s="18" t="n">
        <v>4199</v>
      </c>
      <c r="K76" s="18">
        <f>IF(E76-I76=0,"",E76-I76)</f>
        <v/>
      </c>
      <c r="L76" s="18">
        <f>IF(F76-J76=0,"",F76-J76)</f>
        <v/>
      </c>
      <c r="M76" s="8" t="inlineStr"/>
    </row>
    <row r="77" outlineLevel="1" ht="22" customHeight="1">
      <c r="B77" s="5" t="inlineStr">
        <is>
          <t>POWER 2 MAX 曲柄组 ngeco 170</t>
        </is>
      </c>
      <c r="C77" s="15" t="inlineStr">
        <is>
          <t>曲柄组</t>
        </is>
      </c>
      <c r="D77" s="15" t="inlineStr">
        <is>
          <t>POWER 2 MAX</t>
        </is>
      </c>
      <c r="E77" s="16" t="n">
        <v>5</v>
      </c>
      <c r="F77" s="16" t="n">
        <v>2470</v>
      </c>
      <c r="G77" s="16" t="n">
        <v>5</v>
      </c>
      <c r="H77" s="16" t="n">
        <v>2470</v>
      </c>
      <c r="I77" s="16" t="n">
        <v>5</v>
      </c>
      <c r="J77" s="16" t="n">
        <v>2470</v>
      </c>
      <c r="K77" s="16">
        <f>IF(E77-I77=0,"",E77-I77)</f>
        <v/>
      </c>
      <c r="L77" s="16">
        <f>IF(F77-J77=0,"",F77-J77)</f>
        <v/>
      </c>
      <c r="M77" s="5" t="inlineStr">
        <is>
          <t>搭配自己的功率计组合</t>
        </is>
      </c>
    </row>
    <row r="78" outlineLevel="1" ht="22" customHeight="1">
      <c r="B78" s="8" t="inlineStr">
        <is>
          <t>POWER 2 MAX 曲柄组 ngeco 172.5</t>
        </is>
      </c>
      <c r="C78" s="17" t="inlineStr">
        <is>
          <t>曲柄组</t>
        </is>
      </c>
      <c r="D78" s="17" t="inlineStr">
        <is>
          <t>POWER 2 MAX</t>
        </is>
      </c>
      <c r="E78" s="18" t="n">
        <v>1</v>
      </c>
      <c r="F78" s="18" t="n">
        <v>494</v>
      </c>
      <c r="G78" s="18" t="n">
        <v>1</v>
      </c>
      <c r="H78" s="18" t="n">
        <v>494</v>
      </c>
      <c r="I78" s="18" t="n">
        <v>1</v>
      </c>
      <c r="J78" s="18" t="n">
        <v>494</v>
      </c>
      <c r="K78" s="18">
        <f>IF(E78-I78=0,"",E78-I78)</f>
        <v/>
      </c>
      <c r="L78" s="18">
        <f>IF(F78-J78=0,"",F78-J78)</f>
        <v/>
      </c>
      <c r="M78" s="8" t="inlineStr">
        <is>
          <t>搭配自己的功率计组合</t>
        </is>
      </c>
    </row>
    <row r="79" outlineLevel="1" ht="22" customHeight="1">
      <c r="B79" s="5" t="inlineStr">
        <is>
          <t>POWER 2 MAX 功率计 适用（SHIMANO）</t>
        </is>
      </c>
      <c r="C79" s="15" t="inlineStr">
        <is>
          <t>功率计</t>
        </is>
      </c>
      <c r="D79" s="15" t="inlineStr">
        <is>
          <t>POWER 2 MAX</t>
        </is>
      </c>
      <c r="E79" s="16" t="n">
        <v>1</v>
      </c>
      <c r="F79" s="16" t="n">
        <v>2050</v>
      </c>
      <c r="G79" s="16" t="n">
        <v>1</v>
      </c>
      <c r="H79" s="16" t="n">
        <v>2050</v>
      </c>
      <c r="I79" s="16" t="n">
        <v>1</v>
      </c>
      <c r="J79" s="16" t="n">
        <v>2050</v>
      </c>
      <c r="K79" s="16">
        <f>IF(E79-I79=0,"",E79-I79)</f>
        <v/>
      </c>
      <c r="L79" s="16">
        <f>IF(F79-J79=0,"",F79-J79)</f>
        <v/>
      </c>
      <c r="M79" s="5" t="inlineStr"/>
    </row>
    <row r="80" outlineLevel="1" ht="22" customHeight="1">
      <c r="B80" s="8" t="inlineStr">
        <is>
          <t>SMP 座垫 EVO EVO 30C 白</t>
        </is>
      </c>
      <c r="C80" s="17" t="inlineStr">
        <is>
          <t>座垫</t>
        </is>
      </c>
      <c r="D80" s="17" t="inlineStr">
        <is>
          <t>SMP</t>
        </is>
      </c>
      <c r="E80" s="18" t="n">
        <v>1</v>
      </c>
      <c r="F80" s="18" t="n">
        <v>1200</v>
      </c>
      <c r="G80" s="18" t="n">
        <v>1</v>
      </c>
      <c r="H80" s="18" t="n">
        <v>1200</v>
      </c>
      <c r="I80" s="18" t="n">
        <v>1</v>
      </c>
      <c r="J80" s="18" t="n">
        <v>1200</v>
      </c>
      <c r="K80" s="18">
        <f>IF(E80-I80=0,"",E80-I80)</f>
        <v/>
      </c>
      <c r="L80" s="18">
        <f>IF(F80-J80=0,"",F80-J80)</f>
        <v/>
      </c>
      <c r="M80" s="8" t="inlineStr"/>
    </row>
    <row r="81" outlineLevel="1" ht="22" customHeight="1">
      <c r="B81" s="5" t="inlineStr">
        <is>
          <t>SMP 座垫 EVO EVO PLUS</t>
        </is>
      </c>
      <c r="C81" s="15" t="inlineStr">
        <is>
          <t>座垫</t>
        </is>
      </c>
      <c r="D81" s="15" t="inlineStr">
        <is>
          <t>SMP</t>
        </is>
      </c>
      <c r="E81" s="16" t="n">
        <v>1</v>
      </c>
      <c r="F81" s="16" t="n">
        <v>1126</v>
      </c>
      <c r="G81" s="16" t="n">
        <v>1</v>
      </c>
      <c r="H81" s="16" t="n">
        <v>1126</v>
      </c>
      <c r="I81" s="16" t="n">
        <v>1</v>
      </c>
      <c r="J81" s="16" t="n">
        <v>1126</v>
      </c>
      <c r="K81" s="16">
        <f>IF(E81-I81=0,"",E81-I81)</f>
        <v/>
      </c>
      <c r="L81" s="16">
        <f>IF(F81-J81=0,"",F81-J81)</f>
        <v/>
      </c>
      <c r="M81" s="5" t="inlineStr"/>
    </row>
    <row r="82" outlineLevel="1" ht="22" customHeight="1">
      <c r="B82" s="8" t="inlineStr">
        <is>
          <t>SMP 座垫 F20C SI CARBON RAIL</t>
        </is>
      </c>
      <c r="C82" s="17" t="inlineStr">
        <is>
          <t>座垫</t>
        </is>
      </c>
      <c r="D82" s="17" t="inlineStr">
        <is>
          <t>SMP</t>
        </is>
      </c>
      <c r="E82" s="18" t="n">
        <v>1</v>
      </c>
      <c r="F82" s="18" t="n">
        <v>1596</v>
      </c>
      <c r="G82" s="18" t="n">
        <v>1</v>
      </c>
      <c r="H82" s="18" t="n">
        <v>1596</v>
      </c>
      <c r="I82" s="18" t="n">
        <v>1</v>
      </c>
      <c r="J82" s="18" t="n">
        <v>1596</v>
      </c>
      <c r="K82" s="18">
        <f>IF(E82-I82=0,"",E82-I82)</f>
        <v/>
      </c>
      <c r="L82" s="18">
        <f>IF(F82-J82=0,"",F82-J82)</f>
        <v/>
      </c>
      <c r="M82" s="8" t="inlineStr"/>
    </row>
    <row r="83" outlineLevel="1" ht="22" customHeight="1">
      <c r="B83" s="5" t="inlineStr">
        <is>
          <t>SMP 座垫 F20C SI TEST 红色黄色</t>
        </is>
      </c>
      <c r="C83" s="15" t="inlineStr">
        <is>
          <t>座垫</t>
        </is>
      </c>
      <c r="D83" s="15" t="inlineStr">
        <is>
          <t>SMP</t>
        </is>
      </c>
      <c r="E83" s="16" t="n">
        <v>1</v>
      </c>
      <c r="F83" s="16" t="n">
        <v>645</v>
      </c>
      <c r="G83" s="16" t="n">
        <v>1</v>
      </c>
      <c r="H83" s="16" t="n">
        <v>645</v>
      </c>
      <c r="I83" s="16" t="n">
        <v>1</v>
      </c>
      <c r="J83" s="16" t="n">
        <v>645</v>
      </c>
      <c r="K83" s="16">
        <f>IF(E83-I83=0,"",E83-I83)</f>
        <v/>
      </c>
      <c r="L83" s="16">
        <f>IF(F83-J83=0,"",F83-J83)</f>
        <v/>
      </c>
      <c r="M83" s="5" t="inlineStr"/>
    </row>
    <row r="84" outlineLevel="1" ht="22" customHeight="1">
      <c r="B84" s="8" t="inlineStr">
        <is>
          <t>SMP 座垫 F30C SI TEST 红色黄色</t>
        </is>
      </c>
      <c r="C84" s="17" t="inlineStr">
        <is>
          <t>座垫</t>
        </is>
      </c>
      <c r="D84" s="17" t="inlineStr">
        <is>
          <t>SMP</t>
        </is>
      </c>
      <c r="E84" s="18" t="n">
        <v>1</v>
      </c>
      <c r="F84" s="18" t="n">
        <v>645</v>
      </c>
      <c r="G84" s="18" t="n">
        <v>1</v>
      </c>
      <c r="H84" s="18" t="n">
        <v>645</v>
      </c>
      <c r="I84" s="18" t="n">
        <v>1</v>
      </c>
      <c r="J84" s="18" t="n">
        <v>645</v>
      </c>
      <c r="K84" s="18">
        <f>IF(E84-I84=0,"",E84-I84)</f>
        <v/>
      </c>
      <c r="L84" s="18">
        <f>IF(F84-J84=0,"",F84-J84)</f>
        <v/>
      </c>
      <c r="M84" s="8" t="inlineStr"/>
    </row>
    <row r="85" ht="22" customHeight="1">
      <c r="B85" s="19" t="inlineStr">
        <is>
          <t>潘昊 小计</t>
        </is>
      </c>
      <c r="C85" s="11" t="n"/>
      <c r="D85" s="11" t="n"/>
      <c r="E85" s="12">
        <f>SUM(E69:E84)</f>
        <v/>
      </c>
      <c r="F85" s="12">
        <f>SUM(F69:F84)</f>
        <v/>
      </c>
      <c r="G85" s="12">
        <f>SUM(G69:G84)</f>
        <v/>
      </c>
      <c r="H85" s="12">
        <f>SUM(H69:H84)</f>
        <v/>
      </c>
      <c r="I85" s="12">
        <f>SUM(I69:I84)</f>
        <v/>
      </c>
      <c r="J85" s="12">
        <f>SUM(J69:J84)</f>
        <v/>
      </c>
      <c r="K85" s="12">
        <f>IF(SUMPRODUCT((E69:E84)-(I69:I84))=0,"",SUM(K69:K84))</f>
        <v/>
      </c>
      <c r="L85" s="12">
        <f>IF(SUMPRODUCT((F69:F84)-(J69:J84))=0,"",SUM(L69:L84))</f>
        <v/>
      </c>
      <c r="M85" s="11" t="n"/>
      <c r="N85" s="29" t="n"/>
      <c r="O85" s="30">
        <f>IF(OR(N85="",L85=""),"",L85/N85)</f>
        <v/>
      </c>
      <c r="P85" s="29" t="n"/>
    </row>
    <row r="87" ht="26" customHeight="1">
      <c r="B87" s="27" t="inlineStr">
        <is>
          <t>▸  海尔</t>
        </is>
      </c>
    </row>
    <row r="88" outlineLevel="1" ht="22" customHeight="1">
      <c r="B88" s="5" t="inlineStr">
        <is>
          <t>PCW 轮组 古铜金6560</t>
        </is>
      </c>
      <c r="C88" s="15" t="inlineStr">
        <is>
          <t>轮组</t>
        </is>
      </c>
      <c r="D88" s="15" t="inlineStr">
        <is>
          <t>PCW</t>
        </is>
      </c>
      <c r="E88" s="16" t="n">
        <v>1</v>
      </c>
      <c r="F88" s="16" t="n">
        <v>25000</v>
      </c>
      <c r="G88" s="16" t="n">
        <v>1</v>
      </c>
      <c r="H88" s="16" t="n">
        <v>25000</v>
      </c>
      <c r="I88" s="16" t="n">
        <v>1</v>
      </c>
      <c r="J88" s="16" t="n">
        <v>25000</v>
      </c>
      <c r="K88" s="16">
        <f>IF(E88-I88=0,"",E88-I88)</f>
        <v/>
      </c>
      <c r="L88" s="16">
        <f>IF(F88-J88=0,"",F88-J88)</f>
        <v/>
      </c>
      <c r="M88" s="5" t="inlineStr"/>
    </row>
    <row r="89" outlineLevel="1" ht="22" customHeight="1">
      <c r="B89" s="8" t="inlineStr">
        <is>
          <t>PCW 轮组 黑 4540 CK花鼓 (SH)</t>
        </is>
      </c>
      <c r="C89" s="17" t="inlineStr">
        <is>
          <t>轮组</t>
        </is>
      </c>
      <c r="D89" s="17" t="inlineStr">
        <is>
          <t>PCW</t>
        </is>
      </c>
      <c r="E89" s="18" t="n">
        <v>2</v>
      </c>
      <c r="F89" s="18" t="n">
        <v>48000</v>
      </c>
      <c r="G89" s="18" t="n">
        <v>2</v>
      </c>
      <c r="H89" s="18" t="n">
        <v>48000</v>
      </c>
      <c r="I89" s="18" t="n">
        <v>2</v>
      </c>
      <c r="J89" s="18" t="n">
        <v>48000</v>
      </c>
      <c r="K89" s="18">
        <f>IF(E89-I89=0,"",E89-I89)</f>
        <v/>
      </c>
      <c r="L89" s="18">
        <f>IF(F89-J89=0,"",F89-J89)</f>
        <v/>
      </c>
      <c r="M89" s="8" t="inlineStr"/>
    </row>
    <row r="90" outlineLevel="1" ht="22" customHeight="1">
      <c r="B90" s="5" t="inlineStr">
        <is>
          <t>PCW 轮组 黑粉 6560</t>
        </is>
      </c>
      <c r="C90" s="15" t="inlineStr">
        <is>
          <t>轮组</t>
        </is>
      </c>
      <c r="D90" s="15" t="inlineStr">
        <is>
          <t>PCW</t>
        </is>
      </c>
      <c r="E90" s="16" t="n">
        <v>1</v>
      </c>
      <c r="F90" s="16" t="n">
        <v>22150</v>
      </c>
      <c r="G90" s="16" t="n">
        <v>1</v>
      </c>
      <c r="H90" s="16" t="n">
        <v>22150</v>
      </c>
      <c r="I90" s="16" t="n">
        <v>1</v>
      </c>
      <c r="J90" s="16" t="n">
        <v>22150</v>
      </c>
      <c r="K90" s="16">
        <f>IF(E90-I90=0,"",E90-I90)</f>
        <v/>
      </c>
      <c r="L90" s="16">
        <f>IF(F90-J90=0,"",F90-J90)</f>
        <v/>
      </c>
      <c r="M90" s="5" t="inlineStr"/>
    </row>
    <row r="91" outlineLevel="1" ht="22" customHeight="1">
      <c r="B91" s="8" t="inlineStr">
        <is>
          <t>Selle Italia  座垫 3D 碳轨 黑色（散装）</t>
        </is>
      </c>
      <c r="C91" s="17" t="inlineStr">
        <is>
          <t>座垫</t>
        </is>
      </c>
      <c r="D91" s="17" t="inlineStr">
        <is>
          <t>Selle Italia</t>
        </is>
      </c>
      <c r="E91" s="18" t="n">
        <v>224</v>
      </c>
      <c r="F91" s="18" t="n">
        <v>268800</v>
      </c>
      <c r="G91" s="18" t="n">
        <v>222</v>
      </c>
      <c r="H91" s="18" t="n">
        <v>266400</v>
      </c>
      <c r="I91" s="18" t="n">
        <v>222</v>
      </c>
      <c r="J91" s="18" t="n">
        <v>266400</v>
      </c>
      <c r="K91" s="18">
        <f>IF(E91-I91=0,"",E91-I91)</f>
        <v/>
      </c>
      <c r="L91" s="18">
        <f>IF(F91-J91=0,"",F91-J91)</f>
        <v/>
      </c>
      <c r="M91" s="8" t="inlineStr"/>
    </row>
    <row r="92" outlineLevel="1" ht="22" customHeight="1">
      <c r="B92" s="5" t="inlineStr">
        <is>
          <t>萨玛仕 座垫 3D打印（电助力用）</t>
        </is>
      </c>
      <c r="C92" s="15" t="inlineStr">
        <is>
          <t>座垫</t>
        </is>
      </c>
      <c r="D92" s="15" t="inlineStr">
        <is>
          <t>萨玛仕</t>
        </is>
      </c>
      <c r="E92" s="16" t="n">
        <v>113</v>
      </c>
      <c r="F92" s="16" t="n">
        <v>22600</v>
      </c>
      <c r="G92" s="16" t="n">
        <v>113</v>
      </c>
      <c r="H92" s="16" t="n">
        <v>22600</v>
      </c>
      <c r="I92" s="16" t="n">
        <v>113</v>
      </c>
      <c r="J92" s="16" t="n">
        <v>22600</v>
      </c>
      <c r="K92" s="16">
        <f>IF(E92-I92=0,"",E92-I92)</f>
        <v/>
      </c>
      <c r="L92" s="16">
        <f>IF(F92-J92=0,"",F92-J92)</f>
        <v/>
      </c>
      <c r="M92" s="5" t="inlineStr"/>
    </row>
    <row r="93" ht="22" customHeight="1">
      <c r="B93" s="19" t="inlineStr">
        <is>
          <t>海尔 小计</t>
        </is>
      </c>
      <c r="C93" s="11" t="n"/>
      <c r="D93" s="11" t="n"/>
      <c r="E93" s="12">
        <f>SUM(E88:E92)</f>
        <v/>
      </c>
      <c r="F93" s="12">
        <f>SUM(F88:F92)</f>
        <v/>
      </c>
      <c r="G93" s="12">
        <f>SUM(G88:G92)</f>
        <v/>
      </c>
      <c r="H93" s="12">
        <f>SUM(H88:H92)</f>
        <v/>
      </c>
      <c r="I93" s="12">
        <f>SUM(I88:I92)</f>
        <v/>
      </c>
      <c r="J93" s="12">
        <f>SUM(J88:J92)</f>
        <v/>
      </c>
      <c r="K93" s="12">
        <f>IF(SUMPRODUCT((E88:E92)-(I88:I92))=0,"",SUM(K88:K92))</f>
        <v/>
      </c>
      <c r="L93" s="12">
        <f>IF(SUMPRODUCT((F88:F92)-(J88:J92))=0,"",SUM(L88:L92))</f>
        <v/>
      </c>
      <c r="M93" s="11" t="n"/>
      <c r="N93" s="29" t="n"/>
      <c r="O93" s="30">
        <f>IF(OR(N93="",L93=""),"",L93/N93)</f>
        <v/>
      </c>
      <c r="P93" s="29" t="n"/>
    </row>
    <row r="95" ht="26" customHeight="1">
      <c r="B95" s="27" t="inlineStr">
        <is>
          <t>▸  程总</t>
        </is>
      </c>
    </row>
    <row r="96" outlineLevel="1" ht="22" customHeight="1">
      <c r="B96" s="5" t="inlineStr">
        <is>
          <t>CS 后拨导轮 Alpha AXS 队版（适用于速联）终身质保</t>
        </is>
      </c>
      <c r="C96" s="15" t="inlineStr">
        <is>
          <t>后拨导轮</t>
        </is>
      </c>
      <c r="D96" s="15" t="inlineStr">
        <is>
          <t>CS</t>
        </is>
      </c>
      <c r="E96" s="16" t="n">
        <v>1</v>
      </c>
      <c r="F96" s="16" t="n">
        <v>2200</v>
      </c>
      <c r="G96" s="16" t="n">
        <v>1</v>
      </c>
      <c r="H96" s="16" t="n">
        <v>2200</v>
      </c>
      <c r="I96" s="16" t="n">
        <v>1</v>
      </c>
      <c r="J96" s="16" t="n">
        <v>2200</v>
      </c>
      <c r="K96" s="16">
        <f>IF(E96-I96=0,"",E96-I96)</f>
        <v/>
      </c>
      <c r="L96" s="16">
        <f>IF(F96-J96=0,"",F96-J96)</f>
        <v/>
      </c>
      <c r="M96" s="5" t="inlineStr"/>
    </row>
    <row r="97" ht="22" customHeight="1">
      <c r="B97" s="19" t="inlineStr">
        <is>
          <t>程总 小计</t>
        </is>
      </c>
      <c r="C97" s="11" t="n"/>
      <c r="D97" s="11" t="n"/>
      <c r="E97" s="12">
        <f>SUM(E96:E96)</f>
        <v/>
      </c>
      <c r="F97" s="12">
        <f>SUM(F96:F96)</f>
        <v/>
      </c>
      <c r="G97" s="12">
        <f>SUM(G96:G96)</f>
        <v/>
      </c>
      <c r="H97" s="12">
        <f>SUM(H96:H96)</f>
        <v/>
      </c>
      <c r="I97" s="12">
        <f>SUM(I96:I96)</f>
        <v/>
      </c>
      <c r="J97" s="12">
        <f>SUM(J96:J96)</f>
        <v/>
      </c>
      <c r="K97" s="12">
        <f>IF(SUMPRODUCT((E96:E96)-(I96:I96))=0,"",SUM(K96:K96))</f>
        <v/>
      </c>
      <c r="L97" s="12">
        <f>IF(SUMPRODUCT((F96:F96)-(J96:J96))=0,"",SUM(L96:L96))</f>
        <v/>
      </c>
      <c r="M97" s="11" t="n"/>
      <c r="N97" s="29" t="n"/>
      <c r="O97" s="30">
        <f>IF(OR(N97="",L97=""),"",L97/N97)</f>
        <v/>
      </c>
      <c r="P97" s="29" t="n"/>
    </row>
    <row r="100" ht="22" customHeight="1">
      <c r="B100" s="19" t="inlineStr">
        <is>
          <t>合计</t>
        </is>
      </c>
      <c r="C100" s="11" t="n"/>
      <c r="D100" s="11" t="n"/>
      <c r="E100" s="12">
        <f>SUM(E7:E99)</f>
        <v/>
      </c>
      <c r="F100" s="12">
        <f>SUM(F7:F99)</f>
        <v/>
      </c>
      <c r="G100" s="12">
        <f>SUM(G7:G99)</f>
        <v/>
      </c>
      <c r="H100" s="12">
        <f>SUM(H7:H99)</f>
        <v/>
      </c>
      <c r="I100" s="12">
        <f>SUM(I7:I99)</f>
        <v/>
      </c>
      <c r="J100" s="12">
        <f>SUM(J7:J99)</f>
        <v/>
      </c>
      <c r="K100" s="12">
        <f>IF(SUMPRODUCT((E7:E99)-(I7:I99))=0,"",SUM(K7:K99))</f>
        <v/>
      </c>
      <c r="L100" s="12">
        <f>IF(SUMPRODUCT((F7:F99)-(J7:J99))=0,"",SUM(L7:L99))</f>
        <v/>
      </c>
      <c r="M100" s="12" t="n"/>
      <c r="N100" s="11" t="n"/>
      <c r="O100" s="11" t="n"/>
      <c r="P100" s="11" t="n"/>
    </row>
    <row r="102" ht="16" customHeight="1">
      <c r="B102" s="13" t="inlineStr">
        <is>
          <t>期初数据来源：2026清货KPI管理表_表1表2（2/8）· 上次来源：宇宙销售统计中心_2026 商品SKU_031214.xlsx · 本次来源：宇宙销售统计中心_2026 商品SKU_031316.xlsx</t>
        </is>
      </c>
    </row>
  </sheetData>
  <mergeCells count="11">
    <mergeCell ref="B7:P7"/>
    <mergeCell ref="B87:P87"/>
    <mergeCell ref="B2:P2"/>
    <mergeCell ref="B95:P95"/>
    <mergeCell ref="B3:P3"/>
    <mergeCell ref="B5:P5"/>
    <mergeCell ref="B31:P31"/>
    <mergeCell ref="B102:P102"/>
    <mergeCell ref="B8:P8"/>
    <mergeCell ref="B52:P52"/>
    <mergeCell ref="B68:P68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2026-03-13T09:43:52Z</dcterms:created>
  <dcterms:modified xsi:type="dcterms:W3CDTF">2026-03-13T09:43:52Z</dcterms:modified>
</cp:coreProperties>
</file>