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800" windowHeight="12700" activeTab="3"/>
  </bookViews>
  <sheets>
    <sheet name="总览" sheetId="1" r:id="rId1"/>
    <sheet name="库存SKU明细" sheetId="2" r:id="rId2"/>
    <sheet name="库存变动对比" sheetId="3" r:id="rId3"/>
    <sheet name="清理库存跟踪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<sst xmlns="http://schemas.openxmlformats.org/spreadsheetml/2006/main" count="2057" uniqueCount="536">
  <si>
    <t>宇宙销售统计中心  ·  公路车库存总览  ·  3/13</t>
  </si>
  <si>
    <t>数据基准：3/13  ·  来源：宇宙销售统计中心_2026 商品SKU_031316.xlsx</t>
  </si>
  <si>
    <t>库存级别</t>
  </si>
  <si>
    <t>SKU数量</t>
  </si>
  <si>
    <t>总件数</t>
  </si>
  <si>
    <t>总成本 (¥)</t>
  </si>
  <si>
    <t>占总成本比</t>
  </si>
  <si>
    <t>🔵 Dogma 系列</t>
  </si>
  <si>
    <t>🔴 Pinarello 清理</t>
  </si>
  <si>
    <t>🔴 清理库存</t>
  </si>
  <si>
    <t>🟢 正常商品</t>
  </si>
  <si>
    <t>🔵 DA/Zipp 轮组</t>
  </si>
  <si>
    <t>🟡 换货回商品</t>
  </si>
  <si>
    <t>🟢 自营产品</t>
  </si>
  <si>
    <t>🟢 套件类</t>
  </si>
  <si>
    <t>🟡 FSA 系列</t>
  </si>
  <si>
    <t>⚪ 配件</t>
  </si>
  <si>
    <t>⚪ 铺货商品</t>
  </si>
  <si>
    <t>合计</t>
  </si>
  <si>
    <t>数据来源：宇宙销售统计中心_2026 商品SKU_031316.xlsx  |  统计时间：3/13</t>
  </si>
  <si>
    <t>库存 SKU 明细  ·  3/13</t>
  </si>
  <si>
    <t>来源：宇宙销售统计中心_2026 商品SKU_031316.xlsx · 按级别→品类→系列→名称排序</t>
  </si>
  <si>
    <t>品类</t>
  </si>
  <si>
    <t>SKU名称</t>
  </si>
  <si>
    <t>系列</t>
  </si>
  <si>
    <t>滨江</t>
  </si>
  <si>
    <t>常州</t>
  </si>
  <si>
    <t>成本价</t>
  </si>
  <si>
    <t>总成本</t>
  </si>
  <si>
    <t>清理底价</t>
  </si>
  <si>
    <t>处理方式</t>
  </si>
  <si>
    <t>车架</t>
  </si>
  <si>
    <t>Dogma F 【25款】 车架 BOB 465</t>
  </si>
  <si>
    <t>Dogma F 【25款】</t>
  </si>
  <si>
    <t>Dogma 系列</t>
  </si>
  <si>
    <t/>
  </si>
  <si>
    <t>Dogma F 【25款】 车架 BOB 500</t>
  </si>
  <si>
    <t>Dogma F 【25款】 车架 BOB 530</t>
  </si>
  <si>
    <t>Dogma F 【25款】 车架 星耀红 515</t>
  </si>
  <si>
    <t>Dogma F 【25款】 车架 星耀红 530</t>
  </si>
  <si>
    <t>Dogma F 【25款】 车架 水晶白 515</t>
  </si>
  <si>
    <t>Dogma F 【25款】 车架 绚丽蓝 530</t>
  </si>
  <si>
    <t>Dogma F 【25款】 车架 绚丽金 500</t>
  </si>
  <si>
    <t>Dogma F 【25款】 车架 绚丽金 530</t>
  </si>
  <si>
    <t>Dogma F 【25款】 车架 绚丽金 550</t>
  </si>
  <si>
    <t>Dogma F 【25款】 车架 英力士 515</t>
  </si>
  <si>
    <t>Dogma F 【25款】Myway 车架 蓝金 540</t>
  </si>
  <si>
    <t>Dogma F 【25款】Myway</t>
  </si>
  <si>
    <t>Dogma F 【25款】Myway 车架 黑金 515（带普通车把）</t>
  </si>
  <si>
    <t>小计</t>
  </si>
  <si>
    <t>整车</t>
  </si>
  <si>
    <t>Pinarello 整车 F5 白 530</t>
  </si>
  <si>
    <t>Pinarello</t>
  </si>
  <si>
    <t>Pinarello 清理</t>
  </si>
  <si>
    <t>Pinarello 整车 F5 白 560</t>
  </si>
  <si>
    <t>Pinarello 整车 F5 蓝 465</t>
  </si>
  <si>
    <t>Pinarello 整车 F9 黑白 545</t>
  </si>
  <si>
    <t>Pinarello 整车 F9 黑绿 515</t>
  </si>
  <si>
    <t>Pinarello 整车 X5 白色蓝标</t>
  </si>
  <si>
    <t>Pinarello 整车 X5 黑色银标</t>
  </si>
  <si>
    <t>Pinarello 整车 X9 金色 530</t>
  </si>
  <si>
    <t>Dogma X 车架 BOB 515</t>
  </si>
  <si>
    <t>Dogma X</t>
  </si>
  <si>
    <t>Pinarello 车架 F9  黑白 560</t>
  </si>
  <si>
    <t>Pinarello 车架 F9  黑白 575</t>
  </si>
  <si>
    <t>Pinarello 车架 F9 BOB 465</t>
  </si>
  <si>
    <t>Pinarello 车架 F9 BOB 515</t>
  </si>
  <si>
    <t>Pinarello 车架 F9 BOB 530</t>
  </si>
  <si>
    <t>Pinarello 车架 F9 宝石蓝 500</t>
  </si>
  <si>
    <t>Pinarello 车架 F9 宝石蓝 515</t>
  </si>
  <si>
    <t>Pinarello 车架 F9 宝石蓝 530</t>
  </si>
  <si>
    <t>Pinarello 车架 F9 宝石蓝 545</t>
  </si>
  <si>
    <t>Pinarello 车架 F9 蓝黑 530</t>
  </si>
  <si>
    <t>Pinarello 车架 X9 金色 545</t>
  </si>
  <si>
    <t>CANYON 整车 Ultimate 爬坡架 XS</t>
  </si>
  <si>
    <t>CANYON</t>
  </si>
  <si>
    <t>清理库存</t>
  </si>
  <si>
    <t>Colnago 整车 Colnago V4 红色 420</t>
  </si>
  <si>
    <t>Colnago</t>
  </si>
  <si>
    <t>GUSTO 整车 GTR 白色 M</t>
  </si>
  <si>
    <t>GUSTO</t>
  </si>
  <si>
    <t>Lykos 整车 Lykos 蓝 48</t>
  </si>
  <si>
    <t>Lykos</t>
  </si>
  <si>
    <t>RIDLEY 整车 紫色 M码（带车把）</t>
  </si>
  <si>
    <t>RIDLEY</t>
  </si>
  <si>
    <t>AURUM   车架 ESSENTIA 岩石灰 51</t>
  </si>
  <si>
    <t>AURUM</t>
  </si>
  <si>
    <t>以货换货</t>
  </si>
  <si>
    <t>AURUM   车架 MAGMA V1 玛瑙黑 48</t>
  </si>
  <si>
    <t>AURUM   车架 MAGMA V2 白色 58（含座管）</t>
  </si>
  <si>
    <t>Colnago 车架 C68 格雷金 510</t>
  </si>
  <si>
    <t>De Rosa 车架 idol 红 53</t>
  </si>
  <si>
    <t>De Rosa</t>
  </si>
  <si>
    <t>RIDLEY 车架 粉色 XS码（带车把）</t>
  </si>
  <si>
    <t>RIDLEY 车架 黑白 L码（带车把）</t>
  </si>
  <si>
    <t>SPECIALIZED 车架 SL8 玫瑰金 54</t>
  </si>
  <si>
    <t>SPECIALIZED</t>
  </si>
  <si>
    <t>Standert 车架 白咖 52</t>
  </si>
  <si>
    <t>Standert</t>
  </si>
  <si>
    <t>Standert 车架 黑 48</t>
  </si>
  <si>
    <t>轮组</t>
  </si>
  <si>
    <t>DT 轮组 ARC 1100 38 (SH)</t>
  </si>
  <si>
    <t>DT</t>
  </si>
  <si>
    <t>FSA 轮组 vision 45 RS</t>
  </si>
  <si>
    <t>FSA</t>
  </si>
  <si>
    <t>PCW 轮组 古铜金6560</t>
  </si>
  <si>
    <t>PCW</t>
  </si>
  <si>
    <t>PCW 轮组 黑 4540 CK花鼓 (SH)</t>
  </si>
  <si>
    <t>PCW 轮组 黑粉 6560</t>
  </si>
  <si>
    <t>SCOM 风刃 轮组 49/67 银标 碟刹</t>
  </si>
  <si>
    <t>SCOM 风刃</t>
  </si>
  <si>
    <t>SCOM 风刃 轮组 49/67 黑标 碟刹</t>
  </si>
  <si>
    <t>Superteam 轮组 水滴纹 (SH)</t>
  </si>
  <si>
    <t>Superteam</t>
  </si>
  <si>
    <t>Superteam 轮组 鲨鱼纹 (SH)</t>
  </si>
  <si>
    <t>ZIPP 轮组 353 (SH)</t>
  </si>
  <si>
    <t>ZIPP</t>
  </si>
  <si>
    <t>先14000挂着</t>
  </si>
  <si>
    <t>盘片</t>
  </si>
  <si>
    <t>CARBON—TI 盘片 55-40</t>
  </si>
  <si>
    <t>CARBON—TI</t>
  </si>
  <si>
    <t>曲柄组</t>
  </si>
  <si>
    <t>POWER 2 MAX 曲柄组 ngeco 170</t>
  </si>
  <si>
    <t>POWER 2 MAX</t>
  </si>
  <si>
    <t>对应一套按2600算</t>
  </si>
  <si>
    <t>POWER 2 MAX 曲柄组 ngeco 172.5</t>
  </si>
  <si>
    <t>功率计</t>
  </si>
  <si>
    <t>POWER 2 MAX 功率计 适用（SHIMANO）</t>
  </si>
  <si>
    <t>SRM 功率计 适用 绿色（DUB中轴）</t>
  </si>
  <si>
    <t>SRM</t>
  </si>
  <si>
    <t>座垫</t>
  </si>
  <si>
    <t>Selle Italia  座垫 3D 碳轨 黑色（散装）</t>
  </si>
  <si>
    <t>Selle Italia</t>
  </si>
  <si>
    <t>SMP 座垫 EVO EVO 30C 白</t>
  </si>
  <si>
    <t>SMP</t>
  </si>
  <si>
    <t>SMP 座垫 EVO EVO PLUS</t>
  </si>
  <si>
    <t>SMP 座垫 F20C SI CARBON RAIL</t>
  </si>
  <si>
    <t>SMP 座垫 F20C SI TEST 红色黄色</t>
  </si>
  <si>
    <t>SMP 座垫 F30C SI TEST 红色黄色</t>
  </si>
  <si>
    <t>萨玛仕 座垫 3D打印（电助力用）</t>
  </si>
  <si>
    <t>萨玛仕</t>
  </si>
  <si>
    <t>车把一体把</t>
  </si>
  <si>
    <t>DEDA 车把一体把 Alanera RS 40-100</t>
  </si>
  <si>
    <t>DEDA</t>
  </si>
  <si>
    <t>DEDA 车把一体把 Alanera RS 40-110</t>
  </si>
  <si>
    <t>留1-2根</t>
  </si>
  <si>
    <t>DEDA 车把一体把 Alanera RS 42-100</t>
  </si>
  <si>
    <t>DEDA 车把一体把 Alanera RS 42-110</t>
  </si>
  <si>
    <t>DEDA 车把一体把 Alanera RS 44-100</t>
  </si>
  <si>
    <t>DEDA 车把一体把 Alanera RS 44-110</t>
  </si>
  <si>
    <t>DEDA 车把一体把 Alanera RS 44-120</t>
  </si>
  <si>
    <t>EASTON 车把一体把 分体 44-31.8</t>
  </si>
  <si>
    <t>EASTON</t>
  </si>
  <si>
    <t>Rapantahi 车把一体把 420-100</t>
  </si>
  <si>
    <t>Rapantahi</t>
  </si>
  <si>
    <t>THM 车把一体把 Frontale 400-100</t>
  </si>
  <si>
    <t>THM</t>
  </si>
  <si>
    <t>THM 车把一体把 Frontale 400-110</t>
  </si>
  <si>
    <t>后拨导轮</t>
  </si>
  <si>
    <t>CS 后拨导轮 Alpha AXS 队版（适用于速联）终身质保</t>
  </si>
  <si>
    <t>CS</t>
  </si>
  <si>
    <t>CS 后拨导轮 后拨导轮 银色</t>
  </si>
  <si>
    <t>CS 后拨导轮 蓝色（适用于禧玛诺）6年质保</t>
  </si>
  <si>
    <t>Natwin 轮组 PFX5</t>
  </si>
  <si>
    <t>Natwin</t>
  </si>
  <si>
    <t>正常商品</t>
  </si>
  <si>
    <t>Natwin 轮组 PX5</t>
  </si>
  <si>
    <t>外胎</t>
  </si>
  <si>
    <t>倍耐力 外胎 rs真空 28C黑边</t>
  </si>
  <si>
    <t>倍耐力</t>
  </si>
  <si>
    <t>倍耐力 外胎 真空 28C 蓝字</t>
  </si>
  <si>
    <t>朝阳 外胎 真空 28C 粉边</t>
  </si>
  <si>
    <t>朝阳</t>
  </si>
  <si>
    <t>松下 外胎 28C 开口胎（盒装）</t>
  </si>
  <si>
    <t>松下</t>
  </si>
  <si>
    <t>米其林 外胎 开口 28C 黄边（盒装）</t>
  </si>
  <si>
    <t>米其林</t>
  </si>
  <si>
    <t>米其林POWER CUP 外胎 开口黄边28C(散装）</t>
  </si>
  <si>
    <t>米其林POWER CUP</t>
  </si>
  <si>
    <t>米其林POWER CUP 外胎 开口黑边28C(散装）</t>
  </si>
  <si>
    <t>米其林POWER CUP 外胎 真空黄边28C(散装）</t>
  </si>
  <si>
    <t>米其林POWER CUP 外胎 真空黑边边28C(散装）</t>
  </si>
  <si>
    <t>维多利亚 外胎 Corsa pro黄边 真空 28c （盒装）</t>
  </si>
  <si>
    <t>维多利亚</t>
  </si>
  <si>
    <t>马牌 外胎 ARCHEType 30C（限量版）</t>
  </si>
  <si>
    <t>马牌</t>
  </si>
  <si>
    <t>马牌 外胎 TERRA TRAIL(瓜胎）35C</t>
  </si>
  <si>
    <t>马牌 外胎 TR 28C 黑边（盒装）</t>
  </si>
  <si>
    <t>马牌 外胎 TR 32C 黑边</t>
  </si>
  <si>
    <t>马牌 外胎 Ultra Sport III 黑边（盒装）</t>
  </si>
  <si>
    <t>马牌 外胎 钢圈 瓜车胎 40C</t>
  </si>
  <si>
    <t>马牌 AERO 外胎 真空 26C 黑色 （盒装）</t>
  </si>
  <si>
    <t>马牌 AERO</t>
  </si>
  <si>
    <t>马牌 GP 外胎 TR 28C 黑边</t>
  </si>
  <si>
    <t>马牌 GP</t>
  </si>
  <si>
    <t>马牌 GP5000 外胎 开口 28C 棕色</t>
  </si>
  <si>
    <t>马牌 GP5000</t>
  </si>
  <si>
    <t>马牌 GP5000 外胎 开口 28C 黑色</t>
  </si>
  <si>
    <t>CARBON—TI 盘片 52-36</t>
  </si>
  <si>
    <t>DR  盘片 digirit 4爪 54T（SRM规格）</t>
  </si>
  <si>
    <t>DR</t>
  </si>
  <si>
    <t>DR  盘片 digirit 4爪 56T（SRM规格）</t>
  </si>
  <si>
    <t>碟片组</t>
  </si>
  <si>
    <t>RIVAL 碟片组 2张160</t>
  </si>
  <si>
    <t>RIVAL</t>
  </si>
  <si>
    <t>CYBREI 曲柄组 GP3  165  24Ti（盒装）</t>
  </si>
  <si>
    <t>CYBREI</t>
  </si>
  <si>
    <t>CYBREI 曲柄组 GP3  170  24Ti（盒装）</t>
  </si>
  <si>
    <t>CYBREI 曲柄组 GP3 167.5（盒装）</t>
  </si>
  <si>
    <t>ELILEE 曲柄组 XXE 碳轴 165 (新款）</t>
  </si>
  <si>
    <t>ELILEE</t>
  </si>
  <si>
    <t>ELILEE 曲柄组 XXE 碳轴 167.5 (新款）</t>
  </si>
  <si>
    <t>ELILEE 曲柄组 XXE 钛轴 160</t>
  </si>
  <si>
    <t>ELILEE 曲柄组 XXE 钛轴 172.5</t>
  </si>
  <si>
    <t>ROTOR 曲柄组 165</t>
  </si>
  <si>
    <t>ROTOR</t>
  </si>
  <si>
    <t>FIZIK 座垫 3D 打印（盒装）</t>
  </si>
  <si>
    <t>FIZIK</t>
  </si>
  <si>
    <t>FIZIK 座垫 3D打印（原电助力用）</t>
  </si>
  <si>
    <t>FIZIK 座垫 碳轨（原电助力用）</t>
  </si>
  <si>
    <t>FIZIK 座垫 钢轨 ARGO R5（板装）</t>
  </si>
  <si>
    <t>Selle Italia   座垫 钢轨 黑色（散装）</t>
  </si>
  <si>
    <t>Selle Italia  座垫 3D 碳轨 黑色（盒装）</t>
  </si>
  <si>
    <t>Selle Italia  座垫 新款钢轨黑色（散装）</t>
  </si>
  <si>
    <t>闪电 座垫 Power Comp 黑 155</t>
  </si>
  <si>
    <t>闪电</t>
  </si>
  <si>
    <t>Colnago 车把一体把 CC01 410-80 拆车</t>
  </si>
  <si>
    <t>MOST 车把一体把 【25款】42-100</t>
  </si>
  <si>
    <t>MOST</t>
  </si>
  <si>
    <t>MOST 车把一体把 【25款】42-90</t>
  </si>
  <si>
    <t>MOST 车把一体把 【25款】44-110</t>
  </si>
  <si>
    <t>滚石 车把一体把 三代  滚石一体把 420-100</t>
  </si>
  <si>
    <t>滚石</t>
  </si>
  <si>
    <t>闪电 车把一体把 roval一体把420-100</t>
  </si>
  <si>
    <t>套件组</t>
  </si>
  <si>
    <t>DA 套件组 TT套件（手变+夹器+按钮+电线）</t>
  </si>
  <si>
    <t>DA</t>
  </si>
  <si>
    <t>RIVAL 套件组 基础配置无前拨（13速）</t>
  </si>
  <si>
    <t>链条</t>
  </si>
  <si>
    <t>RIVAL 链条 E1 链条</t>
  </si>
  <si>
    <t>中轴</t>
  </si>
  <si>
    <t>CS 中轴 黑色 4年（货号：101331）意规 30轴心</t>
  </si>
  <si>
    <t>锁踏</t>
  </si>
  <si>
    <t>DA 锁踏 PDR 9100</t>
  </si>
  <si>
    <t>脚踏</t>
  </si>
  <si>
    <t>HT 脚踏  黑</t>
  </si>
  <si>
    <t>HT</t>
  </si>
  <si>
    <t>HT 脚踏 银</t>
  </si>
  <si>
    <t>DA 轮组 C50 (SH)</t>
  </si>
  <si>
    <t>DA/Zipp 轮组</t>
  </si>
  <si>
    <t>DA 轮组 C60 (SH)</t>
  </si>
  <si>
    <t>UT 轮组 C50 (SH)</t>
  </si>
  <si>
    <t>UT</t>
  </si>
  <si>
    <t>ZIPP 轮组 404 (SH)</t>
  </si>
  <si>
    <t>scope 轮组 45暗标</t>
  </si>
  <si>
    <t>scope</t>
  </si>
  <si>
    <t>换货回商品</t>
  </si>
  <si>
    <t>scope 轮组 65暗标</t>
  </si>
  <si>
    <t>syncros 轮组 60（XDR）</t>
  </si>
  <si>
    <t>syncros</t>
  </si>
  <si>
    <t>ZIPP 轮组 454(25新款）</t>
  </si>
  <si>
    <t>ILLUSION 轮组 【暗标】 钢条 50</t>
  </si>
  <si>
    <t>ILLUSION</t>
  </si>
  <si>
    <t>自营产品</t>
  </si>
  <si>
    <t>ILLUSION 轮组 【暗标】钢条 40</t>
  </si>
  <si>
    <t>ILLUSION 轮组 银标 钢条 40</t>
  </si>
  <si>
    <t>ILLUSION 轮组 银标 钢条 4550</t>
  </si>
  <si>
    <t>ILLUSION 轮组 银标 钢条 50</t>
  </si>
  <si>
    <t>105 碟片组 RT 70【2张160】</t>
  </si>
  <si>
    <t>105</t>
  </si>
  <si>
    <t>套件类</t>
  </si>
  <si>
    <t>105 碟片组 RT 70（对）</t>
  </si>
  <si>
    <t>UT 碟片组 CL800  (对)</t>
  </si>
  <si>
    <t>UT 碟片组 CL800【2张160】</t>
  </si>
  <si>
    <t>牙盘组</t>
  </si>
  <si>
    <t>105 牙盘组 50-34T  165</t>
  </si>
  <si>
    <t>DA 牙盘组 50-34T 170</t>
  </si>
  <si>
    <t>UT 牙盘组 50-34T 170</t>
  </si>
  <si>
    <t>105 套件组 基础配置</t>
  </si>
  <si>
    <t>套件链条</t>
  </si>
  <si>
    <t>105 套件链条 M7100</t>
  </si>
  <si>
    <t>APEX 套件组 基本配置</t>
  </si>
  <si>
    <t>APEX</t>
  </si>
  <si>
    <t>套件散装</t>
  </si>
  <si>
    <t>DA 套件散装 TT右手变+夹器</t>
  </si>
  <si>
    <t>DA 套件散装 TT套件（EW-AD305)</t>
  </si>
  <si>
    <t>DA 套件散装 TT套件（SM-JC41)</t>
  </si>
  <si>
    <t>DA 套件散装 TT套件（Y型电线组 EW-JC130-MM</t>
  </si>
  <si>
    <t>DA 套件散装 TT手变按钮</t>
  </si>
  <si>
    <t>DA 套件组 基础配置</t>
  </si>
  <si>
    <t>DA 套件链条 9100</t>
  </si>
  <si>
    <t>RED 套件散装 10-36T</t>
  </si>
  <si>
    <t>RED</t>
  </si>
  <si>
    <t>RED 套件链条 E1</t>
  </si>
  <si>
    <t>UT 套件散装 后拨</t>
  </si>
  <si>
    <t>UT 套件组 基础配置</t>
  </si>
  <si>
    <t>UT 套件链条 8100</t>
  </si>
  <si>
    <t>FSA 车把一体把 ACR 400-100</t>
  </si>
  <si>
    <t>FSA 系列</t>
  </si>
  <si>
    <t>FSA 车把一体把 ACR 420-110</t>
  </si>
  <si>
    <t>FSA 车把一体把 ACR EVO 360-80</t>
  </si>
  <si>
    <t>内胎</t>
  </si>
  <si>
    <t>正新 内胎 18/25C  60mm气嘴</t>
  </si>
  <si>
    <t>正新</t>
  </si>
  <si>
    <t>配件</t>
  </si>
  <si>
    <t>正新 内胎 18/25C  80mm气嘴</t>
  </si>
  <si>
    <t>正新 内胎 25/32C  80mm气嘴</t>
  </si>
  <si>
    <t>正新 内胎 29*1.9/2.35</t>
  </si>
  <si>
    <t>正新 内胎 35/43C  80mm气嘴</t>
  </si>
  <si>
    <t>把带</t>
  </si>
  <si>
    <t>BURGH 把带 黑底白色花纹款</t>
  </si>
  <si>
    <t>BURGH</t>
  </si>
  <si>
    <t>FIZIK 把带 黑色 塑料袋包装</t>
  </si>
  <si>
    <t>GUEE 把带 灰色</t>
  </si>
  <si>
    <t>GUEE</t>
  </si>
  <si>
    <t>GUEE 把带 白色</t>
  </si>
  <si>
    <t>GUEE 把带 粉色</t>
  </si>
  <si>
    <t>GUEE 把带 红色</t>
  </si>
  <si>
    <t>GUEE 把带 金色</t>
  </si>
  <si>
    <t>GUEE 把带 银色花纹</t>
  </si>
  <si>
    <t>GUEE 把带 黑白</t>
  </si>
  <si>
    <t>NPY 把带 塑料板塑封包装（白色）</t>
  </si>
  <si>
    <t>NPY</t>
  </si>
  <si>
    <t>NPY 把带 塑料板塑封包装（黑色）</t>
  </si>
  <si>
    <t>NPY 把带 塑料盒包装</t>
  </si>
  <si>
    <t>NPY 把带 塑料袋包装</t>
  </si>
  <si>
    <t>BSA 中轴 BSA转DUB 黑色 68/73（BSA 386 DB）</t>
  </si>
  <si>
    <t>BSA</t>
  </si>
  <si>
    <t>SENICX 驭勇  中轴   ITA 29</t>
  </si>
  <si>
    <t>SENICX 驭勇</t>
  </si>
  <si>
    <t>SENICX 驭勇  中轴  ITA  24</t>
  </si>
  <si>
    <t>SENICX 驭勇  中轴 钢球轴承 T47-68-24R</t>
  </si>
  <si>
    <t>SENICX 驭勇  中轴 钢球轴承 T47-85.5-24</t>
  </si>
  <si>
    <t>SHIMANO 中轴 中轴</t>
  </si>
  <si>
    <t>SHIMANO</t>
  </si>
  <si>
    <t>TTBICYCLE 中轴 意大利规格</t>
  </si>
  <si>
    <t>TTBICYCLE</t>
  </si>
  <si>
    <t>头盔</t>
  </si>
  <si>
    <t>KASK 头盔 Elemento 白 L</t>
  </si>
  <si>
    <t>KASK</t>
  </si>
  <si>
    <t>KASK 头盔 Elemento 红 M</t>
  </si>
  <si>
    <t>KASK 头盔 Elemento 黑 M</t>
  </si>
  <si>
    <t>KASK 头盔 KASK MAAP 紫色 S</t>
  </si>
  <si>
    <t>KASK 头盔 KASK MAAP 绿色  L</t>
  </si>
  <si>
    <t>KASK 头盔 KASK MAAP 绿色 M</t>
  </si>
  <si>
    <t>KASK 头盔 KASK MAAP 绿色 S</t>
  </si>
  <si>
    <t>KASK 头盔 MISTRAL 黑红 M</t>
  </si>
  <si>
    <t>KASK 头盔 NIRVANA 火爆樱桃 M</t>
  </si>
  <si>
    <t>KASK 头盔 Protone Icon 咖啡 L</t>
  </si>
  <si>
    <t>KASK 头盔 Protone Icon 哑光灰 L</t>
  </si>
  <si>
    <t>KASK 头盔 Protone Icon 哑灰 S</t>
  </si>
  <si>
    <t>KASK 头盔 Protone Icon 白 L</t>
  </si>
  <si>
    <t>KASK 头盔 Protone 亮光黑 S</t>
  </si>
  <si>
    <t>KASK 头盔 Protone 橙 L</t>
  </si>
  <si>
    <t>KASK 头盔 UTOPIA  特别版 紫白色 L</t>
  </si>
  <si>
    <t>KASK 头盔 Utopia 哑黑 S</t>
  </si>
  <si>
    <t>KASK 头盔 Wasabi 消光白 L</t>
  </si>
  <si>
    <t>KASK 头盔 Wasabi 灰 L</t>
  </si>
  <si>
    <t>KASK 头盔 Wasabi 灰 M</t>
  </si>
  <si>
    <t>KASK 头盔 Wasabi 熔岩红 M</t>
  </si>
  <si>
    <t>KASK 头盔 Wasabi 磨砂绿 L</t>
  </si>
  <si>
    <t>LEM 头盔 Cipressa Af 黑 M</t>
  </si>
  <si>
    <t>LEM</t>
  </si>
  <si>
    <t>眼镜</t>
  </si>
  <si>
    <t>GRC 眼镜 GRC 灰框透明片 THCH系列</t>
  </si>
  <si>
    <t>GRC</t>
  </si>
  <si>
    <t>GRC 眼镜 GRC 白框透明片 VCCA系列</t>
  </si>
  <si>
    <t>GRC 眼镜 GRC 藏蓝色</t>
  </si>
  <si>
    <t>GRC 眼镜 GRC 黑框红片 VCCA系列</t>
  </si>
  <si>
    <t>KOO 眼镜 KOO 白</t>
  </si>
  <si>
    <t>KOO</t>
  </si>
  <si>
    <t>KOO 眼镜 KOO 黄白</t>
  </si>
  <si>
    <t>KOO 眼镜 KOO白腿无框蓝片</t>
  </si>
  <si>
    <t>Kplus 眼镜 Kplus 松柏红</t>
  </si>
  <si>
    <t>Kplus</t>
  </si>
  <si>
    <t>Kplus 眼镜 Kplus 果冻白</t>
  </si>
  <si>
    <t>Kplus 眼镜 Kplus 烟熏灰</t>
  </si>
  <si>
    <t>Rapha 眼镜 Rapha pro team 海军蓝</t>
  </si>
  <si>
    <t>Rapha</t>
  </si>
  <si>
    <t>Rapha 眼镜 Rapha pro team 白色</t>
  </si>
  <si>
    <t>Rapha 眼镜 Rapha 无边框 1800元无边框有原盒</t>
  </si>
  <si>
    <t>Rapha 眼镜 Rapha 无边框 在ROO盒子里面</t>
  </si>
  <si>
    <t>Rapha 眼镜 RCC PT 黑</t>
  </si>
  <si>
    <t>骑行服</t>
  </si>
  <si>
    <t>HIRZL 骑行服 GRIPPP TOUR 2.0 手套</t>
  </si>
  <si>
    <t>HIRZL</t>
  </si>
  <si>
    <t>PISSEI 骑行服 UAE  RACE 短袖上衣 （UAEM0CH） M码</t>
  </si>
  <si>
    <t>PISSEI</t>
  </si>
  <si>
    <t>PISSEI 骑行服 UAE  RACE 短袖上衣 （UAEM0CH） XL码</t>
  </si>
  <si>
    <t>PISSEI 骑行服 UAE  RACE 短袖上衣 （UAEM0CH）L码</t>
  </si>
  <si>
    <t>PISSEI 骑行服 葡萄牙国家冠军 RACE 短袖上衣（UAEM01P）XS码</t>
  </si>
  <si>
    <t>PISSEI 骑行服 葡萄牙国家冠军 连体服（UAEM012PR）XXL码</t>
  </si>
  <si>
    <t>PISSEI 骑行服 队版 RACE 短袖上衣 （UAEM0CH）S码</t>
  </si>
  <si>
    <t>PISSEI 骑行服 队版夏季骑行手套 XS</t>
  </si>
  <si>
    <t>PISSEI 骑行服 队版连体服 （UAEM012R）L码</t>
  </si>
  <si>
    <t>PISSEI 骑行服 队版连体服 （UAEM012R）XL码</t>
  </si>
  <si>
    <t>PISSEI 骑行服 队版马甲 （UAEM06R）S码</t>
  </si>
  <si>
    <t>PISSEI 骑行服 队版马甲 （UAEM06R）XS码</t>
  </si>
  <si>
    <t>PISSEI 骑行服 队版马甲 （UAEM06R）XXS码</t>
  </si>
  <si>
    <t>RAPHA 骑行服 七分骑行裤 BSL ¥2360</t>
  </si>
  <si>
    <t>RAPHA</t>
  </si>
  <si>
    <t>RAPHA 骑行服 卫衣 LPH ¥868</t>
  </si>
  <si>
    <t>RAPHA 骑行服 手套黑色带光条</t>
  </si>
  <si>
    <t>RAPHA 骑行服 断码T恤 ¥888</t>
  </si>
  <si>
    <t>RAPHA 骑行服 断码风衣 ¥1599</t>
  </si>
  <si>
    <t>RAPHA 骑行服 短袖 ¥1599</t>
  </si>
  <si>
    <t>RAPHA 骑行服 粉色短袖 ¥830</t>
  </si>
  <si>
    <t>RAPHA 骑行服 袜子 ¥199</t>
  </si>
  <si>
    <t>RAPHA 骑行服 长袖上衣 BJR ¥1850</t>
  </si>
  <si>
    <t>RAPHA 骑行服 长袖上衣 CLL ¥1560</t>
  </si>
  <si>
    <t>RAPHA 骑行服 长裤 AHO ¥1560</t>
  </si>
  <si>
    <t>RAPHA 骑行服 风衣 CRR ¥1430</t>
  </si>
  <si>
    <t>RAPHA 骑行服 马甲 BGL ¥1220</t>
  </si>
  <si>
    <t>RAPHA 骑行服 马甲 BIG ¥1720（厚）</t>
  </si>
  <si>
    <t>RCC 骑行服 拖鞋</t>
  </si>
  <si>
    <t>RCC</t>
  </si>
  <si>
    <t>RCC 骑行服 短袖T恤 ¥1220</t>
  </si>
  <si>
    <t>RCC 骑行服 连体骑行裤 ¥2450</t>
  </si>
  <si>
    <t>RCC 骑行服 马甲 ¥1000</t>
  </si>
  <si>
    <t>RCC 骑行服 骑行裤 ¥2900</t>
  </si>
  <si>
    <t>VB 骑行服 短袖上衣T恤 ¥2080</t>
  </si>
  <si>
    <t>VB</t>
  </si>
  <si>
    <t>VB 骑行服 连体骑行短裤 ¥2280</t>
  </si>
  <si>
    <t>其他 骑行服 断码外套 ¥888</t>
  </si>
  <si>
    <t>其他</t>
  </si>
  <si>
    <t>其他 骑行服 断码风衣 ¥1650</t>
  </si>
  <si>
    <t>其他 骑行服 断码骑行短裤 ¥1298</t>
  </si>
  <si>
    <t>其他小配件</t>
  </si>
  <si>
    <t>AB 其他小配件 蓝鳞片</t>
  </si>
  <si>
    <t>AB</t>
  </si>
  <si>
    <t>Cybrei 其他小配件 盘钉</t>
  </si>
  <si>
    <t>Cybrei</t>
  </si>
  <si>
    <t>Pinarello 其他小配件 水壶架螺丝</t>
  </si>
  <si>
    <t>RC 其他小配件 会员礼盒</t>
  </si>
  <si>
    <t>RC</t>
  </si>
  <si>
    <t>S- PARTS 其他小配件 shimano R8150 变速传动套装</t>
  </si>
  <si>
    <t>S- PARTS</t>
  </si>
  <si>
    <t>S- PARTS 其他小配件 shimano R9250 变速传动套装</t>
  </si>
  <si>
    <t>S-PARTS 其他小配件 PINA  筒轴杆</t>
  </si>
  <si>
    <t>S-PARTS</t>
  </si>
  <si>
    <t>S-PARTS 其他小配件 中锁碟片压盖</t>
  </si>
  <si>
    <t>S-PARTS 其他小配件 棒棒糖锁踏</t>
  </si>
  <si>
    <t>S-PARTS 其他小配件 碟刹套装（SHIMANO R8170）</t>
  </si>
  <si>
    <t>S-PARTS 其他小配件 碟刹套装（SHIMANO R9270）</t>
  </si>
  <si>
    <t>SRAM 其他小配件 充电器</t>
  </si>
  <si>
    <t>SRAM</t>
  </si>
  <si>
    <t>SRAM 其他小配件 电池</t>
  </si>
  <si>
    <t>VACUUM 其他小配件 VACUUM 自行车手机支架</t>
  </si>
  <si>
    <t>VACUUM</t>
  </si>
  <si>
    <t>VOSO 其他小配件 真空气嘴70L</t>
  </si>
  <si>
    <t>VOSO</t>
  </si>
  <si>
    <t>WAHOO 其他小配件 KICKR SNAP 142*12筒轴转接器</t>
  </si>
  <si>
    <t>WAHOO</t>
  </si>
  <si>
    <t>梅花 其他小配件 码表架</t>
  </si>
  <si>
    <t>梅花</t>
  </si>
  <si>
    <t>麦急炫 其他小配件 MAGICSHINE 自行车灯</t>
  </si>
  <si>
    <t>麦急炫</t>
  </si>
  <si>
    <t>麦急炫 其他小配件 前车灯</t>
  </si>
  <si>
    <t>Specialised 整车 SL7 冲刺王 绿</t>
  </si>
  <si>
    <t>Specialised</t>
  </si>
  <si>
    <t>铺货商品</t>
  </si>
  <si>
    <t>BMC 车架 蓝红色 47</t>
  </si>
  <si>
    <t>BMC</t>
  </si>
  <si>
    <t>Colnago 车架 V4RS 彩虹 510</t>
  </si>
  <si>
    <t>Colnago 车架 Y1RS L码 彩虹（带把）</t>
  </si>
  <si>
    <t>Dogma F 【25款】 车架 ZWIFT 540</t>
  </si>
  <si>
    <t>Dogma F 【25款】Myway 车架 全金 515（带金色车把42-120）</t>
  </si>
  <si>
    <t>Dogma F 【25款】Myway 车架 变色龙 515（带车把）</t>
  </si>
  <si>
    <t>Dogma F 【25款】Myway 车架 粉白车身 白色车标 540（带白把））</t>
  </si>
  <si>
    <t>Dogma F 【25款】Myway 车架 粉白车身 金色车标 515（带粉白把））</t>
  </si>
  <si>
    <t>Dogma F 【25款】Myway 车架 蓝金 530（带金色车把42-100）</t>
  </si>
  <si>
    <t>LOOK 车架 红色 S码</t>
  </si>
  <si>
    <t>LOOK</t>
  </si>
  <si>
    <t>LOOK 车架 队版 M码</t>
  </si>
  <si>
    <t>SPECIALIZED 车架 SL7  彩虹冰裂纹 （签名版）54</t>
  </si>
  <si>
    <t>帕索尼 车架 虎纹 54</t>
  </si>
  <si>
    <t>帕索尼</t>
  </si>
  <si>
    <t>帕索尼 轮组 五福</t>
  </si>
  <si>
    <t>骑行台</t>
  </si>
  <si>
    <t>WAHOO 骑行台 KICKR CORE 自行车骑行台（CLIMB通用）</t>
  </si>
  <si>
    <t>WAHOO 骑行台 KICKR SNAP</t>
  </si>
  <si>
    <t>WAHOO 骑行台 KICKR 自行车智能骑行台 WI-FI版本</t>
  </si>
  <si>
    <t>WAHOO 骑行台 KIKCR CLIMB爬坡模拟器</t>
  </si>
  <si>
    <t>总计</t>
  </si>
  <si>
    <t>库存变动对比  ·  3/12 → 3/13  ·  高流通品类</t>
  </si>
  <si>
    <t>仅含高流通级别（正常商品/DA·Zipp/换货回/FSA/自营/套件/配件/铺货）· 仅显示有变动的SKU</t>
  </si>
  <si>
    <t>本期（3/12 → 3/13）高流通库存共 18 个SKU发生变动：出库 17 个SKU，入库 1 个SKU。合计出库 55 件，库存成本减少 ¥25,072。</t>
  </si>
  <si>
    <t>上次总成本 (3/12)</t>
  </si>
  <si>
    <t>本次总成本 (3/13)</t>
  </si>
  <si>
    <t>成本变动</t>
  </si>
  <si>
    <t>合计变动件数</t>
  </si>
  <si>
    <t>上次件数
(3/12)</t>
  </si>
  <si>
    <t>上次成本
(3/12)</t>
  </si>
  <si>
    <t>本次件数
(3/13)</t>
  </si>
  <si>
    <t>本次成本
(3/13)</t>
  </si>
  <si>
    <t>变动件数</t>
  </si>
  <si>
    <t>变动成本</t>
  </si>
  <si>
    <t>静藤 轮组 LIGHT  D50</t>
  </si>
  <si>
    <t>静藤</t>
  </si>
  <si>
    <t>变动合计</t>
  </si>
  <si>
    <t>数据来源：宇宙销售统计中心_2026 商品SKU_031214.xlsx vs 宇宙销售统计中心_2026 商品SKU_031316.xlsx  |  统计时间：3/13</t>
  </si>
  <si>
    <t>清理库存跟踪  ·  3/13</t>
  </si>
  <si>
    <t>期初(2/8) → 3/12 → 3/13  ·  含 Pinarello 清理 + 清理库存  ·  按负责人分组  ·  M/P列目标请手动填写</t>
  </si>
  <si>
    <t>已清成本 = 期初成本 - 当前成本  ·  完成率 = 已清成本 / 4/15清货目标  ·  N/P列目标为人工手填金额</t>
  </si>
  <si>
    <t>期初
件数
(2/8)</t>
  </si>
  <si>
    <t>期初
总成本
(2/8)</t>
  </si>
  <si>
    <t>3/12
件数</t>
  </si>
  <si>
    <t>3/12
成本</t>
  </si>
  <si>
    <t>3/13
件数</t>
  </si>
  <si>
    <t>3/13
成本</t>
  </si>
  <si>
    <t>已清
件数</t>
  </si>
  <si>
    <t>已清
成本</t>
  </si>
  <si>
    <t>备注</t>
  </si>
  <si>
    <t>4/15
清货目标</t>
  </si>
  <si>
    <t>4/15 完成率</t>
  </si>
  <si>
    <t>6/15
清货目标</t>
  </si>
  <si>
    <r>
      <t>▸</t>
    </r>
    <r>
      <rPr>
        <b/>
        <sz val="11"/>
        <color rgb="FFFFFFFF"/>
        <rFont val="Calibri"/>
        <charset val="134"/>
      </rPr>
      <t xml:space="preserve">  </t>
    </r>
    <r>
      <rPr>
        <b/>
        <sz val="11"/>
        <color rgb="FFFFFFFF"/>
        <rFont val="宋体-简"/>
        <charset val="134"/>
      </rPr>
      <t>张振</t>
    </r>
  </si>
  <si>
    <r>
      <t xml:space="preserve">  </t>
    </r>
    <r>
      <rPr>
        <b/>
        <sz val="10"/>
        <color rgb="FF8B1A1A"/>
        <rFont val="宋体-简"/>
        <charset val="134"/>
      </rPr>
      <t>▸</t>
    </r>
    <r>
      <rPr>
        <b/>
        <sz val="10"/>
        <color rgb="FF8B1A1A"/>
        <rFont val="Calibri"/>
        <charset val="134"/>
      </rPr>
      <t xml:space="preserve"> Pinarello / Dogma </t>
    </r>
    <r>
      <rPr>
        <b/>
        <sz val="10"/>
        <color rgb="FF8B1A1A"/>
        <rFont val="宋体-简"/>
        <charset val="134"/>
      </rPr>
      <t>清理</t>
    </r>
  </si>
  <si>
    <t>Pinarello 整车 F9 宝石蓝 515</t>
  </si>
  <si>
    <t xml:space="preserve">  Pinarello 小计</t>
  </si>
  <si>
    <t xml:space="preserve">  ▸ 非 Pinarello</t>
  </si>
  <si>
    <t>钢架</t>
  </si>
  <si>
    <t xml:space="preserve">  非 Pinarello 小计</t>
  </si>
  <si>
    <t>张振 小计</t>
  </si>
  <si>
    <t>▸  郭城</t>
  </si>
  <si>
    <t>Cline 整车 火焰清漆M2</t>
  </si>
  <si>
    <t>Cline</t>
  </si>
  <si>
    <t>郭城 小计</t>
  </si>
  <si>
    <t>▸  潘昊</t>
  </si>
  <si>
    <t>搭配自己的功率计组合</t>
  </si>
  <si>
    <t>潘昊 小计</t>
  </si>
  <si>
    <t>▸  海尔</t>
  </si>
  <si>
    <t>海尔 小计</t>
  </si>
  <si>
    <t>▸  程总</t>
  </si>
  <si>
    <t>程总 小计</t>
  </si>
  <si>
    <t>期初数据来源：2026清货KPI管理表_表1表2（2/8）· 上次来源：宇宙销售统计中心_2026 商品SKU_031214.xlsx · 本次来源：宇宙销售统计中心_2026 商品SKU_031316.xlsx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</si>
</sst>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4">
    <font>
      <sz val="11"/>
      <color theme="1"/>
      <name val="宋体"/>
      <charset val="134"/>
      <scheme val="minor"/>
    </font>
    <font>
      <b/>
      <sz val="14"/>
      <color rgb="FFFFFFFF"/>
      <name val="Calibri"/>
      <charset val="134"/>
    </font>
    <font>
      <sz val="9"/>
      <color rgb="FF555555"/>
      <name val="Calibri"/>
      <charset val="134"/>
    </font>
    <font>
      <b/>
      <sz val="10"/>
      <color rgb="FFFFFFFF"/>
      <name val="Calibri"/>
      <charset val="134"/>
    </font>
    <font>
      <b/>
      <sz val="11"/>
      <color rgb="FFFFFFFF"/>
      <name val="宋体-简"/>
      <charset val="134"/>
    </font>
    <font>
      <b/>
      <sz val="10"/>
      <color rgb="FF8B1A1A"/>
      <name val="Calibri"/>
      <charset val="134"/>
    </font>
    <font>
      <sz val="10"/>
      <color rgb="FF111111"/>
      <name val="Calibri"/>
      <charset val="134"/>
    </font>
    <font>
      <b/>
      <sz val="10"/>
      <color rgb="FF111111"/>
      <name val="Calibri"/>
      <charset val="134"/>
    </font>
    <font>
      <b/>
      <sz val="11"/>
      <color rgb="FFFFFFFF"/>
      <name val="Calibri"/>
      <charset val="134"/>
    </font>
    <font>
      <b/>
      <sz val="10"/>
      <color rgb="FFFFFFFF"/>
      <name val="宋体-简"/>
      <charset val="134"/>
    </font>
    <font>
      <b/>
      <sz val="10"/>
      <color rgb="FF111111"/>
      <name val="宋体"/>
      <charset val="134"/>
      <scheme val="minor"/>
    </font>
    <font>
      <i/>
      <sz val="9"/>
      <color rgb="FF555555"/>
      <name val="Calibri"/>
      <charset val="134"/>
    </font>
    <font>
      <b/>
      <sz val="9"/>
      <color rgb="FFFFFF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8B1A1A"/>
      <name val="宋体-简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  <fill>
      <patternFill patternType="solid">
        <fgColor rgb="FFFAF9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111111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11111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8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10" borderId="8" applyNumberFormat="0" applyAlignment="0" applyProtection="0">
      <alignment vertical="center"/>
    </xf>
    <xf numFmtId="0" fontId="24" fillId="10" borderId="7" applyNumberFormat="0" applyAlignment="0" applyProtection="0">
      <alignment vertical="center"/>
    </xf>
    <xf numFmtId="0" fontId="25" fillId="11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4" borderId="0" xfId="0" applyFill="1"/>
    <xf numFmtId="0" fontId="3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3" fontId="6" fillId="4" borderId="2" xfId="0" applyNumberFormat="1" applyFont="1" applyFill="1" applyBorder="1" applyAlignment="1">
      <alignment horizontal="center" vertical="center"/>
    </xf>
    <xf numFmtId="3" fontId="6" fillId="5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3" fontId="10" fillId="6" borderId="3" xfId="0" applyNumberFormat="1" applyFont="1" applyFill="1" applyBorder="1" applyAlignment="1">
      <alignment horizontal="center" vertical="center"/>
    </xf>
    <xf numFmtId="3" fontId="7" fillId="7" borderId="3" xfId="0" applyNumberFormat="1" applyFont="1" applyFill="1" applyBorder="1" applyAlignment="1">
      <alignment horizontal="center" vertical="center"/>
    </xf>
    <xf numFmtId="176" fontId="7" fillId="6" borderId="3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3" fontId="7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0" fontId="0" fillId="6" borderId="0" xfId="0" applyFill="1"/>
    <xf numFmtId="3" fontId="5" fillId="5" borderId="2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3" fontId="0" fillId="4" borderId="2" xfId="0" applyNumberFormat="1" applyFill="1" applyBorder="1"/>
    <xf numFmtId="3" fontId="0" fillId="5" borderId="2" xfId="0" applyNumberFormat="1" applyFill="1" applyBorder="1"/>
    <xf numFmtId="176" fontId="0" fillId="4" borderId="2" xfId="0" applyNumberFormat="1" applyFill="1" applyBorder="1"/>
    <xf numFmtId="176" fontId="0" fillId="5" borderId="2" xfId="0" applyNumberForma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1111"/>
  </sheetPr>
  <dimension ref="B2:F19"/>
  <sheetViews>
    <sheetView showGridLines="0" workbookViewId="0">
      <selection activeCell="A1" sqref="A1"/>
    </sheetView>
  </sheetViews>
  <sheetFormatPr defaultColWidth="9" defaultRowHeight="16.8" outlineLevelCol="5"/>
  <cols>
    <col min="1" max="1" width="2" customWidth="1"/>
    <col min="2" max="2" width="20" customWidth="1"/>
    <col min="3" max="4" width="12" customWidth="1"/>
    <col min="5" max="5" width="16" customWidth="1"/>
    <col min="6" max="6" width="12" customWidth="1"/>
  </cols>
  <sheetData>
    <row r="2" ht="32" customHeight="1" spans="2:2">
      <c r="B2" s="1" t="s">
        <v>0</v>
      </c>
    </row>
    <row r="3" ht="18" customHeight="1" spans="2:2">
      <c r="B3" s="2" t="s">
        <v>1</v>
      </c>
    </row>
    <row r="4" ht="6" customHeight="1" spans="2:6">
      <c r="B4" s="3"/>
      <c r="C4" s="3"/>
      <c r="D4" s="3"/>
      <c r="E4" s="3"/>
      <c r="F4" s="3"/>
    </row>
    <row r="5" ht="28" customHeight="1" spans="2:6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</row>
    <row r="6" ht="22" customHeight="1" spans="2:6">
      <c r="B6" s="7" t="s">
        <v>7</v>
      </c>
      <c r="C6" s="30">
        <v>13</v>
      </c>
      <c r="D6" s="30">
        <v>14</v>
      </c>
      <c r="E6" s="30">
        <v>570194.5</v>
      </c>
      <c r="F6" s="32">
        <f>E6/E17</f>
        <v>0.120542867057342</v>
      </c>
    </row>
    <row r="7" ht="22" customHeight="1" spans="2:6">
      <c r="B7" s="9" t="s">
        <v>8</v>
      </c>
      <c r="C7" s="31">
        <v>20</v>
      </c>
      <c r="D7" s="31">
        <v>23</v>
      </c>
      <c r="E7" s="31">
        <v>577036</v>
      </c>
      <c r="F7" s="33">
        <f>E7/E17</f>
        <v>0.121989205148946</v>
      </c>
    </row>
    <row r="8" ht="22" customHeight="1" spans="2:6">
      <c r="B8" s="7" t="s">
        <v>9</v>
      </c>
      <c r="C8" s="30">
        <v>51</v>
      </c>
      <c r="D8" s="30">
        <v>461</v>
      </c>
      <c r="E8" s="30">
        <v>1267161</v>
      </c>
      <c r="F8" s="32">
        <f>E8/E17</f>
        <v>0.267886168602554</v>
      </c>
    </row>
    <row r="9" ht="22" customHeight="1" spans="2:6">
      <c r="B9" s="9" t="s">
        <v>10</v>
      </c>
      <c r="C9" s="31">
        <v>55</v>
      </c>
      <c r="D9" s="31">
        <v>1670</v>
      </c>
      <c r="E9" s="31">
        <v>693209.08</v>
      </c>
      <c r="F9" s="33">
        <f>E9/E17</f>
        <v>0.146548958247375</v>
      </c>
    </row>
    <row r="10" ht="22" customHeight="1" spans="2:6">
      <c r="B10" s="7" t="s">
        <v>11</v>
      </c>
      <c r="C10" s="30">
        <v>4</v>
      </c>
      <c r="D10" s="30">
        <v>50</v>
      </c>
      <c r="E10" s="30">
        <v>326731.56</v>
      </c>
      <c r="F10" s="32">
        <f>E10/E17</f>
        <v>0.0690732004614532</v>
      </c>
    </row>
    <row r="11" ht="22" customHeight="1" spans="2:6">
      <c r="B11" s="9" t="s">
        <v>12</v>
      </c>
      <c r="C11" s="31">
        <v>4</v>
      </c>
      <c r="D11" s="31">
        <v>7</v>
      </c>
      <c r="E11" s="31">
        <v>147800</v>
      </c>
      <c r="F11" s="33">
        <f>E11/E17</f>
        <v>0.0312458919738356</v>
      </c>
    </row>
    <row r="12" ht="22" customHeight="1" spans="2:6">
      <c r="B12" s="7" t="s">
        <v>13</v>
      </c>
      <c r="C12" s="30">
        <v>5</v>
      </c>
      <c r="D12" s="30">
        <v>137</v>
      </c>
      <c r="E12" s="30">
        <v>306841.8</v>
      </c>
      <c r="F12" s="32">
        <f>E12/E17</f>
        <v>0.0648683743968692</v>
      </c>
    </row>
    <row r="13" ht="22" customHeight="1" spans="2:6">
      <c r="B13" s="9" t="s">
        <v>14</v>
      </c>
      <c r="C13" s="31">
        <v>22</v>
      </c>
      <c r="D13" s="31">
        <v>368</v>
      </c>
      <c r="E13" s="31">
        <v>563960</v>
      </c>
      <c r="F13" s="33">
        <f>E13/E17</f>
        <v>0.119224852757539</v>
      </c>
    </row>
    <row r="14" ht="22" customHeight="1" spans="2:6">
      <c r="B14" s="7" t="s">
        <v>15</v>
      </c>
      <c r="C14" s="30">
        <v>3</v>
      </c>
      <c r="D14" s="30">
        <v>20</v>
      </c>
      <c r="E14" s="30">
        <v>36176</v>
      </c>
      <c r="F14" s="32">
        <f>E14/E17</f>
        <v>0.00764784430342</v>
      </c>
    </row>
    <row r="15" ht="22" customHeight="1" spans="2:6">
      <c r="B15" s="9" t="s">
        <v>16</v>
      </c>
      <c r="C15" s="31">
        <v>119</v>
      </c>
      <c r="D15" s="31">
        <v>769</v>
      </c>
      <c r="E15" s="31">
        <v>241111.88</v>
      </c>
      <c r="F15" s="33">
        <f>E15/E17</f>
        <v>0.0509726370506658</v>
      </c>
    </row>
    <row r="16" ht="22" customHeight="1" spans="2:6">
      <c r="B16" s="7" t="s">
        <v>17</v>
      </c>
      <c r="C16" s="30">
        <v>19</v>
      </c>
      <c r="D16" s="30">
        <v>21</v>
      </c>
      <c r="E16" s="30">
        <v>0</v>
      </c>
      <c r="F16" s="32">
        <f>E16/E17</f>
        <v>0</v>
      </c>
    </row>
    <row r="17" ht="22" customHeight="1" spans="2:6">
      <c r="B17" s="12" t="s">
        <v>18</v>
      </c>
      <c r="C17" s="17">
        <f>SUM(C6:C16)</f>
        <v>315</v>
      </c>
      <c r="D17" s="17">
        <f>SUM(D6:D16)</f>
        <v>3540</v>
      </c>
      <c r="E17" s="17">
        <f>SUM(E6:E16)</f>
        <v>4730221.82</v>
      </c>
      <c r="F17" s="12"/>
    </row>
    <row r="19" ht="16" customHeight="1" spans="2:2">
      <c r="B19" s="22" t="s">
        <v>19</v>
      </c>
    </row>
  </sheetData>
  <mergeCells count="3">
    <mergeCell ref="B2:F2"/>
    <mergeCell ref="B3:F3"/>
    <mergeCell ref="B19:F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C3E6B"/>
  </sheetPr>
  <dimension ref="B2:L345"/>
  <sheetViews>
    <sheetView showGridLines="0" workbookViewId="0">
      <selection activeCell="A1" sqref="A1"/>
    </sheetView>
  </sheetViews>
  <sheetFormatPr defaultColWidth="9" defaultRowHeight="16.8"/>
  <cols>
    <col min="1" max="1" width="2" customWidth="1"/>
    <col min="2" max="2" width="12" customWidth="1"/>
    <col min="3" max="3" width="32" customWidth="1"/>
    <col min="4" max="5" width="14" customWidth="1"/>
    <col min="6" max="8" width="8" customWidth="1"/>
    <col min="9" max="9" width="11" customWidth="1"/>
    <col min="10" max="10" width="13" customWidth="1"/>
    <col min="11" max="11" width="11" customWidth="1"/>
    <col min="12" max="12" width="14" customWidth="1"/>
  </cols>
  <sheetData>
    <row r="2" ht="32" customHeight="1" spans="2:2">
      <c r="B2" s="1" t="s">
        <v>20</v>
      </c>
    </row>
    <row r="3" ht="18" customHeight="1" spans="2:2">
      <c r="B3" s="2" t="s">
        <v>21</v>
      </c>
    </row>
    <row r="4" ht="6" customHeight="1" spans="2:12"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28" customHeight="1" spans="2:12">
      <c r="B5" s="4" t="s">
        <v>22</v>
      </c>
      <c r="C5" s="4" t="s">
        <v>23</v>
      </c>
      <c r="D5" s="4" t="s">
        <v>24</v>
      </c>
      <c r="E5" s="4" t="s">
        <v>2</v>
      </c>
      <c r="F5" s="4" t="s">
        <v>25</v>
      </c>
      <c r="G5" s="4" t="s">
        <v>26</v>
      </c>
      <c r="H5" s="4" t="s">
        <v>4</v>
      </c>
      <c r="I5" s="4" t="s">
        <v>27</v>
      </c>
      <c r="J5" s="4" t="s">
        <v>28</v>
      </c>
      <c r="K5" s="4" t="s">
        <v>29</v>
      </c>
      <c r="L5" s="4" t="s">
        <v>30</v>
      </c>
    </row>
    <row r="6" ht="22" customHeight="1" spans="2:2">
      <c r="B6" s="13" t="s">
        <v>7</v>
      </c>
    </row>
    <row r="7" ht="22" customHeight="1" outlineLevel="1" spans="2:12">
      <c r="B7" s="8" t="s">
        <v>31</v>
      </c>
      <c r="C7" s="7" t="s">
        <v>32</v>
      </c>
      <c r="D7" s="8" t="s">
        <v>33</v>
      </c>
      <c r="E7" s="8" t="s">
        <v>34</v>
      </c>
      <c r="F7" s="15">
        <v>1</v>
      </c>
      <c r="G7" s="15">
        <v>0</v>
      </c>
      <c r="H7" s="15">
        <f t="shared" ref="H7:H19" si="0">F7+G7</f>
        <v>1</v>
      </c>
      <c r="I7" s="15">
        <v>37200</v>
      </c>
      <c r="J7" s="15">
        <f t="shared" ref="J7:J19" si="1">H7*I7</f>
        <v>37200</v>
      </c>
      <c r="K7" s="15"/>
      <c r="L7" s="7" t="s">
        <v>35</v>
      </c>
    </row>
    <row r="8" ht="22" customHeight="1" outlineLevel="1" spans="2:12">
      <c r="B8" s="10" t="s">
        <v>31</v>
      </c>
      <c r="C8" s="9" t="s">
        <v>36</v>
      </c>
      <c r="D8" s="10" t="s">
        <v>33</v>
      </c>
      <c r="E8" s="10" t="s">
        <v>34</v>
      </c>
      <c r="F8" s="16">
        <v>1</v>
      </c>
      <c r="G8" s="16">
        <v>0</v>
      </c>
      <c r="H8" s="16">
        <f t="shared" si="0"/>
        <v>1</v>
      </c>
      <c r="I8" s="16">
        <v>37200</v>
      </c>
      <c r="J8" s="16">
        <f t="shared" si="1"/>
        <v>37200</v>
      </c>
      <c r="K8" s="16"/>
      <c r="L8" s="9" t="s">
        <v>35</v>
      </c>
    </row>
    <row r="9" ht="22" customHeight="1" outlineLevel="1" spans="2:12">
      <c r="B9" s="8" t="s">
        <v>31</v>
      </c>
      <c r="C9" s="7" t="s">
        <v>37</v>
      </c>
      <c r="D9" s="8" t="s">
        <v>33</v>
      </c>
      <c r="E9" s="8" t="s">
        <v>34</v>
      </c>
      <c r="F9" s="15">
        <v>2</v>
      </c>
      <c r="G9" s="15">
        <v>0</v>
      </c>
      <c r="H9" s="15">
        <f t="shared" si="0"/>
        <v>2</v>
      </c>
      <c r="I9" s="15">
        <v>37200</v>
      </c>
      <c r="J9" s="15">
        <f t="shared" si="1"/>
        <v>74400</v>
      </c>
      <c r="K9" s="15"/>
      <c r="L9" s="7" t="s">
        <v>35</v>
      </c>
    </row>
    <row r="10" ht="22" customHeight="1" outlineLevel="1" spans="2:12">
      <c r="B10" s="10" t="s">
        <v>31</v>
      </c>
      <c r="C10" s="9" t="s">
        <v>38</v>
      </c>
      <c r="D10" s="10" t="s">
        <v>33</v>
      </c>
      <c r="E10" s="10" t="s">
        <v>34</v>
      </c>
      <c r="F10" s="16">
        <v>1</v>
      </c>
      <c r="G10" s="16">
        <v>0</v>
      </c>
      <c r="H10" s="16">
        <f t="shared" si="0"/>
        <v>1</v>
      </c>
      <c r="I10" s="16">
        <v>37200</v>
      </c>
      <c r="J10" s="16">
        <f t="shared" si="1"/>
        <v>37200</v>
      </c>
      <c r="K10" s="16"/>
      <c r="L10" s="9" t="s">
        <v>35</v>
      </c>
    </row>
    <row r="11" ht="22" customHeight="1" outlineLevel="1" spans="2:12">
      <c r="B11" s="8" t="s">
        <v>31</v>
      </c>
      <c r="C11" s="7" t="s">
        <v>39</v>
      </c>
      <c r="D11" s="8" t="s">
        <v>33</v>
      </c>
      <c r="E11" s="8" t="s">
        <v>34</v>
      </c>
      <c r="F11" s="15">
        <v>1</v>
      </c>
      <c r="G11" s="15">
        <v>0</v>
      </c>
      <c r="H11" s="15">
        <f t="shared" si="0"/>
        <v>1</v>
      </c>
      <c r="I11" s="15">
        <v>37200</v>
      </c>
      <c r="J11" s="15">
        <f t="shared" si="1"/>
        <v>37200</v>
      </c>
      <c r="K11" s="15"/>
      <c r="L11" s="7" t="s">
        <v>35</v>
      </c>
    </row>
    <row r="12" ht="22" customHeight="1" outlineLevel="1" spans="2:12">
      <c r="B12" s="10" t="s">
        <v>31</v>
      </c>
      <c r="C12" s="9" t="s">
        <v>40</v>
      </c>
      <c r="D12" s="10" t="s">
        <v>33</v>
      </c>
      <c r="E12" s="10" t="s">
        <v>34</v>
      </c>
      <c r="F12" s="16">
        <v>1</v>
      </c>
      <c r="G12" s="16">
        <v>0</v>
      </c>
      <c r="H12" s="16">
        <f t="shared" si="0"/>
        <v>1</v>
      </c>
      <c r="I12" s="16">
        <v>39707</v>
      </c>
      <c r="J12" s="16">
        <f t="shared" si="1"/>
        <v>39707</v>
      </c>
      <c r="K12" s="16"/>
      <c r="L12" s="9" t="s">
        <v>35</v>
      </c>
    </row>
    <row r="13" ht="22" customHeight="1" outlineLevel="1" spans="2:12">
      <c r="B13" s="8" t="s">
        <v>31</v>
      </c>
      <c r="C13" s="7" t="s">
        <v>41</v>
      </c>
      <c r="D13" s="8" t="s">
        <v>33</v>
      </c>
      <c r="E13" s="8" t="s">
        <v>34</v>
      </c>
      <c r="F13" s="15">
        <v>1</v>
      </c>
      <c r="G13" s="15">
        <v>0</v>
      </c>
      <c r="H13" s="15">
        <f t="shared" si="0"/>
        <v>1</v>
      </c>
      <c r="I13" s="15">
        <v>37200</v>
      </c>
      <c r="J13" s="15">
        <f t="shared" si="1"/>
        <v>37200</v>
      </c>
      <c r="K13" s="15"/>
      <c r="L13" s="7" t="s">
        <v>35</v>
      </c>
    </row>
    <row r="14" ht="22" customHeight="1" outlineLevel="1" spans="2:12">
      <c r="B14" s="10" t="s">
        <v>31</v>
      </c>
      <c r="C14" s="9" t="s">
        <v>42</v>
      </c>
      <c r="D14" s="10" t="s">
        <v>33</v>
      </c>
      <c r="E14" s="10" t="s">
        <v>34</v>
      </c>
      <c r="F14" s="16">
        <v>1</v>
      </c>
      <c r="G14" s="16">
        <v>0</v>
      </c>
      <c r="H14" s="16">
        <f t="shared" si="0"/>
        <v>1</v>
      </c>
      <c r="I14" s="16">
        <v>37200</v>
      </c>
      <c r="J14" s="16">
        <f t="shared" si="1"/>
        <v>37200</v>
      </c>
      <c r="K14" s="16"/>
      <c r="L14" s="9" t="s">
        <v>35</v>
      </c>
    </row>
    <row r="15" ht="22" customHeight="1" outlineLevel="1" spans="2:12">
      <c r="B15" s="8" t="s">
        <v>31</v>
      </c>
      <c r="C15" s="7" t="s">
        <v>43</v>
      </c>
      <c r="D15" s="8" t="s">
        <v>33</v>
      </c>
      <c r="E15" s="8" t="s">
        <v>34</v>
      </c>
      <c r="F15" s="15">
        <v>1</v>
      </c>
      <c r="G15" s="15">
        <v>0</v>
      </c>
      <c r="H15" s="15">
        <f t="shared" si="0"/>
        <v>1</v>
      </c>
      <c r="I15" s="15">
        <v>37200</v>
      </c>
      <c r="J15" s="15">
        <f t="shared" si="1"/>
        <v>37200</v>
      </c>
      <c r="K15" s="15"/>
      <c r="L15" s="7" t="s">
        <v>35</v>
      </c>
    </row>
    <row r="16" ht="22" customHeight="1" outlineLevel="1" spans="2:12">
      <c r="B16" s="10" t="s">
        <v>31</v>
      </c>
      <c r="C16" s="9" t="s">
        <v>44</v>
      </c>
      <c r="D16" s="10" t="s">
        <v>33</v>
      </c>
      <c r="E16" s="10" t="s">
        <v>34</v>
      </c>
      <c r="F16" s="16">
        <v>1</v>
      </c>
      <c r="G16" s="16">
        <v>0</v>
      </c>
      <c r="H16" s="16">
        <f t="shared" si="0"/>
        <v>1</v>
      </c>
      <c r="I16" s="16">
        <v>37200</v>
      </c>
      <c r="J16" s="16">
        <f t="shared" si="1"/>
        <v>37200</v>
      </c>
      <c r="K16" s="16"/>
      <c r="L16" s="9" t="s">
        <v>35</v>
      </c>
    </row>
    <row r="17" ht="22" customHeight="1" outlineLevel="1" spans="2:12">
      <c r="B17" s="8" t="s">
        <v>31</v>
      </c>
      <c r="C17" s="7" t="s">
        <v>45</v>
      </c>
      <c r="D17" s="8" t="s">
        <v>33</v>
      </c>
      <c r="E17" s="8" t="s">
        <v>34</v>
      </c>
      <c r="F17" s="15">
        <v>1</v>
      </c>
      <c r="G17" s="15">
        <v>0</v>
      </c>
      <c r="H17" s="15">
        <f t="shared" si="0"/>
        <v>1</v>
      </c>
      <c r="I17" s="15">
        <v>37200</v>
      </c>
      <c r="J17" s="15">
        <f t="shared" si="1"/>
        <v>37200</v>
      </c>
      <c r="K17" s="15"/>
      <c r="L17" s="7" t="s">
        <v>35</v>
      </c>
    </row>
    <row r="18" ht="22" customHeight="1" outlineLevel="1" spans="2:12">
      <c r="B18" s="10" t="s">
        <v>31</v>
      </c>
      <c r="C18" s="9" t="s">
        <v>46</v>
      </c>
      <c r="D18" s="10" t="s">
        <v>47</v>
      </c>
      <c r="E18" s="10" t="s">
        <v>34</v>
      </c>
      <c r="F18" s="16">
        <v>1</v>
      </c>
      <c r="G18" s="16">
        <v>0</v>
      </c>
      <c r="H18" s="16">
        <f t="shared" si="0"/>
        <v>1</v>
      </c>
      <c r="I18" s="16">
        <v>62600</v>
      </c>
      <c r="J18" s="16">
        <f t="shared" si="1"/>
        <v>62600</v>
      </c>
      <c r="K18" s="16"/>
      <c r="L18" s="9" t="s">
        <v>35</v>
      </c>
    </row>
    <row r="19" ht="22" customHeight="1" outlineLevel="1" spans="2:12">
      <c r="B19" s="8" t="s">
        <v>31</v>
      </c>
      <c r="C19" s="7" t="s">
        <v>48</v>
      </c>
      <c r="D19" s="8" t="s">
        <v>47</v>
      </c>
      <c r="E19" s="8" t="s">
        <v>34</v>
      </c>
      <c r="F19" s="15">
        <v>1</v>
      </c>
      <c r="G19" s="15">
        <v>0</v>
      </c>
      <c r="H19" s="15">
        <f t="shared" si="0"/>
        <v>1</v>
      </c>
      <c r="I19" s="15">
        <v>58687.5</v>
      </c>
      <c r="J19" s="15">
        <f t="shared" si="1"/>
        <v>58687.5</v>
      </c>
      <c r="K19" s="15"/>
      <c r="L19" s="7" t="s">
        <v>35</v>
      </c>
    </row>
    <row r="20" ht="22" customHeight="1" spans="2:12">
      <c r="B20" s="11" t="s">
        <v>49</v>
      </c>
      <c r="C20" s="12"/>
      <c r="D20" s="12">
        <f>COUNTA(C7:C19)</f>
        <v>13</v>
      </c>
      <c r="E20" s="12"/>
      <c r="F20" s="12"/>
      <c r="G20" s="12"/>
      <c r="H20" s="17">
        <f>SUM(H7:H19)</f>
        <v>14</v>
      </c>
      <c r="I20" s="12"/>
      <c r="J20" s="17">
        <f>SUM(J7:J19)</f>
        <v>570194.5</v>
      </c>
      <c r="K20" s="12"/>
      <c r="L20" s="12"/>
    </row>
    <row r="21" ht="22" customHeight="1" spans="2:2">
      <c r="B21" s="13" t="s">
        <v>8</v>
      </c>
    </row>
    <row r="22" ht="22" customHeight="1" outlineLevel="1" spans="2:12">
      <c r="B22" s="10" t="s">
        <v>50</v>
      </c>
      <c r="C22" s="9" t="s">
        <v>51</v>
      </c>
      <c r="D22" s="10" t="s">
        <v>52</v>
      </c>
      <c r="E22" s="10" t="s">
        <v>53</v>
      </c>
      <c r="F22" s="16">
        <v>1</v>
      </c>
      <c r="G22" s="16">
        <v>0</v>
      </c>
      <c r="H22" s="16">
        <f t="shared" ref="H22:H41" si="2">F22+G22</f>
        <v>1</v>
      </c>
      <c r="I22" s="16">
        <v>24400</v>
      </c>
      <c r="J22" s="16">
        <f t="shared" ref="J22:J41" si="3">H22*I22</f>
        <v>24400</v>
      </c>
      <c r="K22" s="16">
        <v>25000</v>
      </c>
      <c r="L22" s="9" t="s">
        <v>35</v>
      </c>
    </row>
    <row r="23" ht="22" customHeight="1" outlineLevel="1" spans="2:12">
      <c r="B23" s="8" t="s">
        <v>50</v>
      </c>
      <c r="C23" s="7" t="s">
        <v>54</v>
      </c>
      <c r="D23" s="8" t="s">
        <v>52</v>
      </c>
      <c r="E23" s="8" t="s">
        <v>53</v>
      </c>
      <c r="F23" s="15">
        <v>1</v>
      </c>
      <c r="G23" s="15">
        <v>0</v>
      </c>
      <c r="H23" s="15">
        <f t="shared" si="2"/>
        <v>1</v>
      </c>
      <c r="I23" s="15">
        <v>24400</v>
      </c>
      <c r="J23" s="15">
        <f t="shared" si="3"/>
        <v>24400</v>
      </c>
      <c r="K23" s="15">
        <v>25000</v>
      </c>
      <c r="L23" s="7" t="s">
        <v>35</v>
      </c>
    </row>
    <row r="24" ht="22" customHeight="1" outlineLevel="1" spans="2:12">
      <c r="B24" s="10" t="s">
        <v>50</v>
      </c>
      <c r="C24" s="9" t="s">
        <v>55</v>
      </c>
      <c r="D24" s="10" t="s">
        <v>52</v>
      </c>
      <c r="E24" s="10" t="s">
        <v>53</v>
      </c>
      <c r="F24" s="16">
        <v>1</v>
      </c>
      <c r="G24" s="16">
        <v>0</v>
      </c>
      <c r="H24" s="16">
        <f t="shared" si="2"/>
        <v>1</v>
      </c>
      <c r="I24" s="16">
        <v>24400</v>
      </c>
      <c r="J24" s="16">
        <f t="shared" si="3"/>
        <v>24400</v>
      </c>
      <c r="K24" s="16">
        <v>25000</v>
      </c>
      <c r="L24" s="9" t="s">
        <v>35</v>
      </c>
    </row>
    <row r="25" ht="22" customHeight="1" outlineLevel="1" spans="2:12">
      <c r="B25" s="8" t="s">
        <v>50</v>
      </c>
      <c r="C25" s="7" t="s">
        <v>56</v>
      </c>
      <c r="D25" s="8" t="s">
        <v>52</v>
      </c>
      <c r="E25" s="8" t="s">
        <v>53</v>
      </c>
      <c r="F25" s="15">
        <v>1</v>
      </c>
      <c r="G25" s="15">
        <v>0</v>
      </c>
      <c r="H25" s="15">
        <f t="shared" si="2"/>
        <v>1</v>
      </c>
      <c r="I25" s="15">
        <v>31500</v>
      </c>
      <c r="J25" s="15">
        <f t="shared" si="3"/>
        <v>31500</v>
      </c>
      <c r="K25" s="15"/>
      <c r="L25" s="7" t="s">
        <v>35</v>
      </c>
    </row>
    <row r="26" ht="22" customHeight="1" outlineLevel="1" spans="2:12">
      <c r="B26" s="10" t="s">
        <v>50</v>
      </c>
      <c r="C26" s="9" t="s">
        <v>57</v>
      </c>
      <c r="D26" s="10" t="s">
        <v>52</v>
      </c>
      <c r="E26" s="10" t="s">
        <v>53</v>
      </c>
      <c r="F26" s="16">
        <v>1</v>
      </c>
      <c r="G26" s="16">
        <v>0</v>
      </c>
      <c r="H26" s="16">
        <f t="shared" si="2"/>
        <v>1</v>
      </c>
      <c r="I26" s="16">
        <v>31500</v>
      </c>
      <c r="J26" s="16">
        <f t="shared" si="3"/>
        <v>31500</v>
      </c>
      <c r="K26" s="16">
        <v>32000</v>
      </c>
      <c r="L26" s="9" t="s">
        <v>35</v>
      </c>
    </row>
    <row r="27" ht="22" customHeight="1" outlineLevel="1" spans="2:12">
      <c r="B27" s="8" t="s">
        <v>50</v>
      </c>
      <c r="C27" s="7" t="s">
        <v>58</v>
      </c>
      <c r="D27" s="8" t="s">
        <v>52</v>
      </c>
      <c r="E27" s="8" t="s">
        <v>53</v>
      </c>
      <c r="F27" s="15">
        <v>1</v>
      </c>
      <c r="G27" s="15">
        <v>0</v>
      </c>
      <c r="H27" s="15">
        <f t="shared" si="2"/>
        <v>1</v>
      </c>
      <c r="I27" s="15">
        <v>20000</v>
      </c>
      <c r="J27" s="15">
        <f t="shared" si="3"/>
        <v>20000</v>
      </c>
      <c r="K27" s="15"/>
      <c r="L27" s="7" t="s">
        <v>35</v>
      </c>
    </row>
    <row r="28" ht="22" customHeight="1" outlineLevel="1" spans="2:12">
      <c r="B28" s="10" t="s">
        <v>50</v>
      </c>
      <c r="C28" s="9" t="s">
        <v>59</v>
      </c>
      <c r="D28" s="10" t="s">
        <v>52</v>
      </c>
      <c r="E28" s="10" t="s">
        <v>53</v>
      </c>
      <c r="F28" s="16">
        <v>1</v>
      </c>
      <c r="G28" s="16">
        <v>0</v>
      </c>
      <c r="H28" s="16">
        <f t="shared" si="2"/>
        <v>1</v>
      </c>
      <c r="I28" s="16">
        <v>20000</v>
      </c>
      <c r="J28" s="16">
        <f t="shared" si="3"/>
        <v>20000</v>
      </c>
      <c r="K28" s="16"/>
      <c r="L28" s="9" t="s">
        <v>35</v>
      </c>
    </row>
    <row r="29" ht="22" customHeight="1" outlineLevel="1" spans="2:12">
      <c r="B29" s="8" t="s">
        <v>50</v>
      </c>
      <c r="C29" s="7" t="s">
        <v>60</v>
      </c>
      <c r="D29" s="8" t="s">
        <v>52</v>
      </c>
      <c r="E29" s="8" t="s">
        <v>53</v>
      </c>
      <c r="F29" s="15">
        <v>1</v>
      </c>
      <c r="G29" s="15">
        <v>0</v>
      </c>
      <c r="H29" s="15">
        <f t="shared" si="2"/>
        <v>1</v>
      </c>
      <c r="I29" s="15">
        <v>33916</v>
      </c>
      <c r="J29" s="15">
        <f t="shared" si="3"/>
        <v>33916</v>
      </c>
      <c r="K29" s="15">
        <v>34000</v>
      </c>
      <c r="L29" s="7" t="s">
        <v>35</v>
      </c>
    </row>
    <row r="30" ht="22" customHeight="1" outlineLevel="1" spans="2:12">
      <c r="B30" s="10" t="s">
        <v>31</v>
      </c>
      <c r="C30" s="9" t="s">
        <v>61</v>
      </c>
      <c r="D30" s="10" t="s">
        <v>62</v>
      </c>
      <c r="E30" s="10" t="s">
        <v>53</v>
      </c>
      <c r="F30" s="16">
        <v>1</v>
      </c>
      <c r="G30" s="16">
        <v>0</v>
      </c>
      <c r="H30" s="16">
        <f t="shared" si="2"/>
        <v>1</v>
      </c>
      <c r="I30" s="16">
        <v>28000</v>
      </c>
      <c r="J30" s="16">
        <f t="shared" si="3"/>
        <v>28000</v>
      </c>
      <c r="K30" s="16"/>
      <c r="L30" s="9" t="s">
        <v>35</v>
      </c>
    </row>
    <row r="31" ht="22" customHeight="1" outlineLevel="1" spans="2:12">
      <c r="B31" s="8" t="s">
        <v>31</v>
      </c>
      <c r="C31" s="7" t="s">
        <v>63</v>
      </c>
      <c r="D31" s="8" t="s">
        <v>52</v>
      </c>
      <c r="E31" s="8" t="s">
        <v>53</v>
      </c>
      <c r="F31" s="15">
        <v>1</v>
      </c>
      <c r="G31" s="15">
        <v>0</v>
      </c>
      <c r="H31" s="15">
        <f t="shared" si="2"/>
        <v>1</v>
      </c>
      <c r="I31" s="15">
        <v>24400</v>
      </c>
      <c r="J31" s="15">
        <f t="shared" si="3"/>
        <v>24400</v>
      </c>
      <c r="K31" s="15">
        <v>25000</v>
      </c>
      <c r="L31" s="7" t="s">
        <v>35</v>
      </c>
    </row>
    <row r="32" ht="22" customHeight="1" outlineLevel="1" spans="2:12">
      <c r="B32" s="10" t="s">
        <v>31</v>
      </c>
      <c r="C32" s="9" t="s">
        <v>64</v>
      </c>
      <c r="D32" s="10" t="s">
        <v>52</v>
      </c>
      <c r="E32" s="10" t="s">
        <v>53</v>
      </c>
      <c r="F32" s="16">
        <v>1</v>
      </c>
      <c r="G32" s="16">
        <v>0</v>
      </c>
      <c r="H32" s="16">
        <f t="shared" si="2"/>
        <v>1</v>
      </c>
      <c r="I32" s="16">
        <v>24400</v>
      </c>
      <c r="J32" s="16">
        <f t="shared" si="3"/>
        <v>24400</v>
      </c>
      <c r="K32" s="16">
        <v>25000</v>
      </c>
      <c r="L32" s="9" t="s">
        <v>35</v>
      </c>
    </row>
    <row r="33" ht="22" customHeight="1" outlineLevel="1" spans="2:12">
      <c r="B33" s="8" t="s">
        <v>31</v>
      </c>
      <c r="C33" s="7" t="s">
        <v>65</v>
      </c>
      <c r="D33" s="8" t="s">
        <v>52</v>
      </c>
      <c r="E33" s="8" t="s">
        <v>53</v>
      </c>
      <c r="F33" s="15">
        <v>1</v>
      </c>
      <c r="G33" s="15">
        <v>0</v>
      </c>
      <c r="H33" s="15">
        <f t="shared" si="2"/>
        <v>1</v>
      </c>
      <c r="I33" s="15">
        <v>24400</v>
      </c>
      <c r="J33" s="15">
        <f t="shared" si="3"/>
        <v>24400</v>
      </c>
      <c r="K33" s="15">
        <v>25000</v>
      </c>
      <c r="L33" s="7" t="s">
        <v>35</v>
      </c>
    </row>
    <row r="34" ht="22" customHeight="1" outlineLevel="1" spans="2:12">
      <c r="B34" s="10" t="s">
        <v>31</v>
      </c>
      <c r="C34" s="9" t="s">
        <v>66</v>
      </c>
      <c r="D34" s="10" t="s">
        <v>52</v>
      </c>
      <c r="E34" s="10" t="s">
        <v>53</v>
      </c>
      <c r="F34" s="16">
        <v>1</v>
      </c>
      <c r="G34" s="16">
        <v>0</v>
      </c>
      <c r="H34" s="16">
        <f t="shared" si="2"/>
        <v>1</v>
      </c>
      <c r="I34" s="16">
        <v>24400</v>
      </c>
      <c r="J34" s="16">
        <f t="shared" si="3"/>
        <v>24400</v>
      </c>
      <c r="K34" s="16">
        <v>25000</v>
      </c>
      <c r="L34" s="9" t="s">
        <v>35</v>
      </c>
    </row>
    <row r="35" ht="22" customHeight="1" outlineLevel="1" spans="2:12">
      <c r="B35" s="8" t="s">
        <v>31</v>
      </c>
      <c r="C35" s="7" t="s">
        <v>67</v>
      </c>
      <c r="D35" s="8" t="s">
        <v>52</v>
      </c>
      <c r="E35" s="8" t="s">
        <v>53</v>
      </c>
      <c r="F35" s="15">
        <v>1</v>
      </c>
      <c r="G35" s="15">
        <v>0</v>
      </c>
      <c r="H35" s="15">
        <f t="shared" si="2"/>
        <v>1</v>
      </c>
      <c r="I35" s="15">
        <v>24400</v>
      </c>
      <c r="J35" s="15">
        <f t="shared" si="3"/>
        <v>24400</v>
      </c>
      <c r="K35" s="15">
        <v>25000</v>
      </c>
      <c r="L35" s="7" t="s">
        <v>35</v>
      </c>
    </row>
    <row r="36" ht="22" customHeight="1" outlineLevel="1" spans="2:12">
      <c r="B36" s="10" t="s">
        <v>31</v>
      </c>
      <c r="C36" s="9" t="s">
        <v>68</v>
      </c>
      <c r="D36" s="10" t="s">
        <v>52</v>
      </c>
      <c r="E36" s="10" t="s">
        <v>53</v>
      </c>
      <c r="F36" s="16">
        <v>2</v>
      </c>
      <c r="G36" s="16">
        <v>0</v>
      </c>
      <c r="H36" s="16">
        <f t="shared" si="2"/>
        <v>2</v>
      </c>
      <c r="I36" s="16">
        <v>24400</v>
      </c>
      <c r="J36" s="16">
        <f t="shared" si="3"/>
        <v>48800</v>
      </c>
      <c r="K36" s="16">
        <v>25000</v>
      </c>
      <c r="L36" s="9" t="s">
        <v>35</v>
      </c>
    </row>
    <row r="37" ht="22" customHeight="1" outlineLevel="1" spans="2:12">
      <c r="B37" s="8" t="s">
        <v>31</v>
      </c>
      <c r="C37" s="7" t="s">
        <v>69</v>
      </c>
      <c r="D37" s="8" t="s">
        <v>52</v>
      </c>
      <c r="E37" s="8" t="s">
        <v>53</v>
      </c>
      <c r="F37" s="15">
        <v>2</v>
      </c>
      <c r="G37" s="15">
        <v>0</v>
      </c>
      <c r="H37" s="15">
        <f t="shared" si="2"/>
        <v>2</v>
      </c>
      <c r="I37" s="15">
        <v>24400</v>
      </c>
      <c r="J37" s="15">
        <f t="shared" si="3"/>
        <v>48800</v>
      </c>
      <c r="K37" s="15">
        <v>25000</v>
      </c>
      <c r="L37" s="7" t="s">
        <v>35</v>
      </c>
    </row>
    <row r="38" ht="22" customHeight="1" outlineLevel="1" spans="2:12">
      <c r="B38" s="10" t="s">
        <v>31</v>
      </c>
      <c r="C38" s="9" t="s">
        <v>70</v>
      </c>
      <c r="D38" s="10" t="s">
        <v>52</v>
      </c>
      <c r="E38" s="10" t="s">
        <v>53</v>
      </c>
      <c r="F38" s="16">
        <v>1</v>
      </c>
      <c r="G38" s="16">
        <v>0</v>
      </c>
      <c r="H38" s="16">
        <f t="shared" si="2"/>
        <v>1</v>
      </c>
      <c r="I38" s="16">
        <v>24400</v>
      </c>
      <c r="J38" s="16">
        <f t="shared" si="3"/>
        <v>24400</v>
      </c>
      <c r="K38" s="16">
        <v>25000</v>
      </c>
      <c r="L38" s="9" t="s">
        <v>35</v>
      </c>
    </row>
    <row r="39" ht="22" customHeight="1" outlineLevel="1" spans="2:12">
      <c r="B39" s="8" t="s">
        <v>31</v>
      </c>
      <c r="C39" s="7" t="s">
        <v>71</v>
      </c>
      <c r="D39" s="8" t="s">
        <v>52</v>
      </c>
      <c r="E39" s="8" t="s">
        <v>53</v>
      </c>
      <c r="F39" s="15">
        <v>2</v>
      </c>
      <c r="G39" s="15">
        <v>0</v>
      </c>
      <c r="H39" s="15">
        <f t="shared" si="2"/>
        <v>2</v>
      </c>
      <c r="I39" s="15">
        <v>24400</v>
      </c>
      <c r="J39" s="15">
        <f t="shared" si="3"/>
        <v>48800</v>
      </c>
      <c r="K39" s="15">
        <v>25000</v>
      </c>
      <c r="L39" s="7" t="s">
        <v>35</v>
      </c>
    </row>
    <row r="40" ht="22" customHeight="1" outlineLevel="1" spans="2:12">
      <c r="B40" s="10" t="s">
        <v>31</v>
      </c>
      <c r="C40" s="9" t="s">
        <v>72</v>
      </c>
      <c r="D40" s="10" t="s">
        <v>52</v>
      </c>
      <c r="E40" s="10" t="s">
        <v>53</v>
      </c>
      <c r="F40" s="16">
        <v>1</v>
      </c>
      <c r="G40" s="16">
        <v>0</v>
      </c>
      <c r="H40" s="16">
        <f t="shared" si="2"/>
        <v>1</v>
      </c>
      <c r="I40" s="16">
        <v>24400</v>
      </c>
      <c r="J40" s="16">
        <f t="shared" si="3"/>
        <v>24400</v>
      </c>
      <c r="K40" s="16">
        <v>25000</v>
      </c>
      <c r="L40" s="9" t="s">
        <v>35</v>
      </c>
    </row>
    <row r="41" ht="22" customHeight="1" outlineLevel="1" spans="2:12">
      <c r="B41" s="8" t="s">
        <v>31</v>
      </c>
      <c r="C41" s="7" t="s">
        <v>73</v>
      </c>
      <c r="D41" s="8" t="s">
        <v>52</v>
      </c>
      <c r="E41" s="8" t="s">
        <v>53</v>
      </c>
      <c r="F41" s="15">
        <v>1</v>
      </c>
      <c r="G41" s="15">
        <v>0</v>
      </c>
      <c r="H41" s="15">
        <f t="shared" si="2"/>
        <v>1</v>
      </c>
      <c r="I41" s="15">
        <v>21720</v>
      </c>
      <c r="J41" s="15">
        <f t="shared" si="3"/>
        <v>21720</v>
      </c>
      <c r="K41" s="15">
        <v>22000</v>
      </c>
      <c r="L41" s="7" t="s">
        <v>35</v>
      </c>
    </row>
    <row r="42" ht="22" customHeight="1" spans="2:12">
      <c r="B42" s="11" t="s">
        <v>49</v>
      </c>
      <c r="C42" s="12"/>
      <c r="D42" s="12">
        <f>COUNTA(C22:C41)</f>
        <v>20</v>
      </c>
      <c r="E42" s="12"/>
      <c r="F42" s="12"/>
      <c r="G42" s="12"/>
      <c r="H42" s="17">
        <f>SUM(H22:H41)</f>
        <v>23</v>
      </c>
      <c r="I42" s="12"/>
      <c r="J42" s="17">
        <f>SUM(J22:J41)</f>
        <v>577036</v>
      </c>
      <c r="K42" s="12"/>
      <c r="L42" s="12"/>
    </row>
    <row r="43" ht="22" customHeight="1" spans="2:2">
      <c r="B43" s="13" t="s">
        <v>9</v>
      </c>
    </row>
    <row r="44" ht="22" customHeight="1" outlineLevel="1" spans="2:12">
      <c r="B44" s="10" t="s">
        <v>50</v>
      </c>
      <c r="C44" s="9" t="s">
        <v>74</v>
      </c>
      <c r="D44" s="10" t="s">
        <v>75</v>
      </c>
      <c r="E44" s="10" t="s">
        <v>76</v>
      </c>
      <c r="F44" s="16">
        <v>1</v>
      </c>
      <c r="G44" s="16">
        <v>0</v>
      </c>
      <c r="H44" s="16">
        <f t="shared" ref="H44:H94" si="4">F44+G44</f>
        <v>1</v>
      </c>
      <c r="I44" s="16">
        <v>33996</v>
      </c>
      <c r="J44" s="16">
        <f t="shared" ref="J44:J94" si="5">H44*I44</f>
        <v>33996</v>
      </c>
      <c r="K44" s="16">
        <v>34000</v>
      </c>
      <c r="L44" s="9" t="s">
        <v>35</v>
      </c>
    </row>
    <row r="45" ht="22" customHeight="1" outlineLevel="1" spans="2:12">
      <c r="B45" s="8" t="s">
        <v>50</v>
      </c>
      <c r="C45" s="7" t="s">
        <v>77</v>
      </c>
      <c r="D45" s="8" t="s">
        <v>78</v>
      </c>
      <c r="E45" s="8" t="s">
        <v>76</v>
      </c>
      <c r="F45" s="15">
        <v>1</v>
      </c>
      <c r="G45" s="15">
        <v>0</v>
      </c>
      <c r="H45" s="15">
        <f t="shared" si="4"/>
        <v>1</v>
      </c>
      <c r="I45" s="15">
        <v>41468</v>
      </c>
      <c r="J45" s="15">
        <f t="shared" si="5"/>
        <v>41468</v>
      </c>
      <c r="K45" s="15">
        <v>35000</v>
      </c>
      <c r="L45" s="7" t="s">
        <v>35</v>
      </c>
    </row>
    <row r="46" ht="22" customHeight="1" outlineLevel="1" spans="2:12">
      <c r="B46" s="10" t="s">
        <v>50</v>
      </c>
      <c r="C46" s="9" t="s">
        <v>79</v>
      </c>
      <c r="D46" s="10" t="s">
        <v>80</v>
      </c>
      <c r="E46" s="10" t="s">
        <v>76</v>
      </c>
      <c r="F46" s="16">
        <v>1</v>
      </c>
      <c r="G46" s="16">
        <v>0</v>
      </c>
      <c r="H46" s="16">
        <f t="shared" si="4"/>
        <v>1</v>
      </c>
      <c r="I46" s="16">
        <v>11800</v>
      </c>
      <c r="J46" s="16">
        <f t="shared" si="5"/>
        <v>11800</v>
      </c>
      <c r="K46" s="16"/>
      <c r="L46" s="9" t="s">
        <v>35</v>
      </c>
    </row>
    <row r="47" ht="22" customHeight="1" outlineLevel="1" spans="2:12">
      <c r="B47" s="8" t="s">
        <v>50</v>
      </c>
      <c r="C47" s="7" t="s">
        <v>81</v>
      </c>
      <c r="D47" s="8" t="s">
        <v>82</v>
      </c>
      <c r="E47" s="8" t="s">
        <v>76</v>
      </c>
      <c r="F47" s="15">
        <v>1</v>
      </c>
      <c r="G47" s="15">
        <v>0</v>
      </c>
      <c r="H47" s="15">
        <f t="shared" si="4"/>
        <v>1</v>
      </c>
      <c r="I47" s="15">
        <v>22500</v>
      </c>
      <c r="J47" s="15">
        <f t="shared" si="5"/>
        <v>22500</v>
      </c>
      <c r="K47" s="15">
        <v>20000</v>
      </c>
      <c r="L47" s="7" t="s">
        <v>35</v>
      </c>
    </row>
    <row r="48" ht="22" customHeight="1" outlineLevel="1" spans="2:12">
      <c r="B48" s="10" t="s">
        <v>50</v>
      </c>
      <c r="C48" s="9" t="s">
        <v>83</v>
      </c>
      <c r="D48" s="10" t="s">
        <v>84</v>
      </c>
      <c r="E48" s="10" t="s">
        <v>76</v>
      </c>
      <c r="F48" s="16">
        <v>1</v>
      </c>
      <c r="G48" s="16">
        <v>0</v>
      </c>
      <c r="H48" s="16">
        <f t="shared" si="4"/>
        <v>1</v>
      </c>
      <c r="I48" s="16">
        <v>16500</v>
      </c>
      <c r="J48" s="16">
        <f t="shared" si="5"/>
        <v>16500</v>
      </c>
      <c r="K48" s="16"/>
      <c r="L48" s="9" t="s">
        <v>35</v>
      </c>
    </row>
    <row r="49" ht="22" customHeight="1" outlineLevel="1" spans="2:12">
      <c r="B49" s="8" t="s">
        <v>31</v>
      </c>
      <c r="C49" s="7" t="s">
        <v>85</v>
      </c>
      <c r="D49" s="8" t="s">
        <v>86</v>
      </c>
      <c r="E49" s="8" t="s">
        <v>76</v>
      </c>
      <c r="F49" s="15">
        <v>1</v>
      </c>
      <c r="G49" s="15">
        <v>0</v>
      </c>
      <c r="H49" s="15">
        <f t="shared" si="4"/>
        <v>1</v>
      </c>
      <c r="I49" s="15">
        <v>22260</v>
      </c>
      <c r="J49" s="15">
        <f t="shared" si="5"/>
        <v>22260</v>
      </c>
      <c r="K49" s="15">
        <v>15000</v>
      </c>
      <c r="L49" s="7" t="s">
        <v>87</v>
      </c>
    </row>
    <row r="50" ht="22" customHeight="1" outlineLevel="1" spans="2:12">
      <c r="B50" s="10" t="s">
        <v>31</v>
      </c>
      <c r="C50" s="9" t="s">
        <v>88</v>
      </c>
      <c r="D50" s="10" t="s">
        <v>86</v>
      </c>
      <c r="E50" s="10" t="s">
        <v>76</v>
      </c>
      <c r="F50" s="16">
        <v>1</v>
      </c>
      <c r="G50" s="16">
        <v>0</v>
      </c>
      <c r="H50" s="16">
        <f t="shared" si="4"/>
        <v>1</v>
      </c>
      <c r="I50" s="16">
        <v>25220</v>
      </c>
      <c r="J50" s="16">
        <f t="shared" si="5"/>
        <v>25220</v>
      </c>
      <c r="K50" s="16">
        <v>18000</v>
      </c>
      <c r="L50" s="9" t="s">
        <v>35</v>
      </c>
    </row>
    <row r="51" ht="22" customHeight="1" outlineLevel="1" spans="2:12">
      <c r="B51" s="8" t="s">
        <v>31</v>
      </c>
      <c r="C51" s="7" t="s">
        <v>89</v>
      </c>
      <c r="D51" s="8" t="s">
        <v>86</v>
      </c>
      <c r="E51" s="8" t="s">
        <v>76</v>
      </c>
      <c r="F51" s="15">
        <v>1</v>
      </c>
      <c r="G51" s="15">
        <v>0</v>
      </c>
      <c r="H51" s="15">
        <f t="shared" si="4"/>
        <v>1</v>
      </c>
      <c r="I51" s="15">
        <v>32760</v>
      </c>
      <c r="J51" s="15">
        <f t="shared" si="5"/>
        <v>32760</v>
      </c>
      <c r="K51" s="15">
        <v>25000</v>
      </c>
      <c r="L51" s="7" t="s">
        <v>35</v>
      </c>
    </row>
    <row r="52" ht="22" customHeight="1" outlineLevel="1" spans="2:12">
      <c r="B52" s="10" t="s">
        <v>31</v>
      </c>
      <c r="C52" s="9" t="s">
        <v>90</v>
      </c>
      <c r="D52" s="10" t="s">
        <v>78</v>
      </c>
      <c r="E52" s="10" t="s">
        <v>76</v>
      </c>
      <c r="F52" s="16">
        <v>1</v>
      </c>
      <c r="G52" s="16">
        <v>0</v>
      </c>
      <c r="H52" s="16">
        <f t="shared" si="4"/>
        <v>1</v>
      </c>
      <c r="I52" s="16">
        <v>38000</v>
      </c>
      <c r="J52" s="16">
        <f t="shared" si="5"/>
        <v>38000</v>
      </c>
      <c r="K52" s="16">
        <v>25000</v>
      </c>
      <c r="L52" s="9" t="s">
        <v>35</v>
      </c>
    </row>
    <row r="53" ht="22" customHeight="1" outlineLevel="1" spans="2:12">
      <c r="B53" s="8" t="s">
        <v>31</v>
      </c>
      <c r="C53" s="7" t="s">
        <v>91</v>
      </c>
      <c r="D53" s="8" t="s">
        <v>92</v>
      </c>
      <c r="E53" s="8" t="s">
        <v>76</v>
      </c>
      <c r="F53" s="15">
        <v>1</v>
      </c>
      <c r="G53" s="15">
        <v>0</v>
      </c>
      <c r="H53" s="15">
        <f t="shared" si="4"/>
        <v>1</v>
      </c>
      <c r="I53" s="15">
        <v>18000</v>
      </c>
      <c r="J53" s="15">
        <f t="shared" si="5"/>
        <v>18000</v>
      </c>
      <c r="K53" s="15">
        <v>15000</v>
      </c>
      <c r="L53" s="7" t="s">
        <v>35</v>
      </c>
    </row>
    <row r="54" ht="22" customHeight="1" outlineLevel="1" spans="2:12">
      <c r="B54" s="10" t="s">
        <v>31</v>
      </c>
      <c r="C54" s="9" t="s">
        <v>93</v>
      </c>
      <c r="D54" s="10" t="s">
        <v>84</v>
      </c>
      <c r="E54" s="10" t="s">
        <v>76</v>
      </c>
      <c r="F54" s="16">
        <v>1</v>
      </c>
      <c r="G54" s="16">
        <v>0</v>
      </c>
      <c r="H54" s="16">
        <f t="shared" si="4"/>
        <v>1</v>
      </c>
      <c r="I54" s="16">
        <v>7825</v>
      </c>
      <c r="J54" s="16">
        <f t="shared" si="5"/>
        <v>7825</v>
      </c>
      <c r="K54" s="16"/>
      <c r="L54" s="9" t="s">
        <v>35</v>
      </c>
    </row>
    <row r="55" ht="22" customHeight="1" outlineLevel="1" spans="2:12">
      <c r="B55" s="8" t="s">
        <v>31</v>
      </c>
      <c r="C55" s="7" t="s">
        <v>94</v>
      </c>
      <c r="D55" s="8" t="s">
        <v>84</v>
      </c>
      <c r="E55" s="8" t="s">
        <v>76</v>
      </c>
      <c r="F55" s="15">
        <v>1</v>
      </c>
      <c r="G55" s="15">
        <v>0</v>
      </c>
      <c r="H55" s="15">
        <f t="shared" si="4"/>
        <v>1</v>
      </c>
      <c r="I55" s="15">
        <v>7825</v>
      </c>
      <c r="J55" s="15">
        <f t="shared" si="5"/>
        <v>7825</v>
      </c>
      <c r="K55" s="15"/>
      <c r="L55" s="7" t="s">
        <v>35</v>
      </c>
    </row>
    <row r="56" ht="22" customHeight="1" outlineLevel="1" spans="2:12">
      <c r="B56" s="10" t="s">
        <v>31</v>
      </c>
      <c r="C56" s="9" t="s">
        <v>95</v>
      </c>
      <c r="D56" s="10" t="s">
        <v>96</v>
      </c>
      <c r="E56" s="10" t="s">
        <v>76</v>
      </c>
      <c r="F56" s="16">
        <v>1</v>
      </c>
      <c r="G56" s="16">
        <v>0</v>
      </c>
      <c r="H56" s="16">
        <f t="shared" si="4"/>
        <v>1</v>
      </c>
      <c r="I56" s="16">
        <v>31550</v>
      </c>
      <c r="J56" s="16">
        <f t="shared" si="5"/>
        <v>31550</v>
      </c>
      <c r="K56" s="16">
        <v>29999</v>
      </c>
      <c r="L56" s="9" t="s">
        <v>35</v>
      </c>
    </row>
    <row r="57" ht="22" customHeight="1" outlineLevel="1" spans="2:12">
      <c r="B57" s="8" t="s">
        <v>31</v>
      </c>
      <c r="C57" s="7" t="s">
        <v>97</v>
      </c>
      <c r="D57" s="8" t="s">
        <v>98</v>
      </c>
      <c r="E57" s="8" t="s">
        <v>76</v>
      </c>
      <c r="F57" s="15">
        <v>2</v>
      </c>
      <c r="G57" s="15">
        <v>0</v>
      </c>
      <c r="H57" s="15">
        <f t="shared" si="4"/>
        <v>2</v>
      </c>
      <c r="I57" s="15">
        <v>15000</v>
      </c>
      <c r="J57" s="15">
        <f t="shared" si="5"/>
        <v>30000</v>
      </c>
      <c r="K57" s="15">
        <v>15000</v>
      </c>
      <c r="L57" s="7" t="s">
        <v>35</v>
      </c>
    </row>
    <row r="58" ht="22" customHeight="1" outlineLevel="1" spans="2:12">
      <c r="B58" s="10" t="s">
        <v>31</v>
      </c>
      <c r="C58" s="9" t="s">
        <v>99</v>
      </c>
      <c r="D58" s="10" t="s">
        <v>98</v>
      </c>
      <c r="E58" s="10" t="s">
        <v>76</v>
      </c>
      <c r="F58" s="16">
        <v>1</v>
      </c>
      <c r="G58" s="16">
        <v>0</v>
      </c>
      <c r="H58" s="16">
        <f t="shared" si="4"/>
        <v>1</v>
      </c>
      <c r="I58" s="16">
        <v>15000</v>
      </c>
      <c r="J58" s="16">
        <f t="shared" si="5"/>
        <v>15000</v>
      </c>
      <c r="K58" s="16">
        <v>13000</v>
      </c>
      <c r="L58" s="9" t="s">
        <v>35</v>
      </c>
    </row>
    <row r="59" ht="22" customHeight="1" outlineLevel="1" spans="2:12">
      <c r="B59" s="8" t="s">
        <v>100</v>
      </c>
      <c r="C59" s="7" t="s">
        <v>101</v>
      </c>
      <c r="D59" s="8" t="s">
        <v>102</v>
      </c>
      <c r="E59" s="8" t="s">
        <v>76</v>
      </c>
      <c r="F59" s="15">
        <v>1</v>
      </c>
      <c r="G59" s="15">
        <v>0</v>
      </c>
      <c r="H59" s="15">
        <f t="shared" si="4"/>
        <v>1</v>
      </c>
      <c r="I59" s="15">
        <v>13100</v>
      </c>
      <c r="J59" s="15">
        <f t="shared" si="5"/>
        <v>13100</v>
      </c>
      <c r="K59" s="15"/>
      <c r="L59" s="7" t="s">
        <v>35</v>
      </c>
    </row>
    <row r="60" ht="22" customHeight="1" outlineLevel="1" spans="2:12">
      <c r="B60" s="10" t="s">
        <v>100</v>
      </c>
      <c r="C60" s="9" t="s">
        <v>103</v>
      </c>
      <c r="D60" s="10" t="s">
        <v>104</v>
      </c>
      <c r="E60" s="10" t="s">
        <v>76</v>
      </c>
      <c r="F60" s="16">
        <v>1</v>
      </c>
      <c r="G60" s="16">
        <v>0</v>
      </c>
      <c r="H60" s="16">
        <f t="shared" si="4"/>
        <v>1</v>
      </c>
      <c r="I60" s="16">
        <v>18488</v>
      </c>
      <c r="J60" s="16">
        <f t="shared" si="5"/>
        <v>18488</v>
      </c>
      <c r="K60" s="16"/>
      <c r="L60" s="9" t="s">
        <v>35</v>
      </c>
    </row>
    <row r="61" ht="22" customHeight="1" outlineLevel="1" spans="2:12">
      <c r="B61" s="8" t="s">
        <v>100</v>
      </c>
      <c r="C61" s="7" t="s">
        <v>105</v>
      </c>
      <c r="D61" s="8" t="s">
        <v>106</v>
      </c>
      <c r="E61" s="8" t="s">
        <v>76</v>
      </c>
      <c r="F61" s="15">
        <v>1</v>
      </c>
      <c r="G61" s="15">
        <v>0</v>
      </c>
      <c r="H61" s="15">
        <f t="shared" si="4"/>
        <v>1</v>
      </c>
      <c r="I61" s="15">
        <v>25000</v>
      </c>
      <c r="J61" s="15">
        <f t="shared" si="5"/>
        <v>25000</v>
      </c>
      <c r="K61" s="15"/>
      <c r="L61" s="7" t="s">
        <v>35</v>
      </c>
    </row>
    <row r="62" ht="22" customHeight="1" outlineLevel="1" spans="2:12">
      <c r="B62" s="10" t="s">
        <v>100</v>
      </c>
      <c r="C62" s="9" t="s">
        <v>107</v>
      </c>
      <c r="D62" s="10" t="s">
        <v>106</v>
      </c>
      <c r="E62" s="10" t="s">
        <v>76</v>
      </c>
      <c r="F62" s="16">
        <v>2</v>
      </c>
      <c r="G62" s="16">
        <v>0</v>
      </c>
      <c r="H62" s="16">
        <f t="shared" si="4"/>
        <v>2</v>
      </c>
      <c r="I62" s="16">
        <v>24000</v>
      </c>
      <c r="J62" s="16">
        <f t="shared" si="5"/>
        <v>48000</v>
      </c>
      <c r="K62" s="16">
        <v>18000</v>
      </c>
      <c r="L62" s="9" t="s">
        <v>35</v>
      </c>
    </row>
    <row r="63" ht="22" customHeight="1" outlineLevel="1" spans="2:12">
      <c r="B63" s="8" t="s">
        <v>100</v>
      </c>
      <c r="C63" s="7" t="s">
        <v>108</v>
      </c>
      <c r="D63" s="8" t="s">
        <v>106</v>
      </c>
      <c r="E63" s="8" t="s">
        <v>76</v>
      </c>
      <c r="F63" s="15">
        <v>1</v>
      </c>
      <c r="G63" s="15">
        <v>0</v>
      </c>
      <c r="H63" s="15">
        <f t="shared" si="4"/>
        <v>1</v>
      </c>
      <c r="I63" s="15">
        <v>22150</v>
      </c>
      <c r="J63" s="15">
        <f t="shared" si="5"/>
        <v>22150</v>
      </c>
      <c r="K63" s="15"/>
      <c r="L63" s="7" t="s">
        <v>35</v>
      </c>
    </row>
    <row r="64" ht="22" customHeight="1" outlineLevel="1" spans="2:12">
      <c r="B64" s="10" t="s">
        <v>100</v>
      </c>
      <c r="C64" s="9" t="s">
        <v>109</v>
      </c>
      <c r="D64" s="10" t="s">
        <v>110</v>
      </c>
      <c r="E64" s="10" t="s">
        <v>76</v>
      </c>
      <c r="F64" s="16">
        <v>2</v>
      </c>
      <c r="G64" s="16">
        <v>0</v>
      </c>
      <c r="H64" s="16">
        <f t="shared" si="4"/>
        <v>2</v>
      </c>
      <c r="I64" s="16">
        <v>3500</v>
      </c>
      <c r="J64" s="16">
        <f t="shared" si="5"/>
        <v>7000</v>
      </c>
      <c r="K64" s="16"/>
      <c r="L64" s="9" t="s">
        <v>35</v>
      </c>
    </row>
    <row r="65" ht="22" customHeight="1" outlineLevel="1" spans="2:12">
      <c r="B65" s="8" t="s">
        <v>100</v>
      </c>
      <c r="C65" s="7" t="s">
        <v>111</v>
      </c>
      <c r="D65" s="8" t="s">
        <v>110</v>
      </c>
      <c r="E65" s="8" t="s">
        <v>76</v>
      </c>
      <c r="F65" s="15">
        <v>6</v>
      </c>
      <c r="G65" s="15">
        <v>0</v>
      </c>
      <c r="H65" s="15">
        <f t="shared" si="4"/>
        <v>6</v>
      </c>
      <c r="I65" s="15">
        <v>3500</v>
      </c>
      <c r="J65" s="15">
        <f t="shared" si="5"/>
        <v>21000</v>
      </c>
      <c r="K65" s="15"/>
      <c r="L65" s="7" t="s">
        <v>35</v>
      </c>
    </row>
    <row r="66" ht="22" customHeight="1" outlineLevel="1" spans="2:12">
      <c r="B66" s="10" t="s">
        <v>100</v>
      </c>
      <c r="C66" s="9" t="s">
        <v>112</v>
      </c>
      <c r="D66" s="10" t="s">
        <v>113</v>
      </c>
      <c r="E66" s="10" t="s">
        <v>76</v>
      </c>
      <c r="F66" s="16">
        <v>1</v>
      </c>
      <c r="G66" s="16">
        <v>0</v>
      </c>
      <c r="H66" s="16">
        <f t="shared" si="4"/>
        <v>1</v>
      </c>
      <c r="I66" s="16">
        <v>6099</v>
      </c>
      <c r="J66" s="16">
        <f t="shared" si="5"/>
        <v>6099</v>
      </c>
      <c r="K66" s="16"/>
      <c r="L66" s="9" t="s">
        <v>35</v>
      </c>
    </row>
    <row r="67" ht="22" customHeight="1" outlineLevel="1" spans="2:12">
      <c r="B67" s="8" t="s">
        <v>100</v>
      </c>
      <c r="C67" s="7" t="s">
        <v>114</v>
      </c>
      <c r="D67" s="8" t="s">
        <v>113</v>
      </c>
      <c r="E67" s="8" t="s">
        <v>76</v>
      </c>
      <c r="F67" s="15">
        <v>1</v>
      </c>
      <c r="G67" s="15">
        <v>0</v>
      </c>
      <c r="H67" s="15">
        <f t="shared" si="4"/>
        <v>1</v>
      </c>
      <c r="I67" s="15">
        <v>4199</v>
      </c>
      <c r="J67" s="15">
        <f t="shared" si="5"/>
        <v>4199</v>
      </c>
      <c r="K67" s="15"/>
      <c r="L67" s="7" t="s">
        <v>35</v>
      </c>
    </row>
    <row r="68" ht="22" customHeight="1" outlineLevel="1" spans="2:12">
      <c r="B68" s="10" t="s">
        <v>100</v>
      </c>
      <c r="C68" s="9" t="s">
        <v>115</v>
      </c>
      <c r="D68" s="10" t="s">
        <v>116</v>
      </c>
      <c r="E68" s="10" t="s">
        <v>76</v>
      </c>
      <c r="F68" s="16">
        <v>17</v>
      </c>
      <c r="G68" s="16">
        <v>0</v>
      </c>
      <c r="H68" s="16">
        <f t="shared" si="4"/>
        <v>17</v>
      </c>
      <c r="I68" s="16">
        <v>14295</v>
      </c>
      <c r="J68" s="16">
        <f t="shared" si="5"/>
        <v>243015</v>
      </c>
      <c r="K68" s="16">
        <v>14000</v>
      </c>
      <c r="L68" s="9" t="s">
        <v>117</v>
      </c>
    </row>
    <row r="69" ht="22" customHeight="1" outlineLevel="1" spans="2:12">
      <c r="B69" s="8" t="s">
        <v>118</v>
      </c>
      <c r="C69" s="7" t="s">
        <v>119</v>
      </c>
      <c r="D69" s="8" t="s">
        <v>120</v>
      </c>
      <c r="E69" s="8" t="s">
        <v>76</v>
      </c>
      <c r="F69" s="15">
        <v>1</v>
      </c>
      <c r="G69" s="15">
        <v>0</v>
      </c>
      <c r="H69" s="15">
        <f t="shared" si="4"/>
        <v>1</v>
      </c>
      <c r="I69" s="15">
        <v>3000</v>
      </c>
      <c r="J69" s="15">
        <f t="shared" si="5"/>
        <v>3000</v>
      </c>
      <c r="K69" s="15"/>
      <c r="L69" s="7" t="s">
        <v>35</v>
      </c>
    </row>
    <row r="70" ht="22" customHeight="1" outlineLevel="1" spans="2:12">
      <c r="B70" s="10" t="s">
        <v>121</v>
      </c>
      <c r="C70" s="9" t="s">
        <v>122</v>
      </c>
      <c r="D70" s="10" t="s">
        <v>123</v>
      </c>
      <c r="E70" s="10" t="s">
        <v>76</v>
      </c>
      <c r="F70" s="16">
        <v>5</v>
      </c>
      <c r="G70" s="16">
        <v>0</v>
      </c>
      <c r="H70" s="16">
        <f t="shared" si="4"/>
        <v>5</v>
      </c>
      <c r="I70" s="16">
        <v>494</v>
      </c>
      <c r="J70" s="16">
        <f t="shared" si="5"/>
        <v>2470</v>
      </c>
      <c r="K70" s="16"/>
      <c r="L70" s="9" t="s">
        <v>124</v>
      </c>
    </row>
    <row r="71" ht="22" customHeight="1" outlineLevel="1" spans="2:12">
      <c r="B71" s="8" t="s">
        <v>121</v>
      </c>
      <c r="C71" s="7" t="s">
        <v>125</v>
      </c>
      <c r="D71" s="8" t="s">
        <v>123</v>
      </c>
      <c r="E71" s="8" t="s">
        <v>76</v>
      </c>
      <c r="F71" s="15">
        <v>1</v>
      </c>
      <c r="G71" s="15">
        <v>0</v>
      </c>
      <c r="H71" s="15">
        <f t="shared" si="4"/>
        <v>1</v>
      </c>
      <c r="I71" s="15">
        <v>494</v>
      </c>
      <c r="J71" s="15">
        <f t="shared" si="5"/>
        <v>494</v>
      </c>
      <c r="K71" s="15"/>
      <c r="L71" s="7" t="s">
        <v>124</v>
      </c>
    </row>
    <row r="72" ht="22" customHeight="1" outlineLevel="1" spans="2:12">
      <c r="B72" s="10" t="s">
        <v>126</v>
      </c>
      <c r="C72" s="9" t="s">
        <v>127</v>
      </c>
      <c r="D72" s="10" t="s">
        <v>123</v>
      </c>
      <c r="E72" s="10" t="s">
        <v>76</v>
      </c>
      <c r="F72" s="16">
        <v>1</v>
      </c>
      <c r="G72" s="16">
        <v>0</v>
      </c>
      <c r="H72" s="16">
        <f t="shared" si="4"/>
        <v>1</v>
      </c>
      <c r="I72" s="16">
        <v>2050</v>
      </c>
      <c r="J72" s="16">
        <f t="shared" si="5"/>
        <v>2050</v>
      </c>
      <c r="K72" s="16"/>
      <c r="L72" s="9" t="s">
        <v>124</v>
      </c>
    </row>
    <row r="73" ht="22" customHeight="1" outlineLevel="1" spans="2:12">
      <c r="B73" s="8" t="s">
        <v>126</v>
      </c>
      <c r="C73" s="7" t="s">
        <v>128</v>
      </c>
      <c r="D73" s="8" t="s">
        <v>129</v>
      </c>
      <c r="E73" s="8" t="s">
        <v>76</v>
      </c>
      <c r="F73" s="15">
        <v>1</v>
      </c>
      <c r="G73" s="15">
        <v>0</v>
      </c>
      <c r="H73" s="15">
        <f t="shared" si="4"/>
        <v>1</v>
      </c>
      <c r="I73" s="15">
        <v>12500</v>
      </c>
      <c r="J73" s="15">
        <f t="shared" si="5"/>
        <v>12500</v>
      </c>
      <c r="K73" s="15"/>
      <c r="L73" s="7" t="s">
        <v>35</v>
      </c>
    </row>
    <row r="74" ht="22" customHeight="1" outlineLevel="1" spans="2:12">
      <c r="B74" s="10" t="s">
        <v>130</v>
      </c>
      <c r="C74" s="9" t="s">
        <v>131</v>
      </c>
      <c r="D74" s="10" t="s">
        <v>132</v>
      </c>
      <c r="E74" s="10" t="s">
        <v>76</v>
      </c>
      <c r="F74" s="16">
        <v>222</v>
      </c>
      <c r="G74" s="16">
        <v>0</v>
      </c>
      <c r="H74" s="16">
        <f t="shared" si="4"/>
        <v>222</v>
      </c>
      <c r="I74" s="16">
        <v>1200</v>
      </c>
      <c r="J74" s="16">
        <f t="shared" si="5"/>
        <v>266400</v>
      </c>
      <c r="K74" s="16"/>
      <c r="L74" s="9" t="s">
        <v>35</v>
      </c>
    </row>
    <row r="75" ht="22" customHeight="1" outlineLevel="1" spans="2:12">
      <c r="B75" s="8" t="s">
        <v>130</v>
      </c>
      <c r="C75" s="7" t="s">
        <v>133</v>
      </c>
      <c r="D75" s="8" t="s">
        <v>134</v>
      </c>
      <c r="E75" s="8" t="s">
        <v>76</v>
      </c>
      <c r="F75" s="15">
        <v>1</v>
      </c>
      <c r="G75" s="15">
        <v>0</v>
      </c>
      <c r="H75" s="15">
        <f t="shared" si="4"/>
        <v>1</v>
      </c>
      <c r="I75" s="15">
        <v>1200</v>
      </c>
      <c r="J75" s="15">
        <f t="shared" si="5"/>
        <v>1200</v>
      </c>
      <c r="K75" s="15"/>
      <c r="L75" s="7" t="s">
        <v>35</v>
      </c>
    </row>
    <row r="76" ht="22" customHeight="1" outlineLevel="1" spans="2:12">
      <c r="B76" s="10" t="s">
        <v>130</v>
      </c>
      <c r="C76" s="9" t="s">
        <v>135</v>
      </c>
      <c r="D76" s="10" t="s">
        <v>134</v>
      </c>
      <c r="E76" s="10" t="s">
        <v>76</v>
      </c>
      <c r="F76" s="16">
        <v>1</v>
      </c>
      <c r="G76" s="16">
        <v>0</v>
      </c>
      <c r="H76" s="16">
        <f t="shared" si="4"/>
        <v>1</v>
      </c>
      <c r="I76" s="16">
        <v>1126</v>
      </c>
      <c r="J76" s="16">
        <f t="shared" si="5"/>
        <v>1126</v>
      </c>
      <c r="K76" s="16"/>
      <c r="L76" s="9" t="s">
        <v>35</v>
      </c>
    </row>
    <row r="77" ht="22" customHeight="1" outlineLevel="1" spans="2:12">
      <c r="B77" s="8" t="s">
        <v>130</v>
      </c>
      <c r="C77" s="7" t="s">
        <v>136</v>
      </c>
      <c r="D77" s="8" t="s">
        <v>134</v>
      </c>
      <c r="E77" s="8" t="s">
        <v>76</v>
      </c>
      <c r="F77" s="15">
        <v>1</v>
      </c>
      <c r="G77" s="15">
        <v>0</v>
      </c>
      <c r="H77" s="15">
        <f t="shared" si="4"/>
        <v>1</v>
      </c>
      <c r="I77" s="15">
        <v>1596</v>
      </c>
      <c r="J77" s="15">
        <f t="shared" si="5"/>
        <v>1596</v>
      </c>
      <c r="K77" s="15"/>
      <c r="L77" s="7" t="s">
        <v>35</v>
      </c>
    </row>
    <row r="78" ht="22" customHeight="1" outlineLevel="1" spans="2:12">
      <c r="B78" s="10" t="s">
        <v>130</v>
      </c>
      <c r="C78" s="9" t="s">
        <v>137</v>
      </c>
      <c r="D78" s="10" t="s">
        <v>134</v>
      </c>
      <c r="E78" s="10" t="s">
        <v>76</v>
      </c>
      <c r="F78" s="16">
        <v>1</v>
      </c>
      <c r="G78" s="16">
        <v>0</v>
      </c>
      <c r="H78" s="16">
        <f t="shared" si="4"/>
        <v>1</v>
      </c>
      <c r="I78" s="16">
        <v>645</v>
      </c>
      <c r="J78" s="16">
        <f t="shared" si="5"/>
        <v>645</v>
      </c>
      <c r="K78" s="16"/>
      <c r="L78" s="9" t="s">
        <v>35</v>
      </c>
    </row>
    <row r="79" ht="22" customHeight="1" outlineLevel="1" spans="2:12">
      <c r="B79" s="8" t="s">
        <v>130</v>
      </c>
      <c r="C79" s="7" t="s">
        <v>138</v>
      </c>
      <c r="D79" s="8" t="s">
        <v>134</v>
      </c>
      <c r="E79" s="8" t="s">
        <v>76</v>
      </c>
      <c r="F79" s="15">
        <v>1</v>
      </c>
      <c r="G79" s="15">
        <v>0</v>
      </c>
      <c r="H79" s="15">
        <f t="shared" si="4"/>
        <v>1</v>
      </c>
      <c r="I79" s="15">
        <v>645</v>
      </c>
      <c r="J79" s="15">
        <f t="shared" si="5"/>
        <v>645</v>
      </c>
      <c r="K79" s="15"/>
      <c r="L79" s="7" t="s">
        <v>35</v>
      </c>
    </row>
    <row r="80" ht="22" customHeight="1" outlineLevel="1" spans="2:12">
      <c r="B80" s="10" t="s">
        <v>130</v>
      </c>
      <c r="C80" s="9" t="s">
        <v>139</v>
      </c>
      <c r="D80" s="10" t="s">
        <v>140</v>
      </c>
      <c r="E80" s="10" t="s">
        <v>76</v>
      </c>
      <c r="F80" s="16">
        <v>113</v>
      </c>
      <c r="G80" s="16">
        <v>0</v>
      </c>
      <c r="H80" s="16">
        <f t="shared" si="4"/>
        <v>113</v>
      </c>
      <c r="I80" s="16">
        <v>200</v>
      </c>
      <c r="J80" s="16">
        <f t="shared" si="5"/>
        <v>22600</v>
      </c>
      <c r="K80" s="16"/>
      <c r="L80" s="9" t="s">
        <v>35</v>
      </c>
    </row>
    <row r="81" ht="22" customHeight="1" outlineLevel="1" spans="2:12">
      <c r="B81" s="8" t="s">
        <v>141</v>
      </c>
      <c r="C81" s="7" t="s">
        <v>142</v>
      </c>
      <c r="D81" s="8" t="s">
        <v>143</v>
      </c>
      <c r="E81" s="8" t="s">
        <v>76</v>
      </c>
      <c r="F81" s="15">
        <v>15</v>
      </c>
      <c r="G81" s="15">
        <v>0</v>
      </c>
      <c r="H81" s="15">
        <f t="shared" si="4"/>
        <v>15</v>
      </c>
      <c r="I81" s="15">
        <v>2800</v>
      </c>
      <c r="J81" s="15">
        <f t="shared" si="5"/>
        <v>42000</v>
      </c>
      <c r="K81" s="15"/>
      <c r="L81" s="7" t="s">
        <v>35</v>
      </c>
    </row>
    <row r="82" ht="22" customHeight="1" outlineLevel="1" spans="2:12">
      <c r="B82" s="10" t="s">
        <v>141</v>
      </c>
      <c r="C82" s="9" t="s">
        <v>144</v>
      </c>
      <c r="D82" s="10" t="s">
        <v>143</v>
      </c>
      <c r="E82" s="10" t="s">
        <v>76</v>
      </c>
      <c r="F82" s="16">
        <v>11</v>
      </c>
      <c r="G82" s="16">
        <v>0</v>
      </c>
      <c r="H82" s="16">
        <f t="shared" si="4"/>
        <v>11</v>
      </c>
      <c r="I82" s="16">
        <v>2800</v>
      </c>
      <c r="J82" s="16">
        <f t="shared" si="5"/>
        <v>30800</v>
      </c>
      <c r="K82" s="16"/>
      <c r="L82" s="9" t="s">
        <v>145</v>
      </c>
    </row>
    <row r="83" ht="22" customHeight="1" outlineLevel="1" spans="2:12">
      <c r="B83" s="8" t="s">
        <v>141</v>
      </c>
      <c r="C83" s="7" t="s">
        <v>146</v>
      </c>
      <c r="D83" s="8" t="s">
        <v>143</v>
      </c>
      <c r="E83" s="8" t="s">
        <v>76</v>
      </c>
      <c r="F83" s="15">
        <v>1</v>
      </c>
      <c r="G83" s="15">
        <v>0</v>
      </c>
      <c r="H83" s="15">
        <f t="shared" si="4"/>
        <v>1</v>
      </c>
      <c r="I83" s="15">
        <v>2800</v>
      </c>
      <c r="J83" s="15">
        <f t="shared" si="5"/>
        <v>2800</v>
      </c>
      <c r="K83" s="15"/>
      <c r="L83" s="7" t="s">
        <v>35</v>
      </c>
    </row>
    <row r="84" ht="22" customHeight="1" outlineLevel="1" spans="2:12">
      <c r="B84" s="10" t="s">
        <v>141</v>
      </c>
      <c r="C84" s="9" t="s">
        <v>147</v>
      </c>
      <c r="D84" s="10" t="s">
        <v>143</v>
      </c>
      <c r="E84" s="10" t="s">
        <v>76</v>
      </c>
      <c r="F84" s="16">
        <v>1</v>
      </c>
      <c r="G84" s="16">
        <v>0</v>
      </c>
      <c r="H84" s="16">
        <f t="shared" si="4"/>
        <v>1</v>
      </c>
      <c r="I84" s="16">
        <v>2800</v>
      </c>
      <c r="J84" s="16">
        <f t="shared" si="5"/>
        <v>2800</v>
      </c>
      <c r="K84" s="16"/>
      <c r="L84" s="9" t="s">
        <v>145</v>
      </c>
    </row>
    <row r="85" ht="22" customHeight="1" outlineLevel="1" spans="2:12">
      <c r="B85" s="8" t="s">
        <v>141</v>
      </c>
      <c r="C85" s="7" t="s">
        <v>148</v>
      </c>
      <c r="D85" s="8" t="s">
        <v>143</v>
      </c>
      <c r="E85" s="8" t="s">
        <v>76</v>
      </c>
      <c r="F85" s="15">
        <v>9</v>
      </c>
      <c r="G85" s="15">
        <v>0</v>
      </c>
      <c r="H85" s="15">
        <f t="shared" si="4"/>
        <v>9</v>
      </c>
      <c r="I85" s="15">
        <v>2800</v>
      </c>
      <c r="J85" s="15">
        <f t="shared" si="5"/>
        <v>25200</v>
      </c>
      <c r="K85" s="15"/>
      <c r="L85" s="7" t="s">
        <v>145</v>
      </c>
    </row>
    <row r="86" ht="22" customHeight="1" outlineLevel="1" spans="2:12">
      <c r="B86" s="10" t="s">
        <v>141</v>
      </c>
      <c r="C86" s="9" t="s">
        <v>149</v>
      </c>
      <c r="D86" s="10" t="s">
        <v>143</v>
      </c>
      <c r="E86" s="10" t="s">
        <v>76</v>
      </c>
      <c r="F86" s="16">
        <v>7</v>
      </c>
      <c r="G86" s="16">
        <v>0</v>
      </c>
      <c r="H86" s="16">
        <f t="shared" si="4"/>
        <v>7</v>
      </c>
      <c r="I86" s="16">
        <v>2800</v>
      </c>
      <c r="J86" s="16">
        <f t="shared" si="5"/>
        <v>19600</v>
      </c>
      <c r="K86" s="16"/>
      <c r="L86" s="9" t="s">
        <v>145</v>
      </c>
    </row>
    <row r="87" ht="22" customHeight="1" outlineLevel="1" spans="2:12">
      <c r="B87" s="8" t="s">
        <v>141</v>
      </c>
      <c r="C87" s="7" t="s">
        <v>150</v>
      </c>
      <c r="D87" s="8" t="s">
        <v>143</v>
      </c>
      <c r="E87" s="8" t="s">
        <v>76</v>
      </c>
      <c r="F87" s="15">
        <v>8</v>
      </c>
      <c r="G87" s="15">
        <v>0</v>
      </c>
      <c r="H87" s="15">
        <f t="shared" si="4"/>
        <v>8</v>
      </c>
      <c r="I87" s="15">
        <v>2800</v>
      </c>
      <c r="J87" s="15">
        <f t="shared" si="5"/>
        <v>22400</v>
      </c>
      <c r="K87" s="15"/>
      <c r="L87" s="7" t="s">
        <v>145</v>
      </c>
    </row>
    <row r="88" ht="22" customHeight="1" outlineLevel="1" spans="2:12">
      <c r="B88" s="10" t="s">
        <v>141</v>
      </c>
      <c r="C88" s="9" t="s">
        <v>151</v>
      </c>
      <c r="D88" s="10" t="s">
        <v>152</v>
      </c>
      <c r="E88" s="10" t="s">
        <v>76</v>
      </c>
      <c r="F88" s="16">
        <v>1</v>
      </c>
      <c r="G88" s="16">
        <v>0</v>
      </c>
      <c r="H88" s="16">
        <f t="shared" si="4"/>
        <v>1</v>
      </c>
      <c r="I88" s="16">
        <v>600</v>
      </c>
      <c r="J88" s="16">
        <f t="shared" si="5"/>
        <v>600</v>
      </c>
      <c r="K88" s="16"/>
      <c r="L88" s="9" t="s">
        <v>35</v>
      </c>
    </row>
    <row r="89" ht="22" customHeight="1" outlineLevel="1" spans="2:12">
      <c r="B89" s="8" t="s">
        <v>141</v>
      </c>
      <c r="C89" s="7" t="s">
        <v>153</v>
      </c>
      <c r="D89" s="8" t="s">
        <v>154</v>
      </c>
      <c r="E89" s="8" t="s">
        <v>76</v>
      </c>
      <c r="F89" s="15">
        <v>1</v>
      </c>
      <c r="G89" s="15">
        <v>0</v>
      </c>
      <c r="H89" s="15">
        <f t="shared" si="4"/>
        <v>1</v>
      </c>
      <c r="I89" s="15">
        <v>600</v>
      </c>
      <c r="J89" s="15">
        <f t="shared" si="5"/>
        <v>600</v>
      </c>
      <c r="K89" s="15"/>
      <c r="L89" s="7" t="s">
        <v>35</v>
      </c>
    </row>
    <row r="90" ht="22" customHeight="1" outlineLevel="1" spans="2:12">
      <c r="B90" s="10" t="s">
        <v>141</v>
      </c>
      <c r="C90" s="9" t="s">
        <v>155</v>
      </c>
      <c r="D90" s="10" t="s">
        <v>156</v>
      </c>
      <c r="E90" s="10" t="s">
        <v>76</v>
      </c>
      <c r="F90" s="16">
        <v>1</v>
      </c>
      <c r="G90" s="16">
        <v>0</v>
      </c>
      <c r="H90" s="16">
        <f t="shared" si="4"/>
        <v>1</v>
      </c>
      <c r="I90" s="16">
        <v>7520</v>
      </c>
      <c r="J90" s="16">
        <f t="shared" si="5"/>
        <v>7520</v>
      </c>
      <c r="K90" s="16">
        <v>6999</v>
      </c>
      <c r="L90" s="9" t="s">
        <v>35</v>
      </c>
    </row>
    <row r="91" ht="22" customHeight="1" outlineLevel="1" spans="2:12">
      <c r="B91" s="8" t="s">
        <v>141</v>
      </c>
      <c r="C91" s="7" t="s">
        <v>157</v>
      </c>
      <c r="D91" s="8" t="s">
        <v>156</v>
      </c>
      <c r="E91" s="8" t="s">
        <v>76</v>
      </c>
      <c r="F91" s="15">
        <v>3</v>
      </c>
      <c r="G91" s="15">
        <v>0</v>
      </c>
      <c r="H91" s="15">
        <f t="shared" si="4"/>
        <v>3</v>
      </c>
      <c r="I91" s="15">
        <v>7520</v>
      </c>
      <c r="J91" s="15">
        <f t="shared" si="5"/>
        <v>22560</v>
      </c>
      <c r="K91" s="15">
        <v>6999</v>
      </c>
      <c r="L91" s="7" t="s">
        <v>35</v>
      </c>
    </row>
    <row r="92" ht="22" customHeight="1" outlineLevel="1" spans="2:12">
      <c r="B92" s="10" t="s">
        <v>158</v>
      </c>
      <c r="C92" s="9" t="s">
        <v>159</v>
      </c>
      <c r="D92" s="10" t="s">
        <v>160</v>
      </c>
      <c r="E92" s="10" t="s">
        <v>76</v>
      </c>
      <c r="F92" s="16">
        <v>1</v>
      </c>
      <c r="G92" s="16">
        <v>0</v>
      </c>
      <c r="H92" s="16">
        <f t="shared" si="4"/>
        <v>1</v>
      </c>
      <c r="I92" s="16">
        <v>2200</v>
      </c>
      <c r="J92" s="16">
        <f t="shared" si="5"/>
        <v>2200</v>
      </c>
      <c r="K92" s="16"/>
      <c r="L92" s="9" t="s">
        <v>35</v>
      </c>
    </row>
    <row r="93" ht="22" customHeight="1" outlineLevel="1" spans="2:12">
      <c r="B93" s="8" t="s">
        <v>158</v>
      </c>
      <c r="C93" s="7" t="s">
        <v>161</v>
      </c>
      <c r="D93" s="8" t="s">
        <v>160</v>
      </c>
      <c r="E93" s="8" t="s">
        <v>76</v>
      </c>
      <c r="F93" s="15">
        <v>2</v>
      </c>
      <c r="G93" s="15">
        <v>0</v>
      </c>
      <c r="H93" s="15">
        <f t="shared" si="4"/>
        <v>2</v>
      </c>
      <c r="I93" s="15">
        <v>3300</v>
      </c>
      <c r="J93" s="15">
        <f t="shared" si="5"/>
        <v>6600</v>
      </c>
      <c r="K93" s="15"/>
      <c r="L93" s="7" t="s">
        <v>35</v>
      </c>
    </row>
    <row r="94" ht="22" customHeight="1" outlineLevel="1" spans="2:12">
      <c r="B94" s="10" t="s">
        <v>158</v>
      </c>
      <c r="C94" s="9" t="s">
        <v>162</v>
      </c>
      <c r="D94" s="10" t="s">
        <v>160</v>
      </c>
      <c r="E94" s="10" t="s">
        <v>76</v>
      </c>
      <c r="F94" s="16">
        <v>2</v>
      </c>
      <c r="G94" s="16">
        <v>0</v>
      </c>
      <c r="H94" s="16">
        <f t="shared" si="4"/>
        <v>2</v>
      </c>
      <c r="I94" s="16">
        <v>2000</v>
      </c>
      <c r="J94" s="16">
        <f t="shared" si="5"/>
        <v>4000</v>
      </c>
      <c r="K94" s="16"/>
      <c r="L94" s="9" t="s">
        <v>35</v>
      </c>
    </row>
    <row r="95" ht="22" customHeight="1" spans="2:12">
      <c r="B95" s="11" t="s">
        <v>49</v>
      </c>
      <c r="C95" s="12"/>
      <c r="D95" s="12">
        <f>COUNTA(C44:C94)</f>
        <v>51</v>
      </c>
      <c r="E95" s="12"/>
      <c r="F95" s="12"/>
      <c r="G95" s="12"/>
      <c r="H95" s="17">
        <f>SUM(H44:H94)</f>
        <v>461</v>
      </c>
      <c r="I95" s="12"/>
      <c r="J95" s="17">
        <f>SUM(J44:J94)</f>
        <v>1267161</v>
      </c>
      <c r="K95" s="12"/>
      <c r="L95" s="12"/>
    </row>
    <row r="96" ht="22" customHeight="1" spans="2:2">
      <c r="B96" s="13" t="s">
        <v>10</v>
      </c>
    </row>
    <row r="97" ht="22" customHeight="1" outlineLevel="1" spans="2:12">
      <c r="B97" s="8" t="s">
        <v>100</v>
      </c>
      <c r="C97" s="7" t="s">
        <v>163</v>
      </c>
      <c r="D97" s="8" t="s">
        <v>164</v>
      </c>
      <c r="E97" s="8" t="s">
        <v>165</v>
      </c>
      <c r="F97" s="15">
        <v>5</v>
      </c>
      <c r="G97" s="15">
        <v>0</v>
      </c>
      <c r="H97" s="15">
        <f t="shared" ref="H97:H151" si="6">F97+G97</f>
        <v>5</v>
      </c>
      <c r="I97" s="15">
        <v>3600</v>
      </c>
      <c r="J97" s="15">
        <f t="shared" ref="J97:J151" si="7">H97*I97</f>
        <v>18000</v>
      </c>
      <c r="K97" s="15"/>
      <c r="L97" s="7" t="s">
        <v>35</v>
      </c>
    </row>
    <row r="98" ht="22" customHeight="1" outlineLevel="1" spans="2:12">
      <c r="B98" s="10" t="s">
        <v>100</v>
      </c>
      <c r="C98" s="9" t="s">
        <v>166</v>
      </c>
      <c r="D98" s="10" t="s">
        <v>164</v>
      </c>
      <c r="E98" s="10" t="s">
        <v>165</v>
      </c>
      <c r="F98" s="16">
        <v>9</v>
      </c>
      <c r="G98" s="16">
        <v>0</v>
      </c>
      <c r="H98" s="16">
        <f t="shared" si="6"/>
        <v>9</v>
      </c>
      <c r="I98" s="16">
        <v>2980</v>
      </c>
      <c r="J98" s="16">
        <f t="shared" si="7"/>
        <v>26820</v>
      </c>
      <c r="K98" s="16"/>
      <c r="L98" s="9" t="s">
        <v>35</v>
      </c>
    </row>
    <row r="99" ht="22" customHeight="1" outlineLevel="1" spans="2:12">
      <c r="B99" s="8" t="s">
        <v>167</v>
      </c>
      <c r="C99" s="7" t="s">
        <v>168</v>
      </c>
      <c r="D99" s="8" t="s">
        <v>169</v>
      </c>
      <c r="E99" s="8" t="s">
        <v>165</v>
      </c>
      <c r="F99" s="15">
        <v>11</v>
      </c>
      <c r="G99" s="15">
        <v>0</v>
      </c>
      <c r="H99" s="15">
        <f t="shared" si="6"/>
        <v>11</v>
      </c>
      <c r="I99" s="15">
        <v>350</v>
      </c>
      <c r="J99" s="15">
        <f t="shared" si="7"/>
        <v>3850</v>
      </c>
      <c r="K99" s="15"/>
      <c r="L99" s="7" t="s">
        <v>35</v>
      </c>
    </row>
    <row r="100" ht="22" customHeight="1" outlineLevel="1" spans="2:12">
      <c r="B100" s="10" t="s">
        <v>167</v>
      </c>
      <c r="C100" s="9" t="s">
        <v>170</v>
      </c>
      <c r="D100" s="10" t="s">
        <v>169</v>
      </c>
      <c r="E100" s="10" t="s">
        <v>165</v>
      </c>
      <c r="F100" s="16">
        <v>2</v>
      </c>
      <c r="G100" s="16">
        <v>0</v>
      </c>
      <c r="H100" s="16">
        <f t="shared" si="6"/>
        <v>2</v>
      </c>
      <c r="I100" s="16">
        <v>400</v>
      </c>
      <c r="J100" s="16">
        <f t="shared" si="7"/>
        <v>800</v>
      </c>
      <c r="K100" s="16"/>
      <c r="L100" s="9" t="s">
        <v>35</v>
      </c>
    </row>
    <row r="101" ht="22" customHeight="1" outlineLevel="1" spans="2:12">
      <c r="B101" s="8" t="s">
        <v>167</v>
      </c>
      <c r="C101" s="7" t="s">
        <v>171</v>
      </c>
      <c r="D101" s="8" t="s">
        <v>172</v>
      </c>
      <c r="E101" s="8" t="s">
        <v>165</v>
      </c>
      <c r="F101" s="15">
        <v>5</v>
      </c>
      <c r="G101" s="15">
        <v>0</v>
      </c>
      <c r="H101" s="15">
        <f t="shared" si="6"/>
        <v>5</v>
      </c>
      <c r="I101" s="15">
        <v>105</v>
      </c>
      <c r="J101" s="15">
        <f t="shared" si="7"/>
        <v>525</v>
      </c>
      <c r="K101" s="15"/>
      <c r="L101" s="7" t="s">
        <v>35</v>
      </c>
    </row>
    <row r="102" ht="22" customHeight="1" outlineLevel="1" spans="2:12">
      <c r="B102" s="10" t="s">
        <v>167</v>
      </c>
      <c r="C102" s="9" t="s">
        <v>173</v>
      </c>
      <c r="D102" s="10" t="s">
        <v>174</v>
      </c>
      <c r="E102" s="10" t="s">
        <v>165</v>
      </c>
      <c r="F102" s="16">
        <v>6</v>
      </c>
      <c r="G102" s="16">
        <v>0</v>
      </c>
      <c r="H102" s="16">
        <f t="shared" si="6"/>
        <v>6</v>
      </c>
      <c r="I102" s="16">
        <v>229</v>
      </c>
      <c r="J102" s="16">
        <f t="shared" si="7"/>
        <v>1374</v>
      </c>
      <c r="K102" s="16"/>
      <c r="L102" s="9" t="s">
        <v>35</v>
      </c>
    </row>
    <row r="103" ht="22" customHeight="1" outlineLevel="1" spans="2:12">
      <c r="B103" s="8" t="s">
        <v>167</v>
      </c>
      <c r="C103" s="7" t="s">
        <v>175</v>
      </c>
      <c r="D103" s="8" t="s">
        <v>176</v>
      </c>
      <c r="E103" s="8" t="s">
        <v>165</v>
      </c>
      <c r="F103" s="15">
        <v>2</v>
      </c>
      <c r="G103" s="15">
        <v>0</v>
      </c>
      <c r="H103" s="15">
        <f t="shared" si="6"/>
        <v>2</v>
      </c>
      <c r="I103" s="15">
        <v>239</v>
      </c>
      <c r="J103" s="15">
        <f t="shared" si="7"/>
        <v>478</v>
      </c>
      <c r="K103" s="15"/>
      <c r="L103" s="7" t="s">
        <v>35</v>
      </c>
    </row>
    <row r="104" ht="22" customHeight="1" outlineLevel="1" spans="2:12">
      <c r="B104" s="10" t="s">
        <v>167</v>
      </c>
      <c r="C104" s="9" t="s">
        <v>177</v>
      </c>
      <c r="D104" s="10" t="s">
        <v>178</v>
      </c>
      <c r="E104" s="10" t="s">
        <v>165</v>
      </c>
      <c r="F104" s="16">
        <v>35</v>
      </c>
      <c r="G104" s="16">
        <v>0</v>
      </c>
      <c r="H104" s="16">
        <f t="shared" si="6"/>
        <v>35</v>
      </c>
      <c r="I104" s="16">
        <v>135</v>
      </c>
      <c r="J104" s="16">
        <f t="shared" si="7"/>
        <v>4725</v>
      </c>
      <c r="K104" s="16"/>
      <c r="L104" s="9" t="s">
        <v>35</v>
      </c>
    </row>
    <row r="105" ht="22" customHeight="1" outlineLevel="1" spans="2:12">
      <c r="B105" s="8" t="s">
        <v>167</v>
      </c>
      <c r="C105" s="7" t="s">
        <v>179</v>
      </c>
      <c r="D105" s="8" t="s">
        <v>178</v>
      </c>
      <c r="E105" s="8" t="s">
        <v>165</v>
      </c>
      <c r="F105" s="15">
        <v>24</v>
      </c>
      <c r="G105" s="15">
        <v>0</v>
      </c>
      <c r="H105" s="15">
        <f t="shared" si="6"/>
        <v>24</v>
      </c>
      <c r="I105" s="15">
        <v>135</v>
      </c>
      <c r="J105" s="15">
        <f t="shared" si="7"/>
        <v>3240</v>
      </c>
      <c r="K105" s="15"/>
      <c r="L105" s="7" t="s">
        <v>35</v>
      </c>
    </row>
    <row r="106" ht="22" customHeight="1" outlineLevel="1" spans="2:12">
      <c r="B106" s="10" t="s">
        <v>167</v>
      </c>
      <c r="C106" s="9" t="s">
        <v>180</v>
      </c>
      <c r="D106" s="10" t="s">
        <v>178</v>
      </c>
      <c r="E106" s="10" t="s">
        <v>165</v>
      </c>
      <c r="F106" s="16">
        <v>95</v>
      </c>
      <c r="G106" s="16">
        <v>0</v>
      </c>
      <c r="H106" s="16">
        <f t="shared" si="6"/>
        <v>95</v>
      </c>
      <c r="I106" s="16">
        <v>140</v>
      </c>
      <c r="J106" s="16">
        <f t="shared" si="7"/>
        <v>13300</v>
      </c>
      <c r="K106" s="16"/>
      <c r="L106" s="9" t="s">
        <v>35</v>
      </c>
    </row>
    <row r="107" ht="22" customHeight="1" outlineLevel="1" spans="2:12">
      <c r="B107" s="8" t="s">
        <v>167</v>
      </c>
      <c r="C107" s="7" t="s">
        <v>181</v>
      </c>
      <c r="D107" s="8" t="s">
        <v>178</v>
      </c>
      <c r="E107" s="8" t="s">
        <v>165</v>
      </c>
      <c r="F107" s="15">
        <v>75</v>
      </c>
      <c r="G107" s="15">
        <v>0</v>
      </c>
      <c r="H107" s="15">
        <f t="shared" si="6"/>
        <v>75</v>
      </c>
      <c r="I107" s="15">
        <v>140</v>
      </c>
      <c r="J107" s="15">
        <f t="shared" si="7"/>
        <v>10500</v>
      </c>
      <c r="K107" s="15"/>
      <c r="L107" s="7" t="s">
        <v>35</v>
      </c>
    </row>
    <row r="108" ht="22" customHeight="1" outlineLevel="1" spans="2:12">
      <c r="B108" s="10" t="s">
        <v>167</v>
      </c>
      <c r="C108" s="9" t="s">
        <v>182</v>
      </c>
      <c r="D108" s="10" t="s">
        <v>183</v>
      </c>
      <c r="E108" s="10" t="s">
        <v>165</v>
      </c>
      <c r="F108" s="16">
        <v>2</v>
      </c>
      <c r="G108" s="16">
        <v>0</v>
      </c>
      <c r="H108" s="16">
        <f t="shared" si="6"/>
        <v>2</v>
      </c>
      <c r="I108" s="16">
        <v>444</v>
      </c>
      <c r="J108" s="16">
        <f t="shared" si="7"/>
        <v>888</v>
      </c>
      <c r="K108" s="16"/>
      <c r="L108" s="9" t="s">
        <v>35</v>
      </c>
    </row>
    <row r="109" ht="22" customHeight="1" outlineLevel="1" spans="2:12">
      <c r="B109" s="8" t="s">
        <v>167</v>
      </c>
      <c r="C109" s="7" t="s">
        <v>184</v>
      </c>
      <c r="D109" s="8" t="s">
        <v>185</v>
      </c>
      <c r="E109" s="8" t="s">
        <v>165</v>
      </c>
      <c r="F109" s="15">
        <v>16</v>
      </c>
      <c r="G109" s="15">
        <v>0</v>
      </c>
      <c r="H109" s="15">
        <f t="shared" si="6"/>
        <v>16</v>
      </c>
      <c r="I109" s="15">
        <v>700</v>
      </c>
      <c r="J109" s="15">
        <f t="shared" si="7"/>
        <v>11200</v>
      </c>
      <c r="K109" s="15"/>
      <c r="L109" s="7" t="s">
        <v>35</v>
      </c>
    </row>
    <row r="110" ht="22" customHeight="1" outlineLevel="1" spans="2:12">
      <c r="B110" s="10" t="s">
        <v>167</v>
      </c>
      <c r="C110" s="9" t="s">
        <v>186</v>
      </c>
      <c r="D110" s="10" t="s">
        <v>185</v>
      </c>
      <c r="E110" s="10" t="s">
        <v>165</v>
      </c>
      <c r="F110" s="16">
        <v>375</v>
      </c>
      <c r="G110" s="16">
        <v>0</v>
      </c>
      <c r="H110" s="16">
        <f t="shared" si="6"/>
        <v>375</v>
      </c>
      <c r="I110" s="16">
        <v>93</v>
      </c>
      <c r="J110" s="16">
        <f t="shared" si="7"/>
        <v>34875</v>
      </c>
      <c r="K110" s="16"/>
      <c r="L110" s="9" t="s">
        <v>35</v>
      </c>
    </row>
    <row r="111" ht="22" customHeight="1" outlineLevel="1" spans="2:12">
      <c r="B111" s="8" t="s">
        <v>167</v>
      </c>
      <c r="C111" s="7" t="s">
        <v>187</v>
      </c>
      <c r="D111" s="8" t="s">
        <v>185</v>
      </c>
      <c r="E111" s="8" t="s">
        <v>165</v>
      </c>
      <c r="F111" s="15">
        <v>42</v>
      </c>
      <c r="G111" s="15">
        <v>0</v>
      </c>
      <c r="H111" s="15">
        <f t="shared" si="6"/>
        <v>42</v>
      </c>
      <c r="I111" s="15">
        <v>188</v>
      </c>
      <c r="J111" s="15">
        <f t="shared" si="7"/>
        <v>7896</v>
      </c>
      <c r="K111" s="15"/>
      <c r="L111" s="7" t="s">
        <v>35</v>
      </c>
    </row>
    <row r="112" ht="22" customHeight="1" outlineLevel="1" spans="2:12">
      <c r="B112" s="10" t="s">
        <v>167</v>
      </c>
      <c r="C112" s="9" t="s">
        <v>188</v>
      </c>
      <c r="D112" s="10" t="s">
        <v>185</v>
      </c>
      <c r="E112" s="10" t="s">
        <v>165</v>
      </c>
      <c r="F112" s="16">
        <v>214</v>
      </c>
      <c r="G112" s="16">
        <v>0</v>
      </c>
      <c r="H112" s="16">
        <f t="shared" si="6"/>
        <v>214</v>
      </c>
      <c r="I112" s="16">
        <v>84</v>
      </c>
      <c r="J112" s="16">
        <f t="shared" si="7"/>
        <v>17976</v>
      </c>
      <c r="K112" s="16"/>
      <c r="L112" s="9" t="s">
        <v>35</v>
      </c>
    </row>
    <row r="113" ht="22" customHeight="1" outlineLevel="1" spans="2:12">
      <c r="B113" s="8" t="s">
        <v>167</v>
      </c>
      <c r="C113" s="7" t="s">
        <v>189</v>
      </c>
      <c r="D113" s="8" t="s">
        <v>185</v>
      </c>
      <c r="E113" s="8" t="s">
        <v>165</v>
      </c>
      <c r="F113" s="15">
        <v>44</v>
      </c>
      <c r="G113" s="15">
        <v>0</v>
      </c>
      <c r="H113" s="15">
        <f t="shared" si="6"/>
        <v>44</v>
      </c>
      <c r="I113" s="15">
        <v>90</v>
      </c>
      <c r="J113" s="15">
        <f t="shared" si="7"/>
        <v>3960</v>
      </c>
      <c r="K113" s="15"/>
      <c r="L113" s="7" t="s">
        <v>35</v>
      </c>
    </row>
    <row r="114" ht="22" customHeight="1" outlineLevel="1" spans="2:12">
      <c r="B114" s="10" t="s">
        <v>167</v>
      </c>
      <c r="C114" s="9" t="s">
        <v>190</v>
      </c>
      <c r="D114" s="10" t="s">
        <v>185</v>
      </c>
      <c r="E114" s="10" t="s">
        <v>165</v>
      </c>
      <c r="F114" s="16">
        <v>96</v>
      </c>
      <c r="G114" s="16">
        <v>0</v>
      </c>
      <c r="H114" s="16">
        <f t="shared" si="6"/>
        <v>96</v>
      </c>
      <c r="I114" s="16">
        <v>80</v>
      </c>
      <c r="J114" s="16">
        <f t="shared" si="7"/>
        <v>7680</v>
      </c>
      <c r="K114" s="16"/>
      <c r="L114" s="9" t="s">
        <v>35</v>
      </c>
    </row>
    <row r="115" ht="22" customHeight="1" outlineLevel="1" spans="2:12">
      <c r="B115" s="8" t="s">
        <v>167</v>
      </c>
      <c r="C115" s="7" t="s">
        <v>191</v>
      </c>
      <c r="D115" s="8" t="s">
        <v>192</v>
      </c>
      <c r="E115" s="8" t="s">
        <v>165</v>
      </c>
      <c r="F115" s="15">
        <v>5</v>
      </c>
      <c r="G115" s="15">
        <v>0</v>
      </c>
      <c r="H115" s="15">
        <f t="shared" si="6"/>
        <v>5</v>
      </c>
      <c r="I115" s="15">
        <v>600</v>
      </c>
      <c r="J115" s="15">
        <f t="shared" si="7"/>
        <v>3000</v>
      </c>
      <c r="K115" s="15"/>
      <c r="L115" s="7" t="s">
        <v>35</v>
      </c>
    </row>
    <row r="116" ht="22" customHeight="1" outlineLevel="1" spans="2:12">
      <c r="B116" s="10" t="s">
        <v>167</v>
      </c>
      <c r="C116" s="9" t="s">
        <v>193</v>
      </c>
      <c r="D116" s="10" t="s">
        <v>194</v>
      </c>
      <c r="E116" s="10" t="s">
        <v>165</v>
      </c>
      <c r="F116" s="16">
        <v>160</v>
      </c>
      <c r="G116" s="16">
        <v>0</v>
      </c>
      <c r="H116" s="16">
        <f t="shared" si="6"/>
        <v>160</v>
      </c>
      <c r="I116" s="16">
        <v>84</v>
      </c>
      <c r="J116" s="16">
        <f t="shared" si="7"/>
        <v>13440</v>
      </c>
      <c r="K116" s="16"/>
      <c r="L116" s="9" t="s">
        <v>35</v>
      </c>
    </row>
    <row r="117" ht="22" customHeight="1" outlineLevel="1" spans="2:12">
      <c r="B117" s="8" t="s">
        <v>167</v>
      </c>
      <c r="C117" s="7" t="s">
        <v>195</v>
      </c>
      <c r="D117" s="8" t="s">
        <v>196</v>
      </c>
      <c r="E117" s="8" t="s">
        <v>165</v>
      </c>
      <c r="F117" s="15">
        <v>14</v>
      </c>
      <c r="G117" s="15">
        <v>0</v>
      </c>
      <c r="H117" s="15">
        <f t="shared" si="6"/>
        <v>14</v>
      </c>
      <c r="I117" s="15">
        <v>270</v>
      </c>
      <c r="J117" s="15">
        <f t="shared" si="7"/>
        <v>3780</v>
      </c>
      <c r="K117" s="15"/>
      <c r="L117" s="7" t="s">
        <v>35</v>
      </c>
    </row>
    <row r="118" ht="22" customHeight="1" outlineLevel="1" spans="2:12">
      <c r="B118" s="10" t="s">
        <v>167</v>
      </c>
      <c r="C118" s="9" t="s">
        <v>197</v>
      </c>
      <c r="D118" s="10" t="s">
        <v>196</v>
      </c>
      <c r="E118" s="10" t="s">
        <v>165</v>
      </c>
      <c r="F118" s="16">
        <v>1</v>
      </c>
      <c r="G118" s="16">
        <v>0</v>
      </c>
      <c r="H118" s="16">
        <f t="shared" si="6"/>
        <v>1</v>
      </c>
      <c r="I118" s="16">
        <v>270</v>
      </c>
      <c r="J118" s="16">
        <f t="shared" si="7"/>
        <v>270</v>
      </c>
      <c r="K118" s="16"/>
      <c r="L118" s="9" t="s">
        <v>35</v>
      </c>
    </row>
    <row r="119" ht="22" customHeight="1" outlineLevel="1" spans="2:12">
      <c r="B119" s="8" t="s">
        <v>118</v>
      </c>
      <c r="C119" s="7" t="s">
        <v>198</v>
      </c>
      <c r="D119" s="8" t="s">
        <v>120</v>
      </c>
      <c r="E119" s="8" t="s">
        <v>165</v>
      </c>
      <c r="F119" s="15">
        <v>5</v>
      </c>
      <c r="G119" s="15">
        <v>0</v>
      </c>
      <c r="H119" s="15">
        <f t="shared" si="6"/>
        <v>5</v>
      </c>
      <c r="I119" s="15">
        <v>2900</v>
      </c>
      <c r="J119" s="15">
        <f t="shared" si="7"/>
        <v>14500</v>
      </c>
      <c r="K119" s="15"/>
      <c r="L119" s="7" t="s">
        <v>35</v>
      </c>
    </row>
    <row r="120" ht="22" customHeight="1" outlineLevel="1" spans="2:12">
      <c r="B120" s="10" t="s">
        <v>118</v>
      </c>
      <c r="C120" s="9" t="s">
        <v>199</v>
      </c>
      <c r="D120" s="10" t="s">
        <v>200</v>
      </c>
      <c r="E120" s="10" t="s">
        <v>165</v>
      </c>
      <c r="F120" s="16">
        <v>1</v>
      </c>
      <c r="G120" s="16">
        <v>0</v>
      </c>
      <c r="H120" s="16">
        <f t="shared" si="6"/>
        <v>1</v>
      </c>
      <c r="I120" s="16">
        <v>2400</v>
      </c>
      <c r="J120" s="16">
        <f t="shared" si="7"/>
        <v>2400</v>
      </c>
      <c r="K120" s="16"/>
      <c r="L120" s="9" t="s">
        <v>35</v>
      </c>
    </row>
    <row r="121" ht="22" customHeight="1" outlineLevel="1" spans="2:12">
      <c r="B121" s="8" t="s">
        <v>118</v>
      </c>
      <c r="C121" s="7" t="s">
        <v>201</v>
      </c>
      <c r="D121" s="8" t="s">
        <v>200</v>
      </c>
      <c r="E121" s="8" t="s">
        <v>165</v>
      </c>
      <c r="F121" s="15">
        <v>2</v>
      </c>
      <c r="G121" s="15">
        <v>0</v>
      </c>
      <c r="H121" s="15">
        <f t="shared" si="6"/>
        <v>2</v>
      </c>
      <c r="I121" s="15">
        <v>2400</v>
      </c>
      <c r="J121" s="15">
        <f t="shared" si="7"/>
        <v>4800</v>
      </c>
      <c r="K121" s="15"/>
      <c r="L121" s="7" t="s">
        <v>35</v>
      </c>
    </row>
    <row r="122" ht="22" customHeight="1" outlineLevel="1" spans="2:12">
      <c r="B122" s="10" t="s">
        <v>202</v>
      </c>
      <c r="C122" s="9" t="s">
        <v>203</v>
      </c>
      <c r="D122" s="10" t="s">
        <v>204</v>
      </c>
      <c r="E122" s="10" t="s">
        <v>165</v>
      </c>
      <c r="F122" s="16">
        <v>25</v>
      </c>
      <c r="G122" s="16">
        <v>0</v>
      </c>
      <c r="H122" s="16">
        <f t="shared" si="6"/>
        <v>25</v>
      </c>
      <c r="I122" s="16">
        <v>140</v>
      </c>
      <c r="J122" s="16">
        <f t="shared" si="7"/>
        <v>3500</v>
      </c>
      <c r="K122" s="16"/>
      <c r="L122" s="9" t="s">
        <v>35</v>
      </c>
    </row>
    <row r="123" ht="22" customHeight="1" outlineLevel="1" spans="2:12">
      <c r="B123" s="8" t="s">
        <v>121</v>
      </c>
      <c r="C123" s="7" t="s">
        <v>205</v>
      </c>
      <c r="D123" s="8" t="s">
        <v>206</v>
      </c>
      <c r="E123" s="8" t="s">
        <v>165</v>
      </c>
      <c r="F123" s="15">
        <v>1</v>
      </c>
      <c r="G123" s="15">
        <v>0</v>
      </c>
      <c r="H123" s="15">
        <f t="shared" si="6"/>
        <v>1</v>
      </c>
      <c r="I123" s="15">
        <v>2086</v>
      </c>
      <c r="J123" s="15">
        <f t="shared" si="7"/>
        <v>2086</v>
      </c>
      <c r="K123" s="15"/>
      <c r="L123" s="7" t="s">
        <v>35</v>
      </c>
    </row>
    <row r="124" ht="22" customHeight="1" outlineLevel="1" spans="2:12">
      <c r="B124" s="10" t="s">
        <v>121</v>
      </c>
      <c r="C124" s="9" t="s">
        <v>207</v>
      </c>
      <c r="D124" s="10" t="s">
        <v>206</v>
      </c>
      <c r="E124" s="10" t="s">
        <v>165</v>
      </c>
      <c r="F124" s="16">
        <v>2</v>
      </c>
      <c r="G124" s="16">
        <v>0</v>
      </c>
      <c r="H124" s="16">
        <f t="shared" si="6"/>
        <v>2</v>
      </c>
      <c r="I124" s="16">
        <v>2086</v>
      </c>
      <c r="J124" s="16">
        <f t="shared" si="7"/>
        <v>4172</v>
      </c>
      <c r="K124" s="16"/>
      <c r="L124" s="9" t="s">
        <v>35</v>
      </c>
    </row>
    <row r="125" ht="22" customHeight="1" outlineLevel="1" spans="2:12">
      <c r="B125" s="8" t="s">
        <v>121</v>
      </c>
      <c r="C125" s="7" t="s">
        <v>208</v>
      </c>
      <c r="D125" s="8" t="s">
        <v>206</v>
      </c>
      <c r="E125" s="8" t="s">
        <v>165</v>
      </c>
      <c r="F125" s="15">
        <v>1</v>
      </c>
      <c r="G125" s="15">
        <v>0</v>
      </c>
      <c r="H125" s="15">
        <f t="shared" si="6"/>
        <v>1</v>
      </c>
      <c r="I125" s="15">
        <v>1736</v>
      </c>
      <c r="J125" s="15">
        <f t="shared" si="7"/>
        <v>1736</v>
      </c>
      <c r="K125" s="15"/>
      <c r="L125" s="7" t="s">
        <v>35</v>
      </c>
    </row>
    <row r="126" ht="22" customHeight="1" outlineLevel="1" spans="2:12">
      <c r="B126" s="10" t="s">
        <v>121</v>
      </c>
      <c r="C126" s="9" t="s">
        <v>209</v>
      </c>
      <c r="D126" s="10" t="s">
        <v>210</v>
      </c>
      <c r="E126" s="10" t="s">
        <v>165</v>
      </c>
      <c r="F126" s="16">
        <v>2</v>
      </c>
      <c r="G126" s="16">
        <v>0</v>
      </c>
      <c r="H126" s="16">
        <f t="shared" si="6"/>
        <v>2</v>
      </c>
      <c r="I126" s="16">
        <v>2650</v>
      </c>
      <c r="J126" s="16">
        <f t="shared" si="7"/>
        <v>5300</v>
      </c>
      <c r="K126" s="16"/>
      <c r="L126" s="9" t="s">
        <v>35</v>
      </c>
    </row>
    <row r="127" ht="22" customHeight="1" outlineLevel="1" spans="2:12">
      <c r="B127" s="8" t="s">
        <v>121</v>
      </c>
      <c r="C127" s="7" t="s">
        <v>211</v>
      </c>
      <c r="D127" s="8" t="s">
        <v>210</v>
      </c>
      <c r="E127" s="8" t="s">
        <v>165</v>
      </c>
      <c r="F127" s="15">
        <v>1</v>
      </c>
      <c r="G127" s="15">
        <v>0</v>
      </c>
      <c r="H127" s="15">
        <f t="shared" si="6"/>
        <v>1</v>
      </c>
      <c r="I127" s="15">
        <v>2650</v>
      </c>
      <c r="J127" s="15">
        <f t="shared" si="7"/>
        <v>2650</v>
      </c>
      <c r="K127" s="15"/>
      <c r="L127" s="7" t="s">
        <v>35</v>
      </c>
    </row>
    <row r="128" ht="22" customHeight="1" outlineLevel="1" spans="2:12">
      <c r="B128" s="10" t="s">
        <v>121</v>
      </c>
      <c r="C128" s="9" t="s">
        <v>212</v>
      </c>
      <c r="D128" s="10" t="s">
        <v>210</v>
      </c>
      <c r="E128" s="10" t="s">
        <v>165</v>
      </c>
      <c r="F128" s="16">
        <v>1</v>
      </c>
      <c r="G128" s="16">
        <v>0</v>
      </c>
      <c r="H128" s="16">
        <f t="shared" si="6"/>
        <v>1</v>
      </c>
      <c r="I128" s="16">
        <v>1580</v>
      </c>
      <c r="J128" s="16">
        <f t="shared" si="7"/>
        <v>1580</v>
      </c>
      <c r="K128" s="16"/>
      <c r="L128" s="9" t="s">
        <v>35</v>
      </c>
    </row>
    <row r="129" ht="22" customHeight="1" outlineLevel="1" spans="2:12">
      <c r="B129" s="8" t="s">
        <v>121</v>
      </c>
      <c r="C129" s="7" t="s">
        <v>213</v>
      </c>
      <c r="D129" s="8" t="s">
        <v>210</v>
      </c>
      <c r="E129" s="8" t="s">
        <v>165</v>
      </c>
      <c r="F129" s="15">
        <v>2</v>
      </c>
      <c r="G129" s="15">
        <v>0</v>
      </c>
      <c r="H129" s="15">
        <f t="shared" si="6"/>
        <v>2</v>
      </c>
      <c r="I129" s="15">
        <v>1580</v>
      </c>
      <c r="J129" s="15">
        <f t="shared" si="7"/>
        <v>3160</v>
      </c>
      <c r="K129" s="15"/>
      <c r="L129" s="7" t="s">
        <v>35</v>
      </c>
    </row>
    <row r="130" ht="22" customHeight="1" outlineLevel="1" spans="2:12">
      <c r="B130" s="10" t="s">
        <v>121</v>
      </c>
      <c r="C130" s="9" t="s">
        <v>214</v>
      </c>
      <c r="D130" s="10" t="s">
        <v>215</v>
      </c>
      <c r="E130" s="10" t="s">
        <v>165</v>
      </c>
      <c r="F130" s="16">
        <v>6</v>
      </c>
      <c r="G130" s="16">
        <v>0</v>
      </c>
      <c r="H130" s="16">
        <f t="shared" si="6"/>
        <v>6</v>
      </c>
      <c r="I130" s="16">
        <v>2200</v>
      </c>
      <c r="J130" s="16">
        <f t="shared" si="7"/>
        <v>13200</v>
      </c>
      <c r="K130" s="16"/>
      <c r="L130" s="9" t="s">
        <v>35</v>
      </c>
    </row>
    <row r="131" ht="22" customHeight="1" outlineLevel="1" spans="2:12">
      <c r="B131" s="8" t="s">
        <v>130</v>
      </c>
      <c r="C131" s="7" t="s">
        <v>216</v>
      </c>
      <c r="D131" s="8" t="s">
        <v>217</v>
      </c>
      <c r="E131" s="8" t="s">
        <v>165</v>
      </c>
      <c r="F131" s="15">
        <v>1</v>
      </c>
      <c r="G131" s="15">
        <v>0</v>
      </c>
      <c r="H131" s="15">
        <f t="shared" si="6"/>
        <v>1</v>
      </c>
      <c r="I131" s="15">
        <v>2430</v>
      </c>
      <c r="J131" s="15">
        <f t="shared" si="7"/>
        <v>2430</v>
      </c>
      <c r="K131" s="15"/>
      <c r="L131" s="7" t="s">
        <v>35</v>
      </c>
    </row>
    <row r="132" ht="22" customHeight="1" outlineLevel="1" spans="2:12">
      <c r="B132" s="10" t="s">
        <v>130</v>
      </c>
      <c r="C132" s="9" t="s">
        <v>218</v>
      </c>
      <c r="D132" s="10" t="s">
        <v>217</v>
      </c>
      <c r="E132" s="10" t="s">
        <v>165</v>
      </c>
      <c r="F132" s="16">
        <v>54</v>
      </c>
      <c r="G132" s="16">
        <v>0</v>
      </c>
      <c r="H132" s="16">
        <f t="shared" si="6"/>
        <v>54</v>
      </c>
      <c r="I132" s="16">
        <v>700</v>
      </c>
      <c r="J132" s="16">
        <f t="shared" si="7"/>
        <v>37800</v>
      </c>
      <c r="K132" s="16"/>
      <c r="L132" s="9" t="s">
        <v>35</v>
      </c>
    </row>
    <row r="133" ht="22" customHeight="1" outlineLevel="1" spans="2:12">
      <c r="B133" s="8" t="s">
        <v>130</v>
      </c>
      <c r="C133" s="7" t="s">
        <v>219</v>
      </c>
      <c r="D133" s="8" t="s">
        <v>217</v>
      </c>
      <c r="E133" s="8" t="s">
        <v>165</v>
      </c>
      <c r="F133" s="15">
        <v>32</v>
      </c>
      <c r="G133" s="15">
        <v>0</v>
      </c>
      <c r="H133" s="15">
        <f t="shared" si="6"/>
        <v>32</v>
      </c>
      <c r="I133" s="15">
        <v>430</v>
      </c>
      <c r="J133" s="15">
        <f t="shared" si="7"/>
        <v>13760</v>
      </c>
      <c r="K133" s="15"/>
      <c r="L133" s="7" t="s">
        <v>35</v>
      </c>
    </row>
    <row r="134" ht="22" customHeight="1" outlineLevel="1" spans="2:12">
      <c r="B134" s="10" t="s">
        <v>130</v>
      </c>
      <c r="C134" s="9" t="s">
        <v>220</v>
      </c>
      <c r="D134" s="10" t="s">
        <v>217</v>
      </c>
      <c r="E134" s="10" t="s">
        <v>165</v>
      </c>
      <c r="F134" s="16">
        <v>1</v>
      </c>
      <c r="G134" s="16">
        <v>0</v>
      </c>
      <c r="H134" s="16">
        <f t="shared" si="6"/>
        <v>1</v>
      </c>
      <c r="I134" s="16">
        <v>120</v>
      </c>
      <c r="J134" s="16">
        <f t="shared" si="7"/>
        <v>120</v>
      </c>
      <c r="K134" s="16"/>
      <c r="L134" s="9" t="s">
        <v>35</v>
      </c>
    </row>
    <row r="135" ht="22" customHeight="1" outlineLevel="1" spans="2:12">
      <c r="B135" s="8" t="s">
        <v>130</v>
      </c>
      <c r="C135" s="7" t="s">
        <v>221</v>
      </c>
      <c r="D135" s="8" t="s">
        <v>132</v>
      </c>
      <c r="E135" s="8" t="s">
        <v>165</v>
      </c>
      <c r="F135" s="15">
        <v>102</v>
      </c>
      <c r="G135" s="15">
        <v>0</v>
      </c>
      <c r="H135" s="15">
        <f t="shared" si="6"/>
        <v>102</v>
      </c>
      <c r="I135" s="15">
        <v>303</v>
      </c>
      <c r="J135" s="15">
        <f t="shared" si="7"/>
        <v>30906</v>
      </c>
      <c r="K135" s="15"/>
      <c r="L135" s="7" t="s">
        <v>35</v>
      </c>
    </row>
    <row r="136" ht="22" customHeight="1" outlineLevel="1" spans="2:12">
      <c r="B136" s="10" t="s">
        <v>130</v>
      </c>
      <c r="C136" s="9" t="s">
        <v>222</v>
      </c>
      <c r="D136" s="10" t="s">
        <v>132</v>
      </c>
      <c r="E136" s="10" t="s">
        <v>165</v>
      </c>
      <c r="F136" s="16">
        <v>4</v>
      </c>
      <c r="G136" s="16">
        <v>0</v>
      </c>
      <c r="H136" s="16">
        <f t="shared" si="6"/>
        <v>4</v>
      </c>
      <c r="I136" s="16">
        <v>2300</v>
      </c>
      <c r="J136" s="16">
        <f t="shared" si="7"/>
        <v>9200</v>
      </c>
      <c r="K136" s="16"/>
      <c r="L136" s="9" t="s">
        <v>35</v>
      </c>
    </row>
    <row r="137" ht="22" customHeight="1" outlineLevel="1" spans="2:12">
      <c r="B137" s="8" t="s">
        <v>130</v>
      </c>
      <c r="C137" s="7" t="s">
        <v>223</v>
      </c>
      <c r="D137" s="8" t="s">
        <v>132</v>
      </c>
      <c r="E137" s="8" t="s">
        <v>165</v>
      </c>
      <c r="F137" s="15">
        <v>2</v>
      </c>
      <c r="G137" s="15">
        <v>0</v>
      </c>
      <c r="H137" s="15">
        <f t="shared" si="6"/>
        <v>2</v>
      </c>
      <c r="I137" s="15">
        <v>500</v>
      </c>
      <c r="J137" s="15">
        <f t="shared" si="7"/>
        <v>1000</v>
      </c>
      <c r="K137" s="15"/>
      <c r="L137" s="7" t="s">
        <v>35</v>
      </c>
    </row>
    <row r="138" ht="22" customHeight="1" outlineLevel="1" spans="2:12">
      <c r="B138" s="10" t="s">
        <v>130</v>
      </c>
      <c r="C138" s="9" t="s">
        <v>224</v>
      </c>
      <c r="D138" s="10" t="s">
        <v>225</v>
      </c>
      <c r="E138" s="10" t="s">
        <v>165</v>
      </c>
      <c r="F138" s="16">
        <v>1</v>
      </c>
      <c r="G138" s="16">
        <v>0</v>
      </c>
      <c r="H138" s="16">
        <f t="shared" si="6"/>
        <v>1</v>
      </c>
      <c r="I138" s="16">
        <v>1000</v>
      </c>
      <c r="J138" s="16">
        <f t="shared" si="7"/>
        <v>1000</v>
      </c>
      <c r="K138" s="16"/>
      <c r="L138" s="9" t="s">
        <v>35</v>
      </c>
    </row>
    <row r="139" ht="22" customHeight="1" outlineLevel="1" spans="2:12">
      <c r="B139" s="8" t="s">
        <v>141</v>
      </c>
      <c r="C139" s="7" t="s">
        <v>226</v>
      </c>
      <c r="D139" s="8" t="s">
        <v>78</v>
      </c>
      <c r="E139" s="8" t="s">
        <v>165</v>
      </c>
      <c r="F139" s="15">
        <v>1</v>
      </c>
      <c r="G139" s="15">
        <v>0</v>
      </c>
      <c r="H139" s="15">
        <f t="shared" si="6"/>
        <v>1</v>
      </c>
      <c r="I139" s="15">
        <v>4000</v>
      </c>
      <c r="J139" s="15">
        <f t="shared" si="7"/>
        <v>4000</v>
      </c>
      <c r="K139" s="15"/>
      <c r="L139" s="7" t="s">
        <v>35</v>
      </c>
    </row>
    <row r="140" ht="22" customHeight="1" outlineLevel="1" spans="2:12">
      <c r="B140" s="10" t="s">
        <v>141</v>
      </c>
      <c r="C140" s="9" t="s">
        <v>227</v>
      </c>
      <c r="D140" s="10" t="s">
        <v>228</v>
      </c>
      <c r="E140" s="10" t="s">
        <v>165</v>
      </c>
      <c r="F140" s="16">
        <v>3</v>
      </c>
      <c r="G140" s="16">
        <v>0</v>
      </c>
      <c r="H140" s="16">
        <f t="shared" si="6"/>
        <v>3</v>
      </c>
      <c r="I140" s="16">
        <v>5000</v>
      </c>
      <c r="J140" s="16">
        <f t="shared" si="7"/>
        <v>15000</v>
      </c>
      <c r="K140" s="16"/>
      <c r="L140" s="9" t="s">
        <v>35</v>
      </c>
    </row>
    <row r="141" ht="22" customHeight="1" outlineLevel="1" spans="2:12">
      <c r="B141" s="8" t="s">
        <v>141</v>
      </c>
      <c r="C141" s="7" t="s">
        <v>229</v>
      </c>
      <c r="D141" s="8" t="s">
        <v>228</v>
      </c>
      <c r="E141" s="8" t="s">
        <v>165</v>
      </c>
      <c r="F141" s="15">
        <v>4</v>
      </c>
      <c r="G141" s="15">
        <v>0</v>
      </c>
      <c r="H141" s="15">
        <f t="shared" si="6"/>
        <v>4</v>
      </c>
      <c r="I141" s="15">
        <v>5000</v>
      </c>
      <c r="J141" s="15">
        <f t="shared" si="7"/>
        <v>20000</v>
      </c>
      <c r="K141" s="15"/>
      <c r="L141" s="7" t="s">
        <v>35</v>
      </c>
    </row>
    <row r="142" ht="22" customHeight="1" outlineLevel="1" spans="2:12">
      <c r="B142" s="10" t="s">
        <v>141</v>
      </c>
      <c r="C142" s="9" t="s">
        <v>230</v>
      </c>
      <c r="D142" s="10" t="s">
        <v>228</v>
      </c>
      <c r="E142" s="10" t="s">
        <v>165</v>
      </c>
      <c r="F142" s="16">
        <v>1</v>
      </c>
      <c r="G142" s="16">
        <v>0</v>
      </c>
      <c r="H142" s="16">
        <f t="shared" si="6"/>
        <v>1</v>
      </c>
      <c r="I142" s="16">
        <v>5000</v>
      </c>
      <c r="J142" s="16">
        <f t="shared" si="7"/>
        <v>5000</v>
      </c>
      <c r="K142" s="16"/>
      <c r="L142" s="9" t="s">
        <v>35</v>
      </c>
    </row>
    <row r="143" ht="22" customHeight="1" outlineLevel="1" spans="2:12">
      <c r="B143" s="8" t="s">
        <v>141</v>
      </c>
      <c r="C143" s="7" t="s">
        <v>231</v>
      </c>
      <c r="D143" s="8" t="s">
        <v>232</v>
      </c>
      <c r="E143" s="8" t="s">
        <v>165</v>
      </c>
      <c r="F143" s="15">
        <v>1</v>
      </c>
      <c r="G143" s="15">
        <v>0</v>
      </c>
      <c r="H143" s="15">
        <f t="shared" si="6"/>
        <v>1</v>
      </c>
      <c r="I143" s="15">
        <v>1315</v>
      </c>
      <c r="J143" s="15">
        <f t="shared" si="7"/>
        <v>1315</v>
      </c>
      <c r="K143" s="15"/>
      <c r="L143" s="7" t="s">
        <v>35</v>
      </c>
    </row>
    <row r="144" ht="22" customHeight="1" outlineLevel="1" spans="2:12">
      <c r="B144" s="10" t="s">
        <v>141</v>
      </c>
      <c r="C144" s="9" t="s">
        <v>233</v>
      </c>
      <c r="D144" s="10" t="s">
        <v>225</v>
      </c>
      <c r="E144" s="10" t="s">
        <v>165</v>
      </c>
      <c r="F144" s="16">
        <v>1</v>
      </c>
      <c r="G144" s="16">
        <v>0</v>
      </c>
      <c r="H144" s="16">
        <f t="shared" si="6"/>
        <v>1</v>
      </c>
      <c r="I144" s="16">
        <v>3100</v>
      </c>
      <c r="J144" s="16">
        <f t="shared" si="7"/>
        <v>3100</v>
      </c>
      <c r="K144" s="16"/>
      <c r="L144" s="9" t="s">
        <v>35</v>
      </c>
    </row>
    <row r="145" ht="22" customHeight="1" outlineLevel="1" spans="2:12">
      <c r="B145" s="8" t="s">
        <v>234</v>
      </c>
      <c r="C145" s="7" t="s">
        <v>235</v>
      </c>
      <c r="D145" s="8" t="s">
        <v>236</v>
      </c>
      <c r="E145" s="8" t="s">
        <v>165</v>
      </c>
      <c r="F145" s="15">
        <v>16</v>
      </c>
      <c r="G145" s="15">
        <v>0</v>
      </c>
      <c r="H145" s="15">
        <f t="shared" si="6"/>
        <v>16</v>
      </c>
      <c r="I145" s="15">
        <v>5108.88</v>
      </c>
      <c r="J145" s="15">
        <f t="shared" si="7"/>
        <v>81742.08</v>
      </c>
      <c r="K145" s="15"/>
      <c r="L145" s="7" t="s">
        <v>35</v>
      </c>
    </row>
    <row r="146" ht="22" customHeight="1" outlineLevel="1" spans="2:12">
      <c r="B146" s="10" t="s">
        <v>234</v>
      </c>
      <c r="C146" s="9" t="s">
        <v>237</v>
      </c>
      <c r="D146" s="10" t="s">
        <v>204</v>
      </c>
      <c r="E146" s="10" t="s">
        <v>165</v>
      </c>
      <c r="F146" s="16">
        <v>24</v>
      </c>
      <c r="G146" s="16">
        <v>0</v>
      </c>
      <c r="H146" s="16">
        <f t="shared" si="6"/>
        <v>24</v>
      </c>
      <c r="I146" s="16">
        <v>4400</v>
      </c>
      <c r="J146" s="16">
        <f t="shared" si="7"/>
        <v>105600</v>
      </c>
      <c r="K146" s="16"/>
      <c r="L146" s="9" t="s">
        <v>35</v>
      </c>
    </row>
    <row r="147" ht="22" customHeight="1" outlineLevel="1" spans="2:12">
      <c r="B147" s="8" t="s">
        <v>238</v>
      </c>
      <c r="C147" s="7" t="s">
        <v>239</v>
      </c>
      <c r="D147" s="8" t="s">
        <v>204</v>
      </c>
      <c r="E147" s="8" t="s">
        <v>165</v>
      </c>
      <c r="F147" s="15">
        <v>29</v>
      </c>
      <c r="G147" s="15">
        <v>0</v>
      </c>
      <c r="H147" s="15">
        <f t="shared" si="6"/>
        <v>29</v>
      </c>
      <c r="I147" s="15">
        <v>185</v>
      </c>
      <c r="J147" s="15">
        <f t="shared" si="7"/>
        <v>5365</v>
      </c>
      <c r="K147" s="15"/>
      <c r="L147" s="7" t="s">
        <v>35</v>
      </c>
    </row>
    <row r="148" ht="22" customHeight="1" outlineLevel="1" spans="2:12">
      <c r="B148" s="10" t="s">
        <v>240</v>
      </c>
      <c r="C148" s="9" t="s">
        <v>241</v>
      </c>
      <c r="D148" s="10" t="s">
        <v>160</v>
      </c>
      <c r="E148" s="10" t="s">
        <v>165</v>
      </c>
      <c r="F148" s="16">
        <v>2</v>
      </c>
      <c r="G148" s="16">
        <v>0</v>
      </c>
      <c r="H148" s="16">
        <f t="shared" si="6"/>
        <v>2</v>
      </c>
      <c r="I148" s="16">
        <v>1225</v>
      </c>
      <c r="J148" s="16">
        <f t="shared" si="7"/>
        <v>2450</v>
      </c>
      <c r="K148" s="16"/>
      <c r="L148" s="9" t="s">
        <v>35</v>
      </c>
    </row>
    <row r="149" ht="22" customHeight="1" outlineLevel="1" spans="2:12">
      <c r="B149" s="8" t="s">
        <v>242</v>
      </c>
      <c r="C149" s="7" t="s">
        <v>243</v>
      </c>
      <c r="D149" s="8" t="s">
        <v>236</v>
      </c>
      <c r="E149" s="8" t="s">
        <v>165</v>
      </c>
      <c r="F149" s="15">
        <v>102</v>
      </c>
      <c r="G149" s="15">
        <v>0</v>
      </c>
      <c r="H149" s="15">
        <f t="shared" si="6"/>
        <v>102</v>
      </c>
      <c r="I149" s="15">
        <v>1030</v>
      </c>
      <c r="J149" s="15">
        <f t="shared" si="7"/>
        <v>105060</v>
      </c>
      <c r="K149" s="15"/>
      <c r="L149" s="7" t="s">
        <v>35</v>
      </c>
    </row>
    <row r="150" ht="22" customHeight="1" outlineLevel="1" spans="2:12">
      <c r="B150" s="10" t="s">
        <v>244</v>
      </c>
      <c r="C150" s="9" t="s">
        <v>245</v>
      </c>
      <c r="D150" s="10" t="s">
        <v>246</v>
      </c>
      <c r="E150" s="10" t="s">
        <v>165</v>
      </c>
      <c r="F150" s="16">
        <v>1</v>
      </c>
      <c r="G150" s="16">
        <v>0</v>
      </c>
      <c r="H150" s="16">
        <f t="shared" si="6"/>
        <v>1</v>
      </c>
      <c r="I150" s="16">
        <v>350</v>
      </c>
      <c r="J150" s="16">
        <f t="shared" si="7"/>
        <v>350</v>
      </c>
      <c r="K150" s="16"/>
      <c r="L150" s="9" t="s">
        <v>35</v>
      </c>
    </row>
    <row r="151" ht="22" customHeight="1" outlineLevel="1" spans="2:12">
      <c r="B151" s="8" t="s">
        <v>244</v>
      </c>
      <c r="C151" s="7" t="s">
        <v>247</v>
      </c>
      <c r="D151" s="8" t="s">
        <v>246</v>
      </c>
      <c r="E151" s="8" t="s">
        <v>165</v>
      </c>
      <c r="F151" s="15">
        <v>1</v>
      </c>
      <c r="G151" s="15">
        <v>0</v>
      </c>
      <c r="H151" s="15">
        <f t="shared" si="6"/>
        <v>1</v>
      </c>
      <c r="I151" s="15">
        <v>350</v>
      </c>
      <c r="J151" s="15">
        <f t="shared" si="7"/>
        <v>350</v>
      </c>
      <c r="K151" s="15"/>
      <c r="L151" s="7" t="s">
        <v>35</v>
      </c>
    </row>
    <row r="152" ht="22" customHeight="1" spans="2:12">
      <c r="B152" s="11" t="s">
        <v>49</v>
      </c>
      <c r="C152" s="12"/>
      <c r="D152" s="12">
        <f>COUNTA(C97:C151)</f>
        <v>55</v>
      </c>
      <c r="E152" s="12"/>
      <c r="F152" s="12"/>
      <c r="G152" s="12"/>
      <c r="H152" s="17">
        <f>SUM(H97:H151)</f>
        <v>1670</v>
      </c>
      <c r="I152" s="12"/>
      <c r="J152" s="17">
        <f>SUM(J97:J151)</f>
        <v>693209.08</v>
      </c>
      <c r="K152" s="12"/>
      <c r="L152" s="12"/>
    </row>
    <row r="153" ht="22" customHeight="1" spans="2:2">
      <c r="B153" s="13" t="s">
        <v>11</v>
      </c>
    </row>
    <row r="154" ht="22" customHeight="1" outlineLevel="1" spans="2:12">
      <c r="B154" s="10" t="s">
        <v>100</v>
      </c>
      <c r="C154" s="9" t="s">
        <v>248</v>
      </c>
      <c r="D154" s="10" t="s">
        <v>236</v>
      </c>
      <c r="E154" s="10" t="s">
        <v>249</v>
      </c>
      <c r="F154" s="16">
        <v>5</v>
      </c>
      <c r="G154" s="16">
        <v>0</v>
      </c>
      <c r="H154" s="16">
        <f>F154+G154</f>
        <v>5</v>
      </c>
      <c r="I154" s="16">
        <v>7343.41</v>
      </c>
      <c r="J154" s="16">
        <f>H154*I154</f>
        <v>36717.05</v>
      </c>
      <c r="K154" s="16"/>
      <c r="L154" s="9" t="s">
        <v>35</v>
      </c>
    </row>
    <row r="155" ht="22" customHeight="1" outlineLevel="1" spans="2:12">
      <c r="B155" s="8" t="s">
        <v>100</v>
      </c>
      <c r="C155" s="7" t="s">
        <v>250</v>
      </c>
      <c r="D155" s="8" t="s">
        <v>236</v>
      </c>
      <c r="E155" s="8" t="s">
        <v>249</v>
      </c>
      <c r="F155" s="15">
        <v>11</v>
      </c>
      <c r="G155" s="15">
        <v>0</v>
      </c>
      <c r="H155" s="15">
        <f>F155+G155</f>
        <v>11</v>
      </c>
      <c r="I155" s="15">
        <v>7343.41</v>
      </c>
      <c r="J155" s="15">
        <f>H155*I155</f>
        <v>80777.51</v>
      </c>
      <c r="K155" s="15"/>
      <c r="L155" s="7" t="s">
        <v>35</v>
      </c>
    </row>
    <row r="156" ht="22" customHeight="1" outlineLevel="1" spans="2:12">
      <c r="B156" s="10" t="s">
        <v>100</v>
      </c>
      <c r="C156" s="9" t="s">
        <v>251</v>
      </c>
      <c r="D156" s="10" t="s">
        <v>252</v>
      </c>
      <c r="E156" s="10" t="s">
        <v>249</v>
      </c>
      <c r="F156" s="16">
        <v>9</v>
      </c>
      <c r="G156" s="16">
        <v>0</v>
      </c>
      <c r="H156" s="16">
        <f>F156+G156</f>
        <v>9</v>
      </c>
      <c r="I156" s="16">
        <v>5193</v>
      </c>
      <c r="J156" s="16">
        <f>H156*I156</f>
        <v>46737</v>
      </c>
      <c r="K156" s="16"/>
      <c r="L156" s="9" t="s">
        <v>35</v>
      </c>
    </row>
    <row r="157" ht="22" customHeight="1" outlineLevel="1" spans="2:12">
      <c r="B157" s="8" t="s">
        <v>100</v>
      </c>
      <c r="C157" s="7" t="s">
        <v>253</v>
      </c>
      <c r="D157" s="8" t="s">
        <v>116</v>
      </c>
      <c r="E157" s="8" t="s">
        <v>249</v>
      </c>
      <c r="F157" s="15">
        <v>25</v>
      </c>
      <c r="G157" s="15">
        <v>0</v>
      </c>
      <c r="H157" s="15">
        <f>F157+G157</f>
        <v>25</v>
      </c>
      <c r="I157" s="15">
        <v>6500</v>
      </c>
      <c r="J157" s="15">
        <f>H157*I157</f>
        <v>162500</v>
      </c>
      <c r="K157" s="15"/>
      <c r="L157" s="7" t="s">
        <v>35</v>
      </c>
    </row>
    <row r="158" ht="22" customHeight="1" spans="2:12">
      <c r="B158" s="11" t="s">
        <v>49</v>
      </c>
      <c r="C158" s="12"/>
      <c r="D158" s="12">
        <f>COUNTA(C154:C157)</f>
        <v>4</v>
      </c>
      <c r="E158" s="12"/>
      <c r="F158" s="12"/>
      <c r="G158" s="12"/>
      <c r="H158" s="17">
        <f>SUM(H154:H157)</f>
        <v>50</v>
      </c>
      <c r="I158" s="12"/>
      <c r="J158" s="17">
        <f>SUM(J154:J157)</f>
        <v>326731.56</v>
      </c>
      <c r="K158" s="12"/>
      <c r="L158" s="12"/>
    </row>
    <row r="159" ht="22" customHeight="1" spans="2:2">
      <c r="B159" s="13" t="s">
        <v>12</v>
      </c>
    </row>
    <row r="160" ht="22" customHeight="1" outlineLevel="1" spans="2:12">
      <c r="B160" s="10" t="s">
        <v>100</v>
      </c>
      <c r="C160" s="9" t="s">
        <v>254</v>
      </c>
      <c r="D160" s="10" t="s">
        <v>255</v>
      </c>
      <c r="E160" s="10" t="s">
        <v>256</v>
      </c>
      <c r="F160" s="16">
        <v>1</v>
      </c>
      <c r="G160" s="16">
        <v>0</v>
      </c>
      <c r="H160" s="16">
        <f>F160+G160</f>
        <v>1</v>
      </c>
      <c r="I160" s="16">
        <v>27500</v>
      </c>
      <c r="J160" s="16">
        <f>H160*I160</f>
        <v>27500</v>
      </c>
      <c r="K160" s="16"/>
      <c r="L160" s="9" t="s">
        <v>35</v>
      </c>
    </row>
    <row r="161" ht="22" customHeight="1" outlineLevel="1" spans="2:12">
      <c r="B161" s="8" t="s">
        <v>100</v>
      </c>
      <c r="C161" s="7" t="s">
        <v>257</v>
      </c>
      <c r="D161" s="8" t="s">
        <v>255</v>
      </c>
      <c r="E161" s="8" t="s">
        <v>256</v>
      </c>
      <c r="F161" s="15">
        <v>1</v>
      </c>
      <c r="G161" s="15">
        <v>0</v>
      </c>
      <c r="H161" s="15">
        <f>F161+G161</f>
        <v>1</v>
      </c>
      <c r="I161" s="15">
        <v>27500</v>
      </c>
      <c r="J161" s="15">
        <f>H161*I161</f>
        <v>27500</v>
      </c>
      <c r="K161" s="15"/>
      <c r="L161" s="7" t="s">
        <v>35</v>
      </c>
    </row>
    <row r="162" ht="22" customHeight="1" outlineLevel="1" spans="2:12">
      <c r="B162" s="10" t="s">
        <v>100</v>
      </c>
      <c r="C162" s="9" t="s">
        <v>258</v>
      </c>
      <c r="D162" s="10" t="s">
        <v>259</v>
      </c>
      <c r="E162" s="10" t="s">
        <v>256</v>
      </c>
      <c r="F162" s="16">
        <v>1</v>
      </c>
      <c r="G162" s="16">
        <v>0</v>
      </c>
      <c r="H162" s="16">
        <f>F162+G162</f>
        <v>1</v>
      </c>
      <c r="I162" s="16">
        <v>28000</v>
      </c>
      <c r="J162" s="16">
        <f>H162*I162</f>
        <v>28000</v>
      </c>
      <c r="K162" s="16"/>
      <c r="L162" s="9" t="s">
        <v>35</v>
      </c>
    </row>
    <row r="163" ht="22" customHeight="1" outlineLevel="1" spans="2:12">
      <c r="B163" s="8" t="s">
        <v>100</v>
      </c>
      <c r="C163" s="7" t="s">
        <v>260</v>
      </c>
      <c r="D163" s="8" t="s">
        <v>116</v>
      </c>
      <c r="E163" s="8" t="s">
        <v>256</v>
      </c>
      <c r="F163" s="15">
        <v>4</v>
      </c>
      <c r="G163" s="15">
        <v>0</v>
      </c>
      <c r="H163" s="15">
        <f>F163+G163</f>
        <v>4</v>
      </c>
      <c r="I163" s="15">
        <v>16200</v>
      </c>
      <c r="J163" s="15">
        <f>H163*I163</f>
        <v>64800</v>
      </c>
      <c r="K163" s="15"/>
      <c r="L163" s="7" t="s">
        <v>35</v>
      </c>
    </row>
    <row r="164" ht="22" customHeight="1" spans="2:12">
      <c r="B164" s="11" t="s">
        <v>49</v>
      </c>
      <c r="C164" s="12"/>
      <c r="D164" s="12">
        <f>COUNTA(C160:C163)</f>
        <v>4</v>
      </c>
      <c r="E164" s="12"/>
      <c r="F164" s="12"/>
      <c r="G164" s="12"/>
      <c r="H164" s="17">
        <f>SUM(H160:H163)</f>
        <v>7</v>
      </c>
      <c r="I164" s="12"/>
      <c r="J164" s="17">
        <f>SUM(J160:J163)</f>
        <v>147800</v>
      </c>
      <c r="K164" s="12"/>
      <c r="L164" s="12"/>
    </row>
    <row r="165" ht="22" customHeight="1" spans="2:2">
      <c r="B165" s="13" t="s">
        <v>13</v>
      </c>
    </row>
    <row r="166" ht="22" customHeight="1" outlineLevel="1" spans="2:12">
      <c r="B166" s="10" t="s">
        <v>100</v>
      </c>
      <c r="C166" s="9" t="s">
        <v>261</v>
      </c>
      <c r="D166" s="10" t="s">
        <v>262</v>
      </c>
      <c r="E166" s="10" t="s">
        <v>263</v>
      </c>
      <c r="F166" s="16">
        <v>2</v>
      </c>
      <c r="G166" s="16">
        <v>0</v>
      </c>
      <c r="H166" s="16">
        <f>F166+G166</f>
        <v>2</v>
      </c>
      <c r="I166" s="16">
        <v>2261</v>
      </c>
      <c r="J166" s="16">
        <f>H166*I166</f>
        <v>4522</v>
      </c>
      <c r="K166" s="16"/>
      <c r="L166" s="9" t="s">
        <v>35</v>
      </c>
    </row>
    <row r="167" ht="22" customHeight="1" outlineLevel="1" spans="2:12">
      <c r="B167" s="8" t="s">
        <v>100</v>
      </c>
      <c r="C167" s="7" t="s">
        <v>264</v>
      </c>
      <c r="D167" s="8" t="s">
        <v>262</v>
      </c>
      <c r="E167" s="8" t="s">
        <v>263</v>
      </c>
      <c r="F167" s="15">
        <v>5</v>
      </c>
      <c r="G167" s="15">
        <v>0</v>
      </c>
      <c r="H167" s="15">
        <f>F167+G167</f>
        <v>5</v>
      </c>
      <c r="I167" s="15">
        <v>2300</v>
      </c>
      <c r="J167" s="15">
        <f>H167*I167</f>
        <v>11500</v>
      </c>
      <c r="K167" s="15"/>
      <c r="L167" s="7" t="s">
        <v>35</v>
      </c>
    </row>
    <row r="168" ht="22" customHeight="1" outlineLevel="1" spans="2:12">
      <c r="B168" s="10" t="s">
        <v>100</v>
      </c>
      <c r="C168" s="9" t="s">
        <v>265</v>
      </c>
      <c r="D168" s="10" t="s">
        <v>262</v>
      </c>
      <c r="E168" s="10" t="s">
        <v>263</v>
      </c>
      <c r="F168" s="16">
        <v>63</v>
      </c>
      <c r="G168" s="16">
        <v>0</v>
      </c>
      <c r="H168" s="16">
        <f>F168+G168</f>
        <v>63</v>
      </c>
      <c r="I168" s="16">
        <v>2300</v>
      </c>
      <c r="J168" s="16">
        <f>H168*I168</f>
        <v>144900</v>
      </c>
      <c r="K168" s="16"/>
      <c r="L168" s="9" t="s">
        <v>35</v>
      </c>
    </row>
    <row r="169" ht="22" customHeight="1" outlineLevel="1" spans="2:12">
      <c r="B169" s="8" t="s">
        <v>100</v>
      </c>
      <c r="C169" s="7" t="s">
        <v>266</v>
      </c>
      <c r="D169" s="8" t="s">
        <v>262</v>
      </c>
      <c r="E169" s="8" t="s">
        <v>263</v>
      </c>
      <c r="F169" s="15">
        <v>10</v>
      </c>
      <c r="G169" s="15">
        <v>0</v>
      </c>
      <c r="H169" s="15">
        <f>F169+G169</f>
        <v>10</v>
      </c>
      <c r="I169" s="15">
        <v>1702</v>
      </c>
      <c r="J169" s="15">
        <f>H169*I169</f>
        <v>17020</v>
      </c>
      <c r="K169" s="15"/>
      <c r="L169" s="7" t="s">
        <v>35</v>
      </c>
    </row>
    <row r="170" ht="22" customHeight="1" outlineLevel="1" spans="2:12">
      <c r="B170" s="10" t="s">
        <v>100</v>
      </c>
      <c r="C170" s="9" t="s">
        <v>267</v>
      </c>
      <c r="D170" s="10" t="s">
        <v>262</v>
      </c>
      <c r="E170" s="10" t="s">
        <v>263</v>
      </c>
      <c r="F170" s="16">
        <v>57</v>
      </c>
      <c r="G170" s="16">
        <v>0</v>
      </c>
      <c r="H170" s="16">
        <f>F170+G170</f>
        <v>57</v>
      </c>
      <c r="I170" s="16">
        <v>2261.4</v>
      </c>
      <c r="J170" s="16">
        <f>H170*I170</f>
        <v>128899.8</v>
      </c>
      <c r="K170" s="16"/>
      <c r="L170" s="9" t="s">
        <v>35</v>
      </c>
    </row>
    <row r="171" ht="22" customHeight="1" spans="2:12">
      <c r="B171" s="11" t="s">
        <v>49</v>
      </c>
      <c r="C171" s="12"/>
      <c r="D171" s="12">
        <f>COUNTA(C166:C170)</f>
        <v>5</v>
      </c>
      <c r="E171" s="12"/>
      <c r="F171" s="12"/>
      <c r="G171" s="12"/>
      <c r="H171" s="17">
        <f>SUM(H166:H170)</f>
        <v>137</v>
      </c>
      <c r="I171" s="12"/>
      <c r="J171" s="17">
        <f>SUM(J166:J170)</f>
        <v>306841.8</v>
      </c>
      <c r="K171" s="12"/>
      <c r="L171" s="12"/>
    </row>
    <row r="172" ht="22" customHeight="1" spans="2:2">
      <c r="B172" s="13" t="s">
        <v>14</v>
      </c>
    </row>
    <row r="173" ht="22" customHeight="1" outlineLevel="1" spans="2:12">
      <c r="B173" s="8" t="s">
        <v>202</v>
      </c>
      <c r="C173" s="7" t="s">
        <v>268</v>
      </c>
      <c r="D173" s="8" t="s">
        <v>269</v>
      </c>
      <c r="E173" s="8" t="s">
        <v>270</v>
      </c>
      <c r="F173" s="15">
        <v>3</v>
      </c>
      <c r="G173" s="15">
        <v>0</v>
      </c>
      <c r="H173" s="15">
        <f t="shared" ref="H173:H194" si="8">F173+G173</f>
        <v>3</v>
      </c>
      <c r="I173" s="15">
        <v>155</v>
      </c>
      <c r="J173" s="15">
        <f t="shared" ref="J173:J194" si="9">H173*I173</f>
        <v>465</v>
      </c>
      <c r="K173" s="15"/>
      <c r="L173" s="7" t="s">
        <v>35</v>
      </c>
    </row>
    <row r="174" ht="22" customHeight="1" outlineLevel="1" spans="2:12">
      <c r="B174" s="10" t="s">
        <v>202</v>
      </c>
      <c r="C174" s="9" t="s">
        <v>271</v>
      </c>
      <c r="D174" s="10" t="s">
        <v>269</v>
      </c>
      <c r="E174" s="10" t="s">
        <v>270</v>
      </c>
      <c r="F174" s="16">
        <v>19</v>
      </c>
      <c r="G174" s="16">
        <v>0</v>
      </c>
      <c r="H174" s="16">
        <f t="shared" si="8"/>
        <v>19</v>
      </c>
      <c r="I174" s="16">
        <v>155</v>
      </c>
      <c r="J174" s="16">
        <f t="shared" si="9"/>
        <v>2945</v>
      </c>
      <c r="K174" s="16"/>
      <c r="L174" s="9" t="s">
        <v>35</v>
      </c>
    </row>
    <row r="175" ht="22" customHeight="1" outlineLevel="1" spans="2:12">
      <c r="B175" s="8" t="s">
        <v>202</v>
      </c>
      <c r="C175" s="7" t="s">
        <v>272</v>
      </c>
      <c r="D175" s="8" t="s">
        <v>252</v>
      </c>
      <c r="E175" s="8" t="s">
        <v>270</v>
      </c>
      <c r="F175" s="15">
        <v>8</v>
      </c>
      <c r="G175" s="15">
        <v>0</v>
      </c>
      <c r="H175" s="15">
        <f t="shared" si="8"/>
        <v>8</v>
      </c>
      <c r="I175" s="15">
        <v>300</v>
      </c>
      <c r="J175" s="15">
        <f t="shared" si="9"/>
        <v>2400</v>
      </c>
      <c r="K175" s="15"/>
      <c r="L175" s="7" t="s">
        <v>35</v>
      </c>
    </row>
    <row r="176" ht="22" customHeight="1" outlineLevel="1" spans="2:12">
      <c r="B176" s="10" t="s">
        <v>202</v>
      </c>
      <c r="C176" s="9" t="s">
        <v>273</v>
      </c>
      <c r="D176" s="10" t="s">
        <v>252</v>
      </c>
      <c r="E176" s="10" t="s">
        <v>270</v>
      </c>
      <c r="F176" s="16">
        <v>12</v>
      </c>
      <c r="G176" s="16">
        <v>0</v>
      </c>
      <c r="H176" s="16">
        <f t="shared" si="8"/>
        <v>12</v>
      </c>
      <c r="I176" s="16">
        <v>300</v>
      </c>
      <c r="J176" s="16">
        <f t="shared" si="9"/>
        <v>3600</v>
      </c>
      <c r="K176" s="16"/>
      <c r="L176" s="9" t="s">
        <v>35</v>
      </c>
    </row>
    <row r="177" ht="22" customHeight="1" outlineLevel="1" spans="2:12">
      <c r="B177" s="8" t="s">
        <v>274</v>
      </c>
      <c r="C177" s="7" t="s">
        <v>275</v>
      </c>
      <c r="D177" s="8" t="s">
        <v>269</v>
      </c>
      <c r="E177" s="8" t="s">
        <v>270</v>
      </c>
      <c r="F177" s="15">
        <v>1</v>
      </c>
      <c r="G177" s="15">
        <v>0</v>
      </c>
      <c r="H177" s="15">
        <f t="shared" si="8"/>
        <v>1</v>
      </c>
      <c r="I177" s="15">
        <v>500</v>
      </c>
      <c r="J177" s="15">
        <f t="shared" si="9"/>
        <v>500</v>
      </c>
      <c r="K177" s="15"/>
      <c r="L177" s="7" t="s">
        <v>35</v>
      </c>
    </row>
    <row r="178" ht="22" customHeight="1" outlineLevel="1" spans="2:12">
      <c r="B178" s="10" t="s">
        <v>274</v>
      </c>
      <c r="C178" s="9" t="s">
        <v>276</v>
      </c>
      <c r="D178" s="10" t="s">
        <v>236</v>
      </c>
      <c r="E178" s="10" t="s">
        <v>270</v>
      </c>
      <c r="F178" s="16">
        <v>2</v>
      </c>
      <c r="G178" s="16">
        <v>0</v>
      </c>
      <c r="H178" s="16">
        <f t="shared" si="8"/>
        <v>2</v>
      </c>
      <c r="I178" s="16">
        <v>1944</v>
      </c>
      <c r="J178" s="16">
        <f t="shared" si="9"/>
        <v>3888</v>
      </c>
      <c r="K178" s="16"/>
      <c r="L178" s="9" t="s">
        <v>35</v>
      </c>
    </row>
    <row r="179" ht="22" customHeight="1" outlineLevel="1" spans="2:12">
      <c r="B179" s="8" t="s">
        <v>274</v>
      </c>
      <c r="C179" s="7" t="s">
        <v>277</v>
      </c>
      <c r="D179" s="8" t="s">
        <v>252</v>
      </c>
      <c r="E179" s="8" t="s">
        <v>270</v>
      </c>
      <c r="F179" s="15">
        <v>2</v>
      </c>
      <c r="G179" s="15">
        <v>0</v>
      </c>
      <c r="H179" s="15">
        <f t="shared" si="8"/>
        <v>2</v>
      </c>
      <c r="I179" s="15">
        <v>905</v>
      </c>
      <c r="J179" s="15">
        <f t="shared" si="9"/>
        <v>1810</v>
      </c>
      <c r="K179" s="15"/>
      <c r="L179" s="7" t="s">
        <v>35</v>
      </c>
    </row>
    <row r="180" ht="22" customHeight="1" outlineLevel="1" spans="2:12">
      <c r="B180" s="10" t="s">
        <v>234</v>
      </c>
      <c r="C180" s="9" t="s">
        <v>278</v>
      </c>
      <c r="D180" s="10" t="s">
        <v>269</v>
      </c>
      <c r="E180" s="10" t="s">
        <v>270</v>
      </c>
      <c r="F180" s="16">
        <v>5</v>
      </c>
      <c r="G180" s="16">
        <v>0</v>
      </c>
      <c r="H180" s="16">
        <f t="shared" si="8"/>
        <v>5</v>
      </c>
      <c r="I180" s="16">
        <v>3940</v>
      </c>
      <c r="J180" s="16">
        <f t="shared" si="9"/>
        <v>19700</v>
      </c>
      <c r="K180" s="16"/>
      <c r="L180" s="9" t="s">
        <v>35</v>
      </c>
    </row>
    <row r="181" ht="22" customHeight="1" outlineLevel="1" spans="2:12">
      <c r="B181" s="8" t="s">
        <v>279</v>
      </c>
      <c r="C181" s="7" t="s">
        <v>280</v>
      </c>
      <c r="D181" s="8" t="s">
        <v>269</v>
      </c>
      <c r="E181" s="8" t="s">
        <v>270</v>
      </c>
      <c r="F181" s="15">
        <v>11</v>
      </c>
      <c r="G181" s="15">
        <v>0</v>
      </c>
      <c r="H181" s="15">
        <f t="shared" si="8"/>
        <v>11</v>
      </c>
      <c r="I181" s="15">
        <v>71</v>
      </c>
      <c r="J181" s="15">
        <f t="shared" si="9"/>
        <v>781</v>
      </c>
      <c r="K181" s="15"/>
      <c r="L181" s="7" t="s">
        <v>35</v>
      </c>
    </row>
    <row r="182" ht="22" customHeight="1" outlineLevel="1" spans="2:12">
      <c r="B182" s="10" t="s">
        <v>234</v>
      </c>
      <c r="C182" s="9" t="s">
        <v>281</v>
      </c>
      <c r="D182" s="10" t="s">
        <v>282</v>
      </c>
      <c r="E182" s="10" t="s">
        <v>270</v>
      </c>
      <c r="F182" s="16">
        <v>2</v>
      </c>
      <c r="G182" s="16">
        <v>0</v>
      </c>
      <c r="H182" s="16">
        <f t="shared" si="8"/>
        <v>2</v>
      </c>
      <c r="I182" s="16">
        <v>3637.5</v>
      </c>
      <c r="J182" s="16">
        <f t="shared" si="9"/>
        <v>7275</v>
      </c>
      <c r="K182" s="16"/>
      <c r="L182" s="9" t="s">
        <v>35</v>
      </c>
    </row>
    <row r="183" ht="22" customHeight="1" outlineLevel="1" spans="2:12">
      <c r="B183" s="8" t="s">
        <v>283</v>
      </c>
      <c r="C183" s="7" t="s">
        <v>284</v>
      </c>
      <c r="D183" s="8" t="s">
        <v>236</v>
      </c>
      <c r="E183" s="8" t="s">
        <v>270</v>
      </c>
      <c r="F183" s="15">
        <v>24</v>
      </c>
      <c r="G183" s="15">
        <v>0</v>
      </c>
      <c r="H183" s="15">
        <f t="shared" si="8"/>
        <v>24</v>
      </c>
      <c r="I183" s="15">
        <v>1882</v>
      </c>
      <c r="J183" s="15">
        <f t="shared" si="9"/>
        <v>45168</v>
      </c>
      <c r="K183" s="15"/>
      <c r="L183" s="7" t="s">
        <v>35</v>
      </c>
    </row>
    <row r="184" ht="22" customHeight="1" outlineLevel="1" spans="2:12">
      <c r="B184" s="10" t="s">
        <v>283</v>
      </c>
      <c r="C184" s="9" t="s">
        <v>285</v>
      </c>
      <c r="D184" s="10" t="s">
        <v>236</v>
      </c>
      <c r="E184" s="10" t="s">
        <v>270</v>
      </c>
      <c r="F184" s="16">
        <v>24</v>
      </c>
      <c r="G184" s="16">
        <v>0</v>
      </c>
      <c r="H184" s="16">
        <f t="shared" si="8"/>
        <v>24</v>
      </c>
      <c r="I184" s="16">
        <v>80</v>
      </c>
      <c r="J184" s="16">
        <f t="shared" si="9"/>
        <v>1920</v>
      </c>
      <c r="K184" s="16"/>
      <c r="L184" s="9" t="s">
        <v>35</v>
      </c>
    </row>
    <row r="185" ht="22" customHeight="1" outlineLevel="1" spans="2:12">
      <c r="B185" s="8" t="s">
        <v>283</v>
      </c>
      <c r="C185" s="7" t="s">
        <v>286</v>
      </c>
      <c r="D185" s="8" t="s">
        <v>236</v>
      </c>
      <c r="E185" s="8" t="s">
        <v>270</v>
      </c>
      <c r="F185" s="15">
        <v>24</v>
      </c>
      <c r="G185" s="15">
        <v>0</v>
      </c>
      <c r="H185" s="15">
        <f t="shared" si="8"/>
        <v>24</v>
      </c>
      <c r="I185" s="15">
        <v>120</v>
      </c>
      <c r="J185" s="15">
        <f t="shared" si="9"/>
        <v>2880</v>
      </c>
      <c r="K185" s="15"/>
      <c r="L185" s="7" t="s">
        <v>35</v>
      </c>
    </row>
    <row r="186" ht="22" customHeight="1" outlineLevel="1" spans="2:12">
      <c r="B186" s="10" t="s">
        <v>283</v>
      </c>
      <c r="C186" s="9" t="s">
        <v>287</v>
      </c>
      <c r="D186" s="10" t="s">
        <v>236</v>
      </c>
      <c r="E186" s="10" t="s">
        <v>270</v>
      </c>
      <c r="F186" s="16">
        <v>24</v>
      </c>
      <c r="G186" s="16">
        <v>0</v>
      </c>
      <c r="H186" s="16">
        <f t="shared" si="8"/>
        <v>24</v>
      </c>
      <c r="I186" s="16">
        <v>267</v>
      </c>
      <c r="J186" s="16">
        <f t="shared" si="9"/>
        <v>6408</v>
      </c>
      <c r="K186" s="16"/>
      <c r="L186" s="9" t="s">
        <v>35</v>
      </c>
    </row>
    <row r="187" ht="22" customHeight="1" outlineLevel="1" spans="2:12">
      <c r="B187" s="8" t="s">
        <v>283</v>
      </c>
      <c r="C187" s="7" t="s">
        <v>288</v>
      </c>
      <c r="D187" s="8" t="s">
        <v>236</v>
      </c>
      <c r="E187" s="8" t="s">
        <v>270</v>
      </c>
      <c r="F187" s="15">
        <v>24</v>
      </c>
      <c r="G187" s="15">
        <v>0</v>
      </c>
      <c r="H187" s="15">
        <f t="shared" si="8"/>
        <v>24</v>
      </c>
      <c r="I187" s="15">
        <v>882</v>
      </c>
      <c r="J187" s="15">
        <f t="shared" si="9"/>
        <v>21168</v>
      </c>
      <c r="K187" s="15"/>
      <c r="L187" s="7" t="s">
        <v>35</v>
      </c>
    </row>
    <row r="188" ht="22" customHeight="1" outlineLevel="1" spans="2:12">
      <c r="B188" s="10" t="s">
        <v>234</v>
      </c>
      <c r="C188" s="9" t="s">
        <v>289</v>
      </c>
      <c r="D188" s="10" t="s">
        <v>236</v>
      </c>
      <c r="E188" s="10" t="s">
        <v>270</v>
      </c>
      <c r="F188" s="16">
        <v>18</v>
      </c>
      <c r="G188" s="16">
        <v>0</v>
      </c>
      <c r="H188" s="16">
        <f t="shared" si="8"/>
        <v>18</v>
      </c>
      <c r="I188" s="16">
        <v>10356</v>
      </c>
      <c r="J188" s="16">
        <f t="shared" si="9"/>
        <v>186408</v>
      </c>
      <c r="K188" s="16"/>
      <c r="L188" s="9" t="s">
        <v>35</v>
      </c>
    </row>
    <row r="189" ht="22" customHeight="1" outlineLevel="1" spans="2:12">
      <c r="B189" s="8" t="s">
        <v>279</v>
      </c>
      <c r="C189" s="7" t="s">
        <v>290</v>
      </c>
      <c r="D189" s="8" t="s">
        <v>236</v>
      </c>
      <c r="E189" s="8" t="s">
        <v>270</v>
      </c>
      <c r="F189" s="15">
        <v>2</v>
      </c>
      <c r="G189" s="15">
        <v>0</v>
      </c>
      <c r="H189" s="15">
        <f t="shared" si="8"/>
        <v>2</v>
      </c>
      <c r="I189" s="15">
        <v>200</v>
      </c>
      <c r="J189" s="15">
        <f t="shared" si="9"/>
        <v>400</v>
      </c>
      <c r="K189" s="15"/>
      <c r="L189" s="7" t="s">
        <v>35</v>
      </c>
    </row>
    <row r="190" ht="22" customHeight="1" outlineLevel="1" spans="2:12">
      <c r="B190" s="10" t="s">
        <v>283</v>
      </c>
      <c r="C190" s="9" t="s">
        <v>291</v>
      </c>
      <c r="D190" s="10" t="s">
        <v>292</v>
      </c>
      <c r="E190" s="10" t="s">
        <v>270</v>
      </c>
      <c r="F190" s="16">
        <v>1</v>
      </c>
      <c r="G190" s="16">
        <v>0</v>
      </c>
      <c r="H190" s="16">
        <f t="shared" si="8"/>
        <v>1</v>
      </c>
      <c r="I190" s="16">
        <v>3000</v>
      </c>
      <c r="J190" s="16">
        <f t="shared" si="9"/>
        <v>3000</v>
      </c>
      <c r="K190" s="16"/>
      <c r="L190" s="9" t="s">
        <v>35</v>
      </c>
    </row>
    <row r="191" ht="22" customHeight="1" outlineLevel="1" spans="2:12">
      <c r="B191" s="8" t="s">
        <v>279</v>
      </c>
      <c r="C191" s="7" t="s">
        <v>293</v>
      </c>
      <c r="D191" s="8" t="s">
        <v>292</v>
      </c>
      <c r="E191" s="8" t="s">
        <v>270</v>
      </c>
      <c r="F191" s="15">
        <v>1</v>
      </c>
      <c r="G191" s="15">
        <v>0</v>
      </c>
      <c r="H191" s="15">
        <f t="shared" si="8"/>
        <v>1</v>
      </c>
      <c r="I191" s="15">
        <v>300</v>
      </c>
      <c r="J191" s="15">
        <f t="shared" si="9"/>
        <v>300</v>
      </c>
      <c r="K191" s="15"/>
      <c r="L191" s="7" t="s">
        <v>35</v>
      </c>
    </row>
    <row r="192" ht="22" customHeight="1" outlineLevel="1" spans="2:12">
      <c r="B192" s="10" t="s">
        <v>283</v>
      </c>
      <c r="C192" s="9" t="s">
        <v>294</v>
      </c>
      <c r="D192" s="10" t="s">
        <v>252</v>
      </c>
      <c r="E192" s="10" t="s">
        <v>270</v>
      </c>
      <c r="F192" s="16">
        <v>15</v>
      </c>
      <c r="G192" s="16">
        <v>0</v>
      </c>
      <c r="H192" s="16">
        <f t="shared" si="8"/>
        <v>15</v>
      </c>
      <c r="I192" s="16">
        <v>1150</v>
      </c>
      <c r="J192" s="16">
        <f t="shared" si="9"/>
        <v>17250</v>
      </c>
      <c r="K192" s="16"/>
      <c r="L192" s="9" t="s">
        <v>35</v>
      </c>
    </row>
    <row r="193" ht="22" customHeight="1" outlineLevel="1" spans="2:12">
      <c r="B193" s="8" t="s">
        <v>234</v>
      </c>
      <c r="C193" s="7" t="s">
        <v>295</v>
      </c>
      <c r="D193" s="8" t="s">
        <v>252</v>
      </c>
      <c r="E193" s="8" t="s">
        <v>270</v>
      </c>
      <c r="F193" s="15">
        <v>38</v>
      </c>
      <c r="G193" s="15">
        <v>0</v>
      </c>
      <c r="H193" s="15">
        <f t="shared" si="8"/>
        <v>38</v>
      </c>
      <c r="I193" s="15">
        <v>5833</v>
      </c>
      <c r="J193" s="15">
        <f t="shared" si="9"/>
        <v>221654</v>
      </c>
      <c r="K193" s="15"/>
      <c r="L193" s="7" t="s">
        <v>35</v>
      </c>
    </row>
    <row r="194" ht="22" customHeight="1" outlineLevel="1" spans="2:12">
      <c r="B194" s="10" t="s">
        <v>279</v>
      </c>
      <c r="C194" s="9" t="s">
        <v>296</v>
      </c>
      <c r="D194" s="10" t="s">
        <v>252</v>
      </c>
      <c r="E194" s="10" t="s">
        <v>270</v>
      </c>
      <c r="F194" s="16">
        <v>108</v>
      </c>
      <c r="G194" s="16">
        <v>0</v>
      </c>
      <c r="H194" s="16">
        <f t="shared" si="8"/>
        <v>108</v>
      </c>
      <c r="I194" s="16">
        <v>130</v>
      </c>
      <c r="J194" s="16">
        <f t="shared" si="9"/>
        <v>14040</v>
      </c>
      <c r="K194" s="16"/>
      <c r="L194" s="9" t="s">
        <v>35</v>
      </c>
    </row>
    <row r="195" ht="22" customHeight="1" spans="2:12">
      <c r="B195" s="11" t="s">
        <v>49</v>
      </c>
      <c r="C195" s="12"/>
      <c r="D195" s="12">
        <f>COUNTA(C173:C194)</f>
        <v>22</v>
      </c>
      <c r="E195" s="12"/>
      <c r="F195" s="12"/>
      <c r="G195" s="12"/>
      <c r="H195" s="17">
        <f>SUM(H173:H194)</f>
        <v>368</v>
      </c>
      <c r="I195" s="12"/>
      <c r="J195" s="17">
        <f>SUM(J173:J194)</f>
        <v>563960</v>
      </c>
      <c r="K195" s="12"/>
      <c r="L195" s="12"/>
    </row>
    <row r="196" ht="22" customHeight="1" spans="2:2">
      <c r="B196" s="13" t="s">
        <v>15</v>
      </c>
    </row>
    <row r="197" ht="22" customHeight="1" outlineLevel="1" spans="2:12">
      <c r="B197" s="8" t="s">
        <v>141</v>
      </c>
      <c r="C197" s="7" t="s">
        <v>297</v>
      </c>
      <c r="D197" s="8" t="s">
        <v>104</v>
      </c>
      <c r="E197" s="8" t="s">
        <v>298</v>
      </c>
      <c r="F197" s="15">
        <v>9</v>
      </c>
      <c r="G197" s="15">
        <v>0</v>
      </c>
      <c r="H197" s="15">
        <f>F197+G197</f>
        <v>9</v>
      </c>
      <c r="I197" s="15">
        <v>1804</v>
      </c>
      <c r="J197" s="15">
        <f>H197*I197</f>
        <v>16236</v>
      </c>
      <c r="K197" s="15"/>
      <c r="L197" s="7" t="s">
        <v>35</v>
      </c>
    </row>
    <row r="198" ht="22" customHeight="1" outlineLevel="1" spans="2:12">
      <c r="B198" s="10" t="s">
        <v>141</v>
      </c>
      <c r="C198" s="9" t="s">
        <v>299</v>
      </c>
      <c r="D198" s="10" t="s">
        <v>104</v>
      </c>
      <c r="E198" s="10" t="s">
        <v>298</v>
      </c>
      <c r="F198" s="16">
        <v>10</v>
      </c>
      <c r="G198" s="16">
        <v>0</v>
      </c>
      <c r="H198" s="16">
        <f>F198+G198</f>
        <v>10</v>
      </c>
      <c r="I198" s="16">
        <v>1804</v>
      </c>
      <c r="J198" s="16">
        <f>H198*I198</f>
        <v>18040</v>
      </c>
      <c r="K198" s="16"/>
      <c r="L198" s="9" t="s">
        <v>35</v>
      </c>
    </row>
    <row r="199" ht="22" customHeight="1" outlineLevel="1" spans="2:12">
      <c r="B199" s="8" t="s">
        <v>141</v>
      </c>
      <c r="C199" s="7" t="s">
        <v>300</v>
      </c>
      <c r="D199" s="8" t="s">
        <v>104</v>
      </c>
      <c r="E199" s="8" t="s">
        <v>298</v>
      </c>
      <c r="F199" s="15">
        <v>1</v>
      </c>
      <c r="G199" s="15">
        <v>0</v>
      </c>
      <c r="H199" s="15">
        <f>F199+G199</f>
        <v>1</v>
      </c>
      <c r="I199" s="15">
        <v>1900</v>
      </c>
      <c r="J199" s="15">
        <f>H199*I199</f>
        <v>1900</v>
      </c>
      <c r="K199" s="15"/>
      <c r="L199" s="7" t="s">
        <v>35</v>
      </c>
    </row>
    <row r="200" ht="22" customHeight="1" spans="2:12">
      <c r="B200" s="11" t="s">
        <v>49</v>
      </c>
      <c r="C200" s="12"/>
      <c r="D200" s="12">
        <f>COUNTA(C197:C199)</f>
        <v>3</v>
      </c>
      <c r="E200" s="12"/>
      <c r="F200" s="12"/>
      <c r="G200" s="12"/>
      <c r="H200" s="17">
        <f>SUM(H197:H199)</f>
        <v>20</v>
      </c>
      <c r="I200" s="12"/>
      <c r="J200" s="17">
        <f>SUM(J197:J199)</f>
        <v>36176</v>
      </c>
      <c r="K200" s="12"/>
      <c r="L200" s="12"/>
    </row>
    <row r="201" ht="22" customHeight="1" spans="2:2">
      <c r="B201" s="13" t="s">
        <v>16</v>
      </c>
    </row>
    <row r="202" ht="22" customHeight="1" outlineLevel="1" spans="2:12">
      <c r="B202" s="10" t="s">
        <v>301</v>
      </c>
      <c r="C202" s="9" t="s">
        <v>302</v>
      </c>
      <c r="D202" s="10" t="s">
        <v>303</v>
      </c>
      <c r="E202" s="10" t="s">
        <v>304</v>
      </c>
      <c r="F202" s="16">
        <v>20</v>
      </c>
      <c r="G202" s="16">
        <v>0</v>
      </c>
      <c r="H202" s="16">
        <f t="shared" ref="H202:H265" si="10">F202+G202</f>
        <v>20</v>
      </c>
      <c r="I202" s="16">
        <v>10</v>
      </c>
      <c r="J202" s="16">
        <f t="shared" ref="J202:J265" si="11">H202*I202</f>
        <v>200</v>
      </c>
      <c r="K202" s="16"/>
      <c r="L202" s="9" t="s">
        <v>35</v>
      </c>
    </row>
    <row r="203" ht="22" customHeight="1" outlineLevel="1" spans="2:12">
      <c r="B203" s="8" t="s">
        <v>301</v>
      </c>
      <c r="C203" s="7" t="s">
        <v>305</v>
      </c>
      <c r="D203" s="8" t="s">
        <v>303</v>
      </c>
      <c r="E203" s="8" t="s">
        <v>304</v>
      </c>
      <c r="F203" s="15">
        <v>6</v>
      </c>
      <c r="G203" s="15">
        <v>0</v>
      </c>
      <c r="H203" s="15">
        <f t="shared" si="10"/>
        <v>6</v>
      </c>
      <c r="I203" s="15">
        <v>10</v>
      </c>
      <c r="J203" s="15">
        <f t="shared" si="11"/>
        <v>60</v>
      </c>
      <c r="K203" s="15"/>
      <c r="L203" s="7" t="s">
        <v>35</v>
      </c>
    </row>
    <row r="204" ht="22" customHeight="1" outlineLevel="1" spans="2:12">
      <c r="B204" s="10" t="s">
        <v>301</v>
      </c>
      <c r="C204" s="9" t="s">
        <v>306</v>
      </c>
      <c r="D204" s="10" t="s">
        <v>303</v>
      </c>
      <c r="E204" s="10" t="s">
        <v>304</v>
      </c>
      <c r="F204" s="16">
        <v>174</v>
      </c>
      <c r="G204" s="16">
        <v>0</v>
      </c>
      <c r="H204" s="16">
        <f t="shared" si="10"/>
        <v>174</v>
      </c>
      <c r="I204" s="16">
        <v>10</v>
      </c>
      <c r="J204" s="16">
        <f t="shared" si="11"/>
        <v>1740</v>
      </c>
      <c r="K204" s="16"/>
      <c r="L204" s="9" t="s">
        <v>35</v>
      </c>
    </row>
    <row r="205" ht="22" customHeight="1" outlineLevel="1" spans="2:12">
      <c r="B205" s="8" t="s">
        <v>301</v>
      </c>
      <c r="C205" s="7" t="s">
        <v>307</v>
      </c>
      <c r="D205" s="8" t="s">
        <v>303</v>
      </c>
      <c r="E205" s="8" t="s">
        <v>304</v>
      </c>
      <c r="F205" s="15">
        <v>8</v>
      </c>
      <c r="G205" s="15">
        <v>0</v>
      </c>
      <c r="H205" s="15">
        <f t="shared" si="10"/>
        <v>8</v>
      </c>
      <c r="I205" s="15">
        <v>10</v>
      </c>
      <c r="J205" s="15">
        <f t="shared" si="11"/>
        <v>80</v>
      </c>
      <c r="K205" s="15"/>
      <c r="L205" s="7" t="s">
        <v>35</v>
      </c>
    </row>
    <row r="206" ht="22" customHeight="1" outlineLevel="1" spans="2:12">
      <c r="B206" s="10" t="s">
        <v>301</v>
      </c>
      <c r="C206" s="9" t="s">
        <v>308</v>
      </c>
      <c r="D206" s="10" t="s">
        <v>303</v>
      </c>
      <c r="E206" s="10" t="s">
        <v>304</v>
      </c>
      <c r="F206" s="16">
        <v>14</v>
      </c>
      <c r="G206" s="16">
        <v>0</v>
      </c>
      <c r="H206" s="16">
        <f t="shared" si="10"/>
        <v>14</v>
      </c>
      <c r="I206" s="16">
        <v>10</v>
      </c>
      <c r="J206" s="16">
        <f t="shared" si="11"/>
        <v>140</v>
      </c>
      <c r="K206" s="16"/>
      <c r="L206" s="9" t="s">
        <v>35</v>
      </c>
    </row>
    <row r="207" ht="22" customHeight="1" outlineLevel="1" spans="2:12">
      <c r="B207" s="8" t="s">
        <v>309</v>
      </c>
      <c r="C207" s="7" t="s">
        <v>310</v>
      </c>
      <c r="D207" s="8" t="s">
        <v>311</v>
      </c>
      <c r="E207" s="8" t="s">
        <v>304</v>
      </c>
      <c r="F207" s="15">
        <v>10</v>
      </c>
      <c r="G207" s="15">
        <v>0</v>
      </c>
      <c r="H207" s="15">
        <f t="shared" si="10"/>
        <v>10</v>
      </c>
      <c r="I207" s="15">
        <v>150</v>
      </c>
      <c r="J207" s="15">
        <f t="shared" si="11"/>
        <v>1500</v>
      </c>
      <c r="K207" s="15"/>
      <c r="L207" s="7" t="s">
        <v>35</v>
      </c>
    </row>
    <row r="208" ht="22" customHeight="1" outlineLevel="1" spans="2:12">
      <c r="B208" s="10" t="s">
        <v>309</v>
      </c>
      <c r="C208" s="9" t="s">
        <v>312</v>
      </c>
      <c r="D208" s="10" t="s">
        <v>217</v>
      </c>
      <c r="E208" s="10" t="s">
        <v>304</v>
      </c>
      <c r="F208" s="16">
        <v>59</v>
      </c>
      <c r="G208" s="16">
        <v>0</v>
      </c>
      <c r="H208" s="16">
        <f t="shared" si="10"/>
        <v>59</v>
      </c>
      <c r="I208" s="16">
        <v>30</v>
      </c>
      <c r="J208" s="16">
        <f t="shared" si="11"/>
        <v>1770</v>
      </c>
      <c r="K208" s="16"/>
      <c r="L208" s="9" t="s">
        <v>35</v>
      </c>
    </row>
    <row r="209" ht="22" customHeight="1" outlineLevel="1" spans="2:12">
      <c r="B209" s="8" t="s">
        <v>309</v>
      </c>
      <c r="C209" s="7" t="s">
        <v>313</v>
      </c>
      <c r="D209" s="8" t="s">
        <v>314</v>
      </c>
      <c r="E209" s="8" t="s">
        <v>304</v>
      </c>
      <c r="F209" s="15">
        <v>1</v>
      </c>
      <c r="G209" s="15">
        <v>0</v>
      </c>
      <c r="H209" s="15">
        <f t="shared" si="10"/>
        <v>1</v>
      </c>
      <c r="I209" s="15">
        <v>150</v>
      </c>
      <c r="J209" s="15">
        <f t="shared" si="11"/>
        <v>150</v>
      </c>
      <c r="K209" s="15"/>
      <c r="L209" s="7" t="s">
        <v>35</v>
      </c>
    </row>
    <row r="210" ht="22" customHeight="1" outlineLevel="1" spans="2:12">
      <c r="B210" s="10" t="s">
        <v>309</v>
      </c>
      <c r="C210" s="9" t="s">
        <v>315</v>
      </c>
      <c r="D210" s="10" t="s">
        <v>314</v>
      </c>
      <c r="E210" s="10" t="s">
        <v>304</v>
      </c>
      <c r="F210" s="16">
        <v>6</v>
      </c>
      <c r="G210" s="16">
        <v>0</v>
      </c>
      <c r="H210" s="16">
        <f t="shared" si="10"/>
        <v>6</v>
      </c>
      <c r="I210" s="16">
        <v>120</v>
      </c>
      <c r="J210" s="16">
        <f t="shared" si="11"/>
        <v>720</v>
      </c>
      <c r="K210" s="16"/>
      <c r="L210" s="9" t="s">
        <v>35</v>
      </c>
    </row>
    <row r="211" ht="22" customHeight="1" outlineLevel="1" spans="2:12">
      <c r="B211" s="8" t="s">
        <v>309</v>
      </c>
      <c r="C211" s="7" t="s">
        <v>316</v>
      </c>
      <c r="D211" s="8" t="s">
        <v>314</v>
      </c>
      <c r="E211" s="8" t="s">
        <v>304</v>
      </c>
      <c r="F211" s="15">
        <v>4</v>
      </c>
      <c r="G211" s="15">
        <v>0</v>
      </c>
      <c r="H211" s="15">
        <f t="shared" si="10"/>
        <v>4</v>
      </c>
      <c r="I211" s="15">
        <v>145</v>
      </c>
      <c r="J211" s="15">
        <f t="shared" si="11"/>
        <v>580</v>
      </c>
      <c r="K211" s="15"/>
      <c r="L211" s="7" t="s">
        <v>35</v>
      </c>
    </row>
    <row r="212" ht="22" customHeight="1" outlineLevel="1" spans="2:12">
      <c r="B212" s="10" t="s">
        <v>309</v>
      </c>
      <c r="C212" s="9" t="s">
        <v>317</v>
      </c>
      <c r="D212" s="10" t="s">
        <v>314</v>
      </c>
      <c r="E212" s="10" t="s">
        <v>304</v>
      </c>
      <c r="F212" s="16">
        <v>1</v>
      </c>
      <c r="G212" s="16">
        <v>0</v>
      </c>
      <c r="H212" s="16">
        <f t="shared" si="10"/>
        <v>1</v>
      </c>
      <c r="I212" s="16">
        <v>145</v>
      </c>
      <c r="J212" s="16">
        <f t="shared" si="11"/>
        <v>145</v>
      </c>
      <c r="K212" s="16"/>
      <c r="L212" s="9" t="s">
        <v>35</v>
      </c>
    </row>
    <row r="213" ht="22" customHeight="1" outlineLevel="1" spans="2:12">
      <c r="B213" s="8" t="s">
        <v>309</v>
      </c>
      <c r="C213" s="7" t="s">
        <v>318</v>
      </c>
      <c r="D213" s="8" t="s">
        <v>314</v>
      </c>
      <c r="E213" s="8" t="s">
        <v>304</v>
      </c>
      <c r="F213" s="15">
        <v>4</v>
      </c>
      <c r="G213" s="15">
        <v>0</v>
      </c>
      <c r="H213" s="15">
        <f t="shared" si="10"/>
        <v>4</v>
      </c>
      <c r="I213" s="15">
        <v>155</v>
      </c>
      <c r="J213" s="15">
        <f t="shared" si="11"/>
        <v>620</v>
      </c>
      <c r="K213" s="15"/>
      <c r="L213" s="7" t="s">
        <v>35</v>
      </c>
    </row>
    <row r="214" ht="22" customHeight="1" outlineLevel="1" spans="2:12">
      <c r="B214" s="10" t="s">
        <v>309</v>
      </c>
      <c r="C214" s="9" t="s">
        <v>319</v>
      </c>
      <c r="D214" s="10" t="s">
        <v>314</v>
      </c>
      <c r="E214" s="10" t="s">
        <v>304</v>
      </c>
      <c r="F214" s="16">
        <v>1</v>
      </c>
      <c r="G214" s="16">
        <v>0</v>
      </c>
      <c r="H214" s="16">
        <f t="shared" si="10"/>
        <v>1</v>
      </c>
      <c r="I214" s="16">
        <v>150</v>
      </c>
      <c r="J214" s="16">
        <f t="shared" si="11"/>
        <v>150</v>
      </c>
      <c r="K214" s="16"/>
      <c r="L214" s="9" t="s">
        <v>35</v>
      </c>
    </row>
    <row r="215" ht="22" customHeight="1" outlineLevel="1" spans="2:12">
      <c r="B215" s="8" t="s">
        <v>309</v>
      </c>
      <c r="C215" s="7" t="s">
        <v>320</v>
      </c>
      <c r="D215" s="8" t="s">
        <v>314</v>
      </c>
      <c r="E215" s="8" t="s">
        <v>304</v>
      </c>
      <c r="F215" s="15">
        <v>13</v>
      </c>
      <c r="G215" s="15">
        <v>0</v>
      </c>
      <c r="H215" s="15">
        <f t="shared" si="10"/>
        <v>13</v>
      </c>
      <c r="I215" s="15">
        <v>150</v>
      </c>
      <c r="J215" s="15">
        <f t="shared" si="11"/>
        <v>1950</v>
      </c>
      <c r="K215" s="15"/>
      <c r="L215" s="7" t="s">
        <v>35</v>
      </c>
    </row>
    <row r="216" ht="22" customHeight="1" outlineLevel="1" spans="2:12">
      <c r="B216" s="10" t="s">
        <v>309</v>
      </c>
      <c r="C216" s="9" t="s">
        <v>321</v>
      </c>
      <c r="D216" s="10" t="s">
        <v>322</v>
      </c>
      <c r="E216" s="10" t="s">
        <v>304</v>
      </c>
      <c r="F216" s="16">
        <v>9</v>
      </c>
      <c r="G216" s="16">
        <v>0</v>
      </c>
      <c r="H216" s="16">
        <f t="shared" si="10"/>
        <v>9</v>
      </c>
      <c r="I216" s="16">
        <v>30</v>
      </c>
      <c r="J216" s="16">
        <f t="shared" si="11"/>
        <v>270</v>
      </c>
      <c r="K216" s="16"/>
      <c r="L216" s="9" t="s">
        <v>35</v>
      </c>
    </row>
    <row r="217" ht="22" customHeight="1" outlineLevel="1" spans="2:12">
      <c r="B217" s="8" t="s">
        <v>309</v>
      </c>
      <c r="C217" s="7" t="s">
        <v>323</v>
      </c>
      <c r="D217" s="8" t="s">
        <v>322</v>
      </c>
      <c r="E217" s="8" t="s">
        <v>304</v>
      </c>
      <c r="F217" s="15">
        <v>8</v>
      </c>
      <c r="G217" s="15">
        <v>0</v>
      </c>
      <c r="H217" s="15">
        <f t="shared" si="10"/>
        <v>8</v>
      </c>
      <c r="I217" s="15">
        <v>30</v>
      </c>
      <c r="J217" s="15">
        <f t="shared" si="11"/>
        <v>240</v>
      </c>
      <c r="K217" s="15"/>
      <c r="L217" s="7" t="s">
        <v>35</v>
      </c>
    </row>
    <row r="218" ht="22" customHeight="1" outlineLevel="1" spans="2:12">
      <c r="B218" s="10" t="s">
        <v>309</v>
      </c>
      <c r="C218" s="9" t="s">
        <v>324</v>
      </c>
      <c r="D218" s="10" t="s">
        <v>322</v>
      </c>
      <c r="E218" s="10" t="s">
        <v>304</v>
      </c>
      <c r="F218" s="16">
        <v>17</v>
      </c>
      <c r="G218" s="16">
        <v>0</v>
      </c>
      <c r="H218" s="16">
        <f t="shared" si="10"/>
        <v>17</v>
      </c>
      <c r="I218" s="16">
        <v>30</v>
      </c>
      <c r="J218" s="16">
        <f t="shared" si="11"/>
        <v>510</v>
      </c>
      <c r="K218" s="16"/>
      <c r="L218" s="9" t="s">
        <v>35</v>
      </c>
    </row>
    <row r="219" ht="22" customHeight="1" outlineLevel="1" spans="2:12">
      <c r="B219" s="8" t="s">
        <v>309</v>
      </c>
      <c r="C219" s="7" t="s">
        <v>325</v>
      </c>
      <c r="D219" s="8" t="s">
        <v>322</v>
      </c>
      <c r="E219" s="8" t="s">
        <v>304</v>
      </c>
      <c r="F219" s="15">
        <v>2</v>
      </c>
      <c r="G219" s="15">
        <v>0</v>
      </c>
      <c r="H219" s="15">
        <f t="shared" si="10"/>
        <v>2</v>
      </c>
      <c r="I219" s="15">
        <v>30</v>
      </c>
      <c r="J219" s="15">
        <f t="shared" si="11"/>
        <v>60</v>
      </c>
      <c r="K219" s="15"/>
      <c r="L219" s="7" t="s">
        <v>35</v>
      </c>
    </row>
    <row r="220" ht="22" customHeight="1" outlineLevel="1" spans="2:12">
      <c r="B220" s="10" t="s">
        <v>240</v>
      </c>
      <c r="C220" s="9" t="s">
        <v>326</v>
      </c>
      <c r="D220" s="10" t="s">
        <v>327</v>
      </c>
      <c r="E220" s="10" t="s">
        <v>304</v>
      </c>
      <c r="F220" s="16">
        <v>1</v>
      </c>
      <c r="G220" s="16">
        <v>0</v>
      </c>
      <c r="H220" s="16">
        <f t="shared" si="10"/>
        <v>1</v>
      </c>
      <c r="I220" s="16">
        <v>600</v>
      </c>
      <c r="J220" s="16">
        <f t="shared" si="11"/>
        <v>600</v>
      </c>
      <c r="K220" s="16"/>
      <c r="L220" s="9" t="s">
        <v>35</v>
      </c>
    </row>
    <row r="221" ht="22" customHeight="1" outlineLevel="1" spans="2:12">
      <c r="B221" s="8" t="s">
        <v>240</v>
      </c>
      <c r="C221" s="7" t="s">
        <v>328</v>
      </c>
      <c r="D221" s="8" t="s">
        <v>329</v>
      </c>
      <c r="E221" s="8" t="s">
        <v>304</v>
      </c>
      <c r="F221" s="15">
        <v>1</v>
      </c>
      <c r="G221" s="15">
        <v>0</v>
      </c>
      <c r="H221" s="15">
        <f t="shared" si="10"/>
        <v>1</v>
      </c>
      <c r="I221" s="15">
        <v>118</v>
      </c>
      <c r="J221" s="15">
        <f t="shared" si="11"/>
        <v>118</v>
      </c>
      <c r="K221" s="15"/>
      <c r="L221" s="7" t="s">
        <v>35</v>
      </c>
    </row>
    <row r="222" ht="22" customHeight="1" outlineLevel="1" spans="2:12">
      <c r="B222" s="10" t="s">
        <v>240</v>
      </c>
      <c r="C222" s="9" t="s">
        <v>330</v>
      </c>
      <c r="D222" s="10" t="s">
        <v>329</v>
      </c>
      <c r="E222" s="10" t="s">
        <v>304</v>
      </c>
      <c r="F222" s="16">
        <v>3</v>
      </c>
      <c r="G222" s="16">
        <v>0</v>
      </c>
      <c r="H222" s="16">
        <f t="shared" si="10"/>
        <v>3</v>
      </c>
      <c r="I222" s="16">
        <v>118</v>
      </c>
      <c r="J222" s="16">
        <f t="shared" si="11"/>
        <v>354</v>
      </c>
      <c r="K222" s="16"/>
      <c r="L222" s="9" t="s">
        <v>35</v>
      </c>
    </row>
    <row r="223" ht="22" customHeight="1" outlineLevel="1" spans="2:12">
      <c r="B223" s="8" t="s">
        <v>240</v>
      </c>
      <c r="C223" s="7" t="s">
        <v>331</v>
      </c>
      <c r="D223" s="8" t="s">
        <v>329</v>
      </c>
      <c r="E223" s="8" t="s">
        <v>304</v>
      </c>
      <c r="F223" s="15">
        <v>6</v>
      </c>
      <c r="G223" s="15">
        <v>0</v>
      </c>
      <c r="H223" s="15">
        <f t="shared" si="10"/>
        <v>6</v>
      </c>
      <c r="I223" s="15">
        <v>130</v>
      </c>
      <c r="J223" s="15">
        <f t="shared" si="11"/>
        <v>780</v>
      </c>
      <c r="K223" s="15"/>
      <c r="L223" s="7" t="s">
        <v>35</v>
      </c>
    </row>
    <row r="224" ht="22" customHeight="1" outlineLevel="1" spans="2:12">
      <c r="B224" s="10" t="s">
        <v>240</v>
      </c>
      <c r="C224" s="9" t="s">
        <v>332</v>
      </c>
      <c r="D224" s="10" t="s">
        <v>329</v>
      </c>
      <c r="E224" s="10" t="s">
        <v>304</v>
      </c>
      <c r="F224" s="16">
        <v>6</v>
      </c>
      <c r="G224" s="16">
        <v>0</v>
      </c>
      <c r="H224" s="16">
        <f t="shared" si="10"/>
        <v>6</v>
      </c>
      <c r="I224" s="16">
        <v>130</v>
      </c>
      <c r="J224" s="16">
        <f t="shared" si="11"/>
        <v>780</v>
      </c>
      <c r="K224" s="16"/>
      <c r="L224" s="9" t="s">
        <v>35</v>
      </c>
    </row>
    <row r="225" ht="22" customHeight="1" outlineLevel="1" spans="2:12">
      <c r="B225" s="8" t="s">
        <v>240</v>
      </c>
      <c r="C225" s="7" t="s">
        <v>333</v>
      </c>
      <c r="D225" s="8" t="s">
        <v>334</v>
      </c>
      <c r="E225" s="8" t="s">
        <v>304</v>
      </c>
      <c r="F225" s="15">
        <v>7</v>
      </c>
      <c r="G225" s="15">
        <v>0</v>
      </c>
      <c r="H225" s="15">
        <f t="shared" si="10"/>
        <v>7</v>
      </c>
      <c r="I225" s="15">
        <v>130</v>
      </c>
      <c r="J225" s="15">
        <f t="shared" si="11"/>
        <v>910</v>
      </c>
      <c r="K225" s="15"/>
      <c r="L225" s="7" t="s">
        <v>35</v>
      </c>
    </row>
    <row r="226" ht="22" customHeight="1" outlineLevel="1" spans="2:12">
      <c r="B226" s="10" t="s">
        <v>240</v>
      </c>
      <c r="C226" s="9" t="s">
        <v>335</v>
      </c>
      <c r="D226" s="10" t="s">
        <v>336</v>
      </c>
      <c r="E226" s="10" t="s">
        <v>304</v>
      </c>
      <c r="F226" s="16">
        <v>1</v>
      </c>
      <c r="G226" s="16">
        <v>0</v>
      </c>
      <c r="H226" s="16">
        <f t="shared" si="10"/>
        <v>1</v>
      </c>
      <c r="I226" s="16">
        <v>210</v>
      </c>
      <c r="J226" s="16">
        <f t="shared" si="11"/>
        <v>210</v>
      </c>
      <c r="K226" s="16"/>
      <c r="L226" s="9" t="s">
        <v>35</v>
      </c>
    </row>
    <row r="227" ht="22" customHeight="1" outlineLevel="1" spans="2:12">
      <c r="B227" s="8" t="s">
        <v>337</v>
      </c>
      <c r="C227" s="7" t="s">
        <v>338</v>
      </c>
      <c r="D227" s="8" t="s">
        <v>339</v>
      </c>
      <c r="E227" s="8" t="s">
        <v>304</v>
      </c>
      <c r="F227" s="15">
        <v>2</v>
      </c>
      <c r="G227" s="15">
        <v>0</v>
      </c>
      <c r="H227" s="15">
        <f t="shared" si="10"/>
        <v>2</v>
      </c>
      <c r="I227" s="15">
        <v>1898</v>
      </c>
      <c r="J227" s="15">
        <f t="shared" si="11"/>
        <v>3796</v>
      </c>
      <c r="K227" s="15"/>
      <c r="L227" s="7" t="s">
        <v>35</v>
      </c>
    </row>
    <row r="228" ht="22" customHeight="1" outlineLevel="1" spans="2:12">
      <c r="B228" s="10" t="s">
        <v>337</v>
      </c>
      <c r="C228" s="9" t="s">
        <v>340</v>
      </c>
      <c r="D228" s="10" t="s">
        <v>339</v>
      </c>
      <c r="E228" s="10" t="s">
        <v>304</v>
      </c>
      <c r="F228" s="16">
        <v>1</v>
      </c>
      <c r="G228" s="16">
        <v>0</v>
      </c>
      <c r="H228" s="16">
        <f t="shared" si="10"/>
        <v>1</v>
      </c>
      <c r="I228" s="16">
        <v>1957</v>
      </c>
      <c r="J228" s="16">
        <f t="shared" si="11"/>
        <v>1957</v>
      </c>
      <c r="K228" s="16"/>
      <c r="L228" s="9" t="s">
        <v>35</v>
      </c>
    </row>
    <row r="229" ht="22" customHeight="1" outlineLevel="1" spans="2:12">
      <c r="B229" s="8" t="s">
        <v>337</v>
      </c>
      <c r="C229" s="7" t="s">
        <v>341</v>
      </c>
      <c r="D229" s="8" t="s">
        <v>339</v>
      </c>
      <c r="E229" s="8" t="s">
        <v>304</v>
      </c>
      <c r="F229" s="15">
        <v>2</v>
      </c>
      <c r="G229" s="15">
        <v>0</v>
      </c>
      <c r="H229" s="15">
        <f t="shared" si="10"/>
        <v>2</v>
      </c>
      <c r="I229" s="15">
        <v>1898</v>
      </c>
      <c r="J229" s="15">
        <f t="shared" si="11"/>
        <v>3796</v>
      </c>
      <c r="K229" s="15"/>
      <c r="L229" s="7" t="s">
        <v>35</v>
      </c>
    </row>
    <row r="230" ht="22" customHeight="1" outlineLevel="1" spans="2:12">
      <c r="B230" s="10" t="s">
        <v>337</v>
      </c>
      <c r="C230" s="9" t="s">
        <v>342</v>
      </c>
      <c r="D230" s="10" t="s">
        <v>339</v>
      </c>
      <c r="E230" s="10" t="s">
        <v>304</v>
      </c>
      <c r="F230" s="16">
        <v>1</v>
      </c>
      <c r="G230" s="16">
        <v>0</v>
      </c>
      <c r="H230" s="16">
        <f t="shared" si="10"/>
        <v>1</v>
      </c>
      <c r="I230" s="16">
        <v>2400</v>
      </c>
      <c r="J230" s="16">
        <f t="shared" si="11"/>
        <v>2400</v>
      </c>
      <c r="K230" s="16"/>
      <c r="L230" s="9" t="s">
        <v>35</v>
      </c>
    </row>
    <row r="231" ht="22" customHeight="1" outlineLevel="1" spans="2:12">
      <c r="B231" s="8" t="s">
        <v>337</v>
      </c>
      <c r="C231" s="7" t="s">
        <v>343</v>
      </c>
      <c r="D231" s="8" t="s">
        <v>339</v>
      </c>
      <c r="E231" s="8" t="s">
        <v>304</v>
      </c>
      <c r="F231" s="15">
        <v>1</v>
      </c>
      <c r="G231" s="15">
        <v>0</v>
      </c>
      <c r="H231" s="15">
        <f t="shared" si="10"/>
        <v>1</v>
      </c>
      <c r="I231" s="15">
        <v>2400</v>
      </c>
      <c r="J231" s="15">
        <f t="shared" si="11"/>
        <v>2400</v>
      </c>
      <c r="K231" s="15"/>
      <c r="L231" s="7" t="s">
        <v>35</v>
      </c>
    </row>
    <row r="232" ht="22" customHeight="1" outlineLevel="1" spans="2:12">
      <c r="B232" s="10" t="s">
        <v>337</v>
      </c>
      <c r="C232" s="9" t="s">
        <v>344</v>
      </c>
      <c r="D232" s="10" t="s">
        <v>339</v>
      </c>
      <c r="E232" s="10" t="s">
        <v>304</v>
      </c>
      <c r="F232" s="16">
        <v>3</v>
      </c>
      <c r="G232" s="16">
        <v>0</v>
      </c>
      <c r="H232" s="16">
        <f t="shared" si="10"/>
        <v>3</v>
      </c>
      <c r="I232" s="16">
        <v>2400</v>
      </c>
      <c r="J232" s="16">
        <f t="shared" si="11"/>
        <v>7200</v>
      </c>
      <c r="K232" s="16"/>
      <c r="L232" s="9" t="s">
        <v>35</v>
      </c>
    </row>
    <row r="233" ht="22" customHeight="1" outlineLevel="1" spans="2:12">
      <c r="B233" s="8" t="s">
        <v>337</v>
      </c>
      <c r="C233" s="7" t="s">
        <v>345</v>
      </c>
      <c r="D233" s="8" t="s">
        <v>339</v>
      </c>
      <c r="E233" s="8" t="s">
        <v>304</v>
      </c>
      <c r="F233" s="15">
        <v>2</v>
      </c>
      <c r="G233" s="15">
        <v>0</v>
      </c>
      <c r="H233" s="15">
        <f t="shared" si="10"/>
        <v>2</v>
      </c>
      <c r="I233" s="15">
        <v>2400</v>
      </c>
      <c r="J233" s="15">
        <f t="shared" si="11"/>
        <v>4800</v>
      </c>
      <c r="K233" s="15"/>
      <c r="L233" s="7" t="s">
        <v>35</v>
      </c>
    </row>
    <row r="234" ht="22" customHeight="1" outlineLevel="1" spans="2:12">
      <c r="B234" s="10" t="s">
        <v>337</v>
      </c>
      <c r="C234" s="9" t="s">
        <v>346</v>
      </c>
      <c r="D234" s="10" t="s">
        <v>339</v>
      </c>
      <c r="E234" s="10" t="s">
        <v>304</v>
      </c>
      <c r="F234" s="16">
        <v>4</v>
      </c>
      <c r="G234" s="16">
        <v>0</v>
      </c>
      <c r="H234" s="16">
        <f t="shared" si="10"/>
        <v>4</v>
      </c>
      <c r="I234" s="16">
        <v>1852.5</v>
      </c>
      <c r="J234" s="16">
        <f t="shared" si="11"/>
        <v>7410</v>
      </c>
      <c r="K234" s="16"/>
      <c r="L234" s="9" t="s">
        <v>35</v>
      </c>
    </row>
    <row r="235" ht="22" customHeight="1" outlineLevel="1" spans="2:12">
      <c r="B235" s="8" t="s">
        <v>337</v>
      </c>
      <c r="C235" s="7" t="s">
        <v>347</v>
      </c>
      <c r="D235" s="8" t="s">
        <v>339</v>
      </c>
      <c r="E235" s="8" t="s">
        <v>304</v>
      </c>
      <c r="F235" s="15">
        <v>2</v>
      </c>
      <c r="G235" s="15">
        <v>0</v>
      </c>
      <c r="H235" s="15">
        <f t="shared" si="10"/>
        <v>2</v>
      </c>
      <c r="I235" s="15">
        <v>1833</v>
      </c>
      <c r="J235" s="15">
        <f t="shared" si="11"/>
        <v>3666</v>
      </c>
      <c r="K235" s="15"/>
      <c r="L235" s="7" t="s">
        <v>35</v>
      </c>
    </row>
    <row r="236" ht="22" customHeight="1" outlineLevel="1" spans="2:12">
      <c r="B236" s="10" t="s">
        <v>337</v>
      </c>
      <c r="C236" s="9" t="s">
        <v>348</v>
      </c>
      <c r="D236" s="10" t="s">
        <v>339</v>
      </c>
      <c r="E236" s="10" t="s">
        <v>304</v>
      </c>
      <c r="F236" s="16">
        <v>4</v>
      </c>
      <c r="G236" s="16">
        <v>0</v>
      </c>
      <c r="H236" s="16">
        <f t="shared" si="10"/>
        <v>4</v>
      </c>
      <c r="I236" s="16">
        <v>1482</v>
      </c>
      <c r="J236" s="16">
        <f t="shared" si="11"/>
        <v>5928</v>
      </c>
      <c r="K236" s="16"/>
      <c r="L236" s="9" t="s">
        <v>35</v>
      </c>
    </row>
    <row r="237" ht="22" customHeight="1" outlineLevel="1" spans="2:12">
      <c r="B237" s="8" t="s">
        <v>337</v>
      </c>
      <c r="C237" s="7" t="s">
        <v>349</v>
      </c>
      <c r="D237" s="8" t="s">
        <v>339</v>
      </c>
      <c r="E237" s="8" t="s">
        <v>304</v>
      </c>
      <c r="F237" s="15">
        <v>2</v>
      </c>
      <c r="G237" s="15">
        <v>0</v>
      </c>
      <c r="H237" s="15">
        <f t="shared" si="10"/>
        <v>2</v>
      </c>
      <c r="I237" s="15">
        <v>1482</v>
      </c>
      <c r="J237" s="15">
        <f t="shared" si="11"/>
        <v>2964</v>
      </c>
      <c r="K237" s="15"/>
      <c r="L237" s="7" t="s">
        <v>35</v>
      </c>
    </row>
    <row r="238" ht="22" customHeight="1" outlineLevel="1" spans="2:12">
      <c r="B238" s="10" t="s">
        <v>337</v>
      </c>
      <c r="C238" s="9" t="s">
        <v>350</v>
      </c>
      <c r="D238" s="10" t="s">
        <v>339</v>
      </c>
      <c r="E238" s="10" t="s">
        <v>304</v>
      </c>
      <c r="F238" s="16">
        <v>1</v>
      </c>
      <c r="G238" s="16">
        <v>0</v>
      </c>
      <c r="H238" s="16">
        <f t="shared" si="10"/>
        <v>1</v>
      </c>
      <c r="I238" s="16">
        <v>1090</v>
      </c>
      <c r="J238" s="16">
        <f t="shared" si="11"/>
        <v>1090</v>
      </c>
      <c r="K238" s="16"/>
      <c r="L238" s="9" t="s">
        <v>35</v>
      </c>
    </row>
    <row r="239" ht="22" customHeight="1" outlineLevel="1" spans="2:12">
      <c r="B239" s="8" t="s">
        <v>337</v>
      </c>
      <c r="C239" s="7" t="s">
        <v>351</v>
      </c>
      <c r="D239" s="8" t="s">
        <v>339</v>
      </c>
      <c r="E239" s="8" t="s">
        <v>304</v>
      </c>
      <c r="F239" s="15">
        <v>1</v>
      </c>
      <c r="G239" s="15">
        <v>0</v>
      </c>
      <c r="H239" s="15">
        <f t="shared" si="10"/>
        <v>1</v>
      </c>
      <c r="I239" s="15">
        <v>1619.38</v>
      </c>
      <c r="J239" s="15">
        <f t="shared" si="11"/>
        <v>1619.38</v>
      </c>
      <c r="K239" s="15"/>
      <c r="L239" s="7" t="s">
        <v>35</v>
      </c>
    </row>
    <row r="240" ht="22" customHeight="1" outlineLevel="1" spans="2:12">
      <c r="B240" s="10" t="s">
        <v>337</v>
      </c>
      <c r="C240" s="9" t="s">
        <v>352</v>
      </c>
      <c r="D240" s="10" t="s">
        <v>339</v>
      </c>
      <c r="E240" s="10" t="s">
        <v>304</v>
      </c>
      <c r="F240" s="16">
        <v>1</v>
      </c>
      <c r="G240" s="16">
        <v>0</v>
      </c>
      <c r="H240" s="16">
        <f t="shared" si="10"/>
        <v>1</v>
      </c>
      <c r="I240" s="16">
        <v>1528</v>
      </c>
      <c r="J240" s="16">
        <f t="shared" si="11"/>
        <v>1528</v>
      </c>
      <c r="K240" s="16"/>
      <c r="L240" s="9" t="s">
        <v>35</v>
      </c>
    </row>
    <row r="241" ht="22" customHeight="1" outlineLevel="1" spans="2:12">
      <c r="B241" s="8" t="s">
        <v>337</v>
      </c>
      <c r="C241" s="7" t="s">
        <v>353</v>
      </c>
      <c r="D241" s="8" t="s">
        <v>339</v>
      </c>
      <c r="E241" s="8" t="s">
        <v>304</v>
      </c>
      <c r="F241" s="15">
        <v>1</v>
      </c>
      <c r="G241" s="15">
        <v>0</v>
      </c>
      <c r="H241" s="15">
        <f t="shared" si="10"/>
        <v>1</v>
      </c>
      <c r="I241" s="15">
        <v>1090</v>
      </c>
      <c r="J241" s="15">
        <f t="shared" si="11"/>
        <v>1090</v>
      </c>
      <c r="K241" s="15"/>
      <c r="L241" s="7" t="s">
        <v>35</v>
      </c>
    </row>
    <row r="242" ht="22" customHeight="1" outlineLevel="1" spans="2:12">
      <c r="B242" s="10" t="s">
        <v>337</v>
      </c>
      <c r="C242" s="9" t="s">
        <v>354</v>
      </c>
      <c r="D242" s="10" t="s">
        <v>339</v>
      </c>
      <c r="E242" s="10" t="s">
        <v>304</v>
      </c>
      <c r="F242" s="16">
        <v>4</v>
      </c>
      <c r="G242" s="16">
        <v>0</v>
      </c>
      <c r="H242" s="16">
        <f t="shared" si="10"/>
        <v>4</v>
      </c>
      <c r="I242" s="16">
        <v>2010</v>
      </c>
      <c r="J242" s="16">
        <f t="shared" si="11"/>
        <v>8040</v>
      </c>
      <c r="K242" s="16"/>
      <c r="L242" s="9" t="s">
        <v>35</v>
      </c>
    </row>
    <row r="243" ht="22" customHeight="1" outlineLevel="1" spans="2:12">
      <c r="B243" s="8" t="s">
        <v>337</v>
      </c>
      <c r="C243" s="7" t="s">
        <v>355</v>
      </c>
      <c r="D243" s="8" t="s">
        <v>339</v>
      </c>
      <c r="E243" s="8" t="s">
        <v>304</v>
      </c>
      <c r="F243" s="15">
        <v>1</v>
      </c>
      <c r="G243" s="15">
        <v>0</v>
      </c>
      <c r="H243" s="15">
        <f t="shared" si="10"/>
        <v>1</v>
      </c>
      <c r="I243" s="15">
        <v>1482</v>
      </c>
      <c r="J243" s="15">
        <f t="shared" si="11"/>
        <v>1482</v>
      </c>
      <c r="K243" s="15"/>
      <c r="L243" s="7" t="s">
        <v>35</v>
      </c>
    </row>
    <row r="244" ht="22" customHeight="1" outlineLevel="1" spans="2:12">
      <c r="B244" s="10" t="s">
        <v>337</v>
      </c>
      <c r="C244" s="9" t="s">
        <v>356</v>
      </c>
      <c r="D244" s="10" t="s">
        <v>339</v>
      </c>
      <c r="E244" s="10" t="s">
        <v>304</v>
      </c>
      <c r="F244" s="16">
        <v>1</v>
      </c>
      <c r="G244" s="16">
        <v>0</v>
      </c>
      <c r="H244" s="16">
        <f t="shared" si="10"/>
        <v>1</v>
      </c>
      <c r="I244" s="16">
        <v>822.5</v>
      </c>
      <c r="J244" s="16">
        <f t="shared" si="11"/>
        <v>822.5</v>
      </c>
      <c r="K244" s="16"/>
      <c r="L244" s="9" t="s">
        <v>35</v>
      </c>
    </row>
    <row r="245" ht="22" customHeight="1" outlineLevel="1" spans="2:12">
      <c r="B245" s="8" t="s">
        <v>337</v>
      </c>
      <c r="C245" s="7" t="s">
        <v>357</v>
      </c>
      <c r="D245" s="8" t="s">
        <v>339</v>
      </c>
      <c r="E245" s="8" t="s">
        <v>304</v>
      </c>
      <c r="F245" s="15">
        <v>1</v>
      </c>
      <c r="G245" s="15">
        <v>0</v>
      </c>
      <c r="H245" s="15">
        <f t="shared" si="10"/>
        <v>1</v>
      </c>
      <c r="I245" s="15">
        <v>822.5</v>
      </c>
      <c r="J245" s="15">
        <f t="shared" si="11"/>
        <v>822.5</v>
      </c>
      <c r="K245" s="15"/>
      <c r="L245" s="7" t="s">
        <v>35</v>
      </c>
    </row>
    <row r="246" ht="22" customHeight="1" outlineLevel="1" spans="2:12">
      <c r="B246" s="10" t="s">
        <v>337</v>
      </c>
      <c r="C246" s="9" t="s">
        <v>358</v>
      </c>
      <c r="D246" s="10" t="s">
        <v>339</v>
      </c>
      <c r="E246" s="10" t="s">
        <v>304</v>
      </c>
      <c r="F246" s="16">
        <v>2</v>
      </c>
      <c r="G246" s="16">
        <v>0</v>
      </c>
      <c r="H246" s="16">
        <f t="shared" si="10"/>
        <v>2</v>
      </c>
      <c r="I246" s="16">
        <v>822.5</v>
      </c>
      <c r="J246" s="16">
        <f t="shared" si="11"/>
        <v>1645</v>
      </c>
      <c r="K246" s="16"/>
      <c r="L246" s="9" t="s">
        <v>35</v>
      </c>
    </row>
    <row r="247" ht="22" customHeight="1" outlineLevel="1" spans="2:12">
      <c r="B247" s="8" t="s">
        <v>337</v>
      </c>
      <c r="C247" s="7" t="s">
        <v>359</v>
      </c>
      <c r="D247" s="8" t="s">
        <v>339</v>
      </c>
      <c r="E247" s="8" t="s">
        <v>304</v>
      </c>
      <c r="F247" s="15">
        <v>1</v>
      </c>
      <c r="G247" s="15">
        <v>0</v>
      </c>
      <c r="H247" s="15">
        <f t="shared" si="10"/>
        <v>1</v>
      </c>
      <c r="I247" s="15">
        <v>822.5</v>
      </c>
      <c r="J247" s="15">
        <f t="shared" si="11"/>
        <v>822.5</v>
      </c>
      <c r="K247" s="15"/>
      <c r="L247" s="7" t="s">
        <v>35</v>
      </c>
    </row>
    <row r="248" ht="22" customHeight="1" outlineLevel="1" spans="2:12">
      <c r="B248" s="10" t="s">
        <v>337</v>
      </c>
      <c r="C248" s="9" t="s">
        <v>360</v>
      </c>
      <c r="D248" s="10" t="s">
        <v>339</v>
      </c>
      <c r="E248" s="10" t="s">
        <v>304</v>
      </c>
      <c r="F248" s="16">
        <v>1</v>
      </c>
      <c r="G248" s="16">
        <v>0</v>
      </c>
      <c r="H248" s="16">
        <f t="shared" si="10"/>
        <v>1</v>
      </c>
      <c r="I248" s="16">
        <v>822.5</v>
      </c>
      <c r="J248" s="16">
        <f t="shared" si="11"/>
        <v>822.5</v>
      </c>
      <c r="K248" s="16"/>
      <c r="L248" s="9" t="s">
        <v>35</v>
      </c>
    </row>
    <row r="249" ht="22" customHeight="1" outlineLevel="1" spans="2:12">
      <c r="B249" s="8" t="s">
        <v>337</v>
      </c>
      <c r="C249" s="7" t="s">
        <v>361</v>
      </c>
      <c r="D249" s="8" t="s">
        <v>362</v>
      </c>
      <c r="E249" s="8" t="s">
        <v>304</v>
      </c>
      <c r="F249" s="15">
        <v>1</v>
      </c>
      <c r="G249" s="15">
        <v>0</v>
      </c>
      <c r="H249" s="15">
        <f t="shared" si="10"/>
        <v>1</v>
      </c>
      <c r="I249" s="15">
        <v>800</v>
      </c>
      <c r="J249" s="15">
        <f t="shared" si="11"/>
        <v>800</v>
      </c>
      <c r="K249" s="15"/>
      <c r="L249" s="7" t="s">
        <v>35</v>
      </c>
    </row>
    <row r="250" ht="22" customHeight="1" outlineLevel="1" spans="2:12">
      <c r="B250" s="10" t="s">
        <v>363</v>
      </c>
      <c r="C250" s="9" t="s">
        <v>364</v>
      </c>
      <c r="D250" s="10" t="s">
        <v>365</v>
      </c>
      <c r="E250" s="10" t="s">
        <v>304</v>
      </c>
      <c r="F250" s="16">
        <v>1</v>
      </c>
      <c r="G250" s="16">
        <v>0</v>
      </c>
      <c r="H250" s="16">
        <f t="shared" si="10"/>
        <v>1</v>
      </c>
      <c r="I250" s="16">
        <v>299</v>
      </c>
      <c r="J250" s="16">
        <f t="shared" si="11"/>
        <v>299</v>
      </c>
      <c r="K250" s="16"/>
      <c r="L250" s="9" t="s">
        <v>35</v>
      </c>
    </row>
    <row r="251" ht="22" customHeight="1" outlineLevel="1" spans="2:12">
      <c r="B251" s="8" t="s">
        <v>363</v>
      </c>
      <c r="C251" s="7" t="s">
        <v>366</v>
      </c>
      <c r="D251" s="8" t="s">
        <v>365</v>
      </c>
      <c r="E251" s="8" t="s">
        <v>304</v>
      </c>
      <c r="F251" s="15">
        <v>1</v>
      </c>
      <c r="G251" s="15">
        <v>0</v>
      </c>
      <c r="H251" s="15">
        <f t="shared" si="10"/>
        <v>1</v>
      </c>
      <c r="I251" s="15">
        <v>299</v>
      </c>
      <c r="J251" s="15">
        <f t="shared" si="11"/>
        <v>299</v>
      </c>
      <c r="K251" s="15"/>
      <c r="L251" s="7" t="s">
        <v>35</v>
      </c>
    </row>
    <row r="252" ht="22" customHeight="1" outlineLevel="1" spans="2:12">
      <c r="B252" s="10" t="s">
        <v>363</v>
      </c>
      <c r="C252" s="9" t="s">
        <v>367</v>
      </c>
      <c r="D252" s="10" t="s">
        <v>365</v>
      </c>
      <c r="E252" s="10" t="s">
        <v>304</v>
      </c>
      <c r="F252" s="16">
        <v>1</v>
      </c>
      <c r="G252" s="16">
        <v>0</v>
      </c>
      <c r="H252" s="16">
        <f t="shared" si="10"/>
        <v>1</v>
      </c>
      <c r="I252" s="16">
        <v>299</v>
      </c>
      <c r="J252" s="16">
        <f t="shared" si="11"/>
        <v>299</v>
      </c>
      <c r="K252" s="16"/>
      <c r="L252" s="9" t="s">
        <v>35</v>
      </c>
    </row>
    <row r="253" ht="22" customHeight="1" outlineLevel="1" spans="2:12">
      <c r="B253" s="8" t="s">
        <v>363</v>
      </c>
      <c r="C253" s="7" t="s">
        <v>368</v>
      </c>
      <c r="D253" s="8" t="s">
        <v>365</v>
      </c>
      <c r="E253" s="8" t="s">
        <v>304</v>
      </c>
      <c r="F253" s="15">
        <v>1</v>
      </c>
      <c r="G253" s="15">
        <v>0</v>
      </c>
      <c r="H253" s="15">
        <f t="shared" si="10"/>
        <v>1</v>
      </c>
      <c r="I253" s="15">
        <v>299</v>
      </c>
      <c r="J253" s="15">
        <f t="shared" si="11"/>
        <v>299</v>
      </c>
      <c r="K253" s="15"/>
      <c r="L253" s="7" t="s">
        <v>35</v>
      </c>
    </row>
    <row r="254" ht="22" customHeight="1" outlineLevel="1" spans="2:12">
      <c r="B254" s="10" t="s">
        <v>363</v>
      </c>
      <c r="C254" s="9" t="s">
        <v>369</v>
      </c>
      <c r="D254" s="10" t="s">
        <v>370</v>
      </c>
      <c r="E254" s="10" t="s">
        <v>304</v>
      </c>
      <c r="F254" s="16">
        <v>1</v>
      </c>
      <c r="G254" s="16">
        <v>0</v>
      </c>
      <c r="H254" s="16">
        <f t="shared" si="10"/>
        <v>1</v>
      </c>
      <c r="I254" s="16">
        <v>1273</v>
      </c>
      <c r="J254" s="16">
        <f t="shared" si="11"/>
        <v>1273</v>
      </c>
      <c r="K254" s="16"/>
      <c r="L254" s="9" t="s">
        <v>35</v>
      </c>
    </row>
    <row r="255" ht="22" customHeight="1" outlineLevel="1" spans="2:12">
      <c r="B255" s="8" t="s">
        <v>363</v>
      </c>
      <c r="C255" s="7" t="s">
        <v>371</v>
      </c>
      <c r="D255" s="8" t="s">
        <v>370</v>
      </c>
      <c r="E255" s="8" t="s">
        <v>304</v>
      </c>
      <c r="F255" s="15">
        <v>1</v>
      </c>
      <c r="G255" s="15">
        <v>0</v>
      </c>
      <c r="H255" s="15">
        <f t="shared" si="10"/>
        <v>1</v>
      </c>
      <c r="I255" s="15">
        <v>2546</v>
      </c>
      <c r="J255" s="15">
        <f t="shared" si="11"/>
        <v>2546</v>
      </c>
      <c r="K255" s="15"/>
      <c r="L255" s="7" t="s">
        <v>35</v>
      </c>
    </row>
    <row r="256" ht="22" customHeight="1" outlineLevel="1" spans="2:12">
      <c r="B256" s="10" t="s">
        <v>363</v>
      </c>
      <c r="C256" s="9" t="s">
        <v>372</v>
      </c>
      <c r="D256" s="10" t="s">
        <v>370</v>
      </c>
      <c r="E256" s="10" t="s">
        <v>304</v>
      </c>
      <c r="F256" s="16">
        <v>1</v>
      </c>
      <c r="G256" s="16">
        <v>0</v>
      </c>
      <c r="H256" s="16">
        <f t="shared" si="10"/>
        <v>1</v>
      </c>
      <c r="I256" s="16">
        <v>800</v>
      </c>
      <c r="J256" s="16">
        <f t="shared" si="11"/>
        <v>800</v>
      </c>
      <c r="K256" s="16"/>
      <c r="L256" s="9" t="s">
        <v>35</v>
      </c>
    </row>
    <row r="257" ht="22" customHeight="1" outlineLevel="1" spans="2:12">
      <c r="B257" s="8" t="s">
        <v>363</v>
      </c>
      <c r="C257" s="7" t="s">
        <v>373</v>
      </c>
      <c r="D257" s="8" t="s">
        <v>374</v>
      </c>
      <c r="E257" s="8" t="s">
        <v>304</v>
      </c>
      <c r="F257" s="15">
        <v>1</v>
      </c>
      <c r="G257" s="15">
        <v>0</v>
      </c>
      <c r="H257" s="15">
        <f t="shared" si="10"/>
        <v>1</v>
      </c>
      <c r="I257" s="15">
        <v>425</v>
      </c>
      <c r="J257" s="15">
        <f t="shared" si="11"/>
        <v>425</v>
      </c>
      <c r="K257" s="15"/>
      <c r="L257" s="7" t="s">
        <v>35</v>
      </c>
    </row>
    <row r="258" ht="22" customHeight="1" outlineLevel="1" spans="2:12">
      <c r="B258" s="10" t="s">
        <v>363</v>
      </c>
      <c r="C258" s="9" t="s">
        <v>375</v>
      </c>
      <c r="D258" s="10" t="s">
        <v>374</v>
      </c>
      <c r="E258" s="10" t="s">
        <v>304</v>
      </c>
      <c r="F258" s="16">
        <v>2</v>
      </c>
      <c r="G258" s="16">
        <v>0</v>
      </c>
      <c r="H258" s="16">
        <f t="shared" si="10"/>
        <v>2</v>
      </c>
      <c r="I258" s="16">
        <v>425</v>
      </c>
      <c r="J258" s="16">
        <f t="shared" si="11"/>
        <v>850</v>
      </c>
      <c r="K258" s="16"/>
      <c r="L258" s="9" t="s">
        <v>35</v>
      </c>
    </row>
    <row r="259" ht="22" customHeight="1" outlineLevel="1" spans="2:12">
      <c r="B259" s="8" t="s">
        <v>363</v>
      </c>
      <c r="C259" s="7" t="s">
        <v>376</v>
      </c>
      <c r="D259" s="8" t="s">
        <v>374</v>
      </c>
      <c r="E259" s="8" t="s">
        <v>304</v>
      </c>
      <c r="F259" s="15">
        <v>1</v>
      </c>
      <c r="G259" s="15">
        <v>0</v>
      </c>
      <c r="H259" s="15">
        <f t="shared" si="10"/>
        <v>1</v>
      </c>
      <c r="I259" s="15">
        <v>425</v>
      </c>
      <c r="J259" s="15">
        <f t="shared" si="11"/>
        <v>425</v>
      </c>
      <c r="K259" s="15"/>
      <c r="L259" s="7" t="s">
        <v>35</v>
      </c>
    </row>
    <row r="260" ht="22" customHeight="1" outlineLevel="1" spans="2:12">
      <c r="B260" s="10" t="s">
        <v>363</v>
      </c>
      <c r="C260" s="9" t="s">
        <v>377</v>
      </c>
      <c r="D260" s="10" t="s">
        <v>378</v>
      </c>
      <c r="E260" s="10" t="s">
        <v>304</v>
      </c>
      <c r="F260" s="16">
        <v>2</v>
      </c>
      <c r="G260" s="16">
        <v>0</v>
      </c>
      <c r="H260" s="16">
        <f t="shared" si="10"/>
        <v>2</v>
      </c>
      <c r="I260" s="16">
        <v>921</v>
      </c>
      <c r="J260" s="16">
        <f t="shared" si="11"/>
        <v>1842</v>
      </c>
      <c r="K260" s="16"/>
      <c r="L260" s="9" t="s">
        <v>35</v>
      </c>
    </row>
    <row r="261" ht="22" customHeight="1" outlineLevel="1" spans="2:12">
      <c r="B261" s="8" t="s">
        <v>363</v>
      </c>
      <c r="C261" s="7" t="s">
        <v>379</v>
      </c>
      <c r="D261" s="8" t="s">
        <v>378</v>
      </c>
      <c r="E261" s="8" t="s">
        <v>304</v>
      </c>
      <c r="F261" s="15">
        <v>1</v>
      </c>
      <c r="G261" s="15">
        <v>0</v>
      </c>
      <c r="H261" s="15">
        <f t="shared" si="10"/>
        <v>1</v>
      </c>
      <c r="I261" s="15">
        <v>921</v>
      </c>
      <c r="J261" s="15">
        <f t="shared" si="11"/>
        <v>921</v>
      </c>
      <c r="K261" s="15"/>
      <c r="L261" s="7" t="s">
        <v>35</v>
      </c>
    </row>
    <row r="262" ht="22" customHeight="1" outlineLevel="1" spans="2:12">
      <c r="B262" s="10" t="s">
        <v>363</v>
      </c>
      <c r="C262" s="9" t="s">
        <v>380</v>
      </c>
      <c r="D262" s="10" t="s">
        <v>378</v>
      </c>
      <c r="E262" s="10" t="s">
        <v>304</v>
      </c>
      <c r="F262" s="16">
        <v>1</v>
      </c>
      <c r="G262" s="16">
        <v>0</v>
      </c>
      <c r="H262" s="16">
        <f t="shared" si="10"/>
        <v>1</v>
      </c>
      <c r="I262" s="16">
        <v>921</v>
      </c>
      <c r="J262" s="16">
        <f t="shared" si="11"/>
        <v>921</v>
      </c>
      <c r="K262" s="16"/>
      <c r="L262" s="9" t="s">
        <v>35</v>
      </c>
    </row>
    <row r="263" ht="22" customHeight="1" outlineLevel="1" spans="2:12">
      <c r="B263" s="8" t="s">
        <v>363</v>
      </c>
      <c r="C263" s="7" t="s">
        <v>381</v>
      </c>
      <c r="D263" s="8" t="s">
        <v>378</v>
      </c>
      <c r="E263" s="8" t="s">
        <v>304</v>
      </c>
      <c r="F263" s="15">
        <v>1</v>
      </c>
      <c r="G263" s="15">
        <v>0</v>
      </c>
      <c r="H263" s="15">
        <f t="shared" si="10"/>
        <v>1</v>
      </c>
      <c r="I263" s="15">
        <v>921</v>
      </c>
      <c r="J263" s="15">
        <f t="shared" si="11"/>
        <v>921</v>
      </c>
      <c r="K263" s="15"/>
      <c r="L263" s="7" t="s">
        <v>35</v>
      </c>
    </row>
    <row r="264" ht="22" customHeight="1" outlineLevel="1" spans="2:12">
      <c r="B264" s="10" t="s">
        <v>363</v>
      </c>
      <c r="C264" s="9" t="s">
        <v>382</v>
      </c>
      <c r="D264" s="10" t="s">
        <v>378</v>
      </c>
      <c r="E264" s="10" t="s">
        <v>304</v>
      </c>
      <c r="F264" s="16">
        <v>4</v>
      </c>
      <c r="G264" s="16">
        <v>0</v>
      </c>
      <c r="H264" s="16">
        <f t="shared" si="10"/>
        <v>4</v>
      </c>
      <c r="I264" s="16">
        <v>921</v>
      </c>
      <c r="J264" s="16">
        <f t="shared" si="11"/>
        <v>3684</v>
      </c>
      <c r="K264" s="16"/>
      <c r="L264" s="9" t="s">
        <v>35</v>
      </c>
    </row>
    <row r="265" ht="22" customHeight="1" outlineLevel="1" spans="2:12">
      <c r="B265" s="8" t="s">
        <v>383</v>
      </c>
      <c r="C265" s="7" t="s">
        <v>384</v>
      </c>
      <c r="D265" s="8" t="s">
        <v>385</v>
      </c>
      <c r="E265" s="8" t="s">
        <v>304</v>
      </c>
      <c r="F265" s="15">
        <v>1</v>
      </c>
      <c r="G265" s="15">
        <v>0</v>
      </c>
      <c r="H265" s="15">
        <f t="shared" si="10"/>
        <v>1</v>
      </c>
      <c r="I265" s="15">
        <v>246</v>
      </c>
      <c r="J265" s="15">
        <f t="shared" si="11"/>
        <v>246</v>
      </c>
      <c r="K265" s="15"/>
      <c r="L265" s="7" t="s">
        <v>35</v>
      </c>
    </row>
    <row r="266" ht="22" customHeight="1" outlineLevel="1" spans="2:12">
      <c r="B266" s="10" t="s">
        <v>383</v>
      </c>
      <c r="C266" s="9" t="s">
        <v>386</v>
      </c>
      <c r="D266" s="10" t="s">
        <v>387</v>
      </c>
      <c r="E266" s="10" t="s">
        <v>304</v>
      </c>
      <c r="F266" s="16">
        <v>1</v>
      </c>
      <c r="G266" s="16">
        <v>0</v>
      </c>
      <c r="H266" s="16">
        <f t="shared" ref="H266:H320" si="12">F266+G266</f>
        <v>1</v>
      </c>
      <c r="I266" s="16">
        <v>930</v>
      </c>
      <c r="J266" s="16">
        <f t="shared" ref="J266:J320" si="13">H266*I266</f>
        <v>930</v>
      </c>
      <c r="K266" s="16"/>
      <c r="L266" s="9" t="s">
        <v>35</v>
      </c>
    </row>
    <row r="267" ht="22" customHeight="1" outlineLevel="1" spans="2:12">
      <c r="B267" s="8" t="s">
        <v>383</v>
      </c>
      <c r="C267" s="7" t="s">
        <v>388</v>
      </c>
      <c r="D267" s="8" t="s">
        <v>387</v>
      </c>
      <c r="E267" s="8" t="s">
        <v>304</v>
      </c>
      <c r="F267" s="15">
        <v>1</v>
      </c>
      <c r="G267" s="15">
        <v>0</v>
      </c>
      <c r="H267" s="15">
        <f t="shared" si="12"/>
        <v>1</v>
      </c>
      <c r="I267" s="15">
        <v>930</v>
      </c>
      <c r="J267" s="15">
        <f t="shared" si="13"/>
        <v>930</v>
      </c>
      <c r="K267" s="15"/>
      <c r="L267" s="7" t="s">
        <v>35</v>
      </c>
    </row>
    <row r="268" ht="22" customHeight="1" outlineLevel="1" spans="2:12">
      <c r="B268" s="10" t="s">
        <v>383</v>
      </c>
      <c r="C268" s="9" t="s">
        <v>389</v>
      </c>
      <c r="D268" s="10" t="s">
        <v>387</v>
      </c>
      <c r="E268" s="10" t="s">
        <v>304</v>
      </c>
      <c r="F268" s="16">
        <v>1</v>
      </c>
      <c r="G268" s="16">
        <v>0</v>
      </c>
      <c r="H268" s="16">
        <f t="shared" si="12"/>
        <v>1</v>
      </c>
      <c r="I268" s="16">
        <v>930</v>
      </c>
      <c r="J268" s="16">
        <f t="shared" si="13"/>
        <v>930</v>
      </c>
      <c r="K268" s="16"/>
      <c r="L268" s="9" t="s">
        <v>35</v>
      </c>
    </row>
    <row r="269" ht="22" customHeight="1" outlineLevel="1" spans="2:12">
      <c r="B269" s="8" t="s">
        <v>383</v>
      </c>
      <c r="C269" s="7" t="s">
        <v>390</v>
      </c>
      <c r="D269" s="8" t="s">
        <v>387</v>
      </c>
      <c r="E269" s="8" t="s">
        <v>304</v>
      </c>
      <c r="F269" s="15">
        <v>1</v>
      </c>
      <c r="G269" s="15">
        <v>0</v>
      </c>
      <c r="H269" s="15">
        <f t="shared" si="12"/>
        <v>1</v>
      </c>
      <c r="I269" s="15">
        <v>930</v>
      </c>
      <c r="J269" s="15">
        <f t="shared" si="13"/>
        <v>930</v>
      </c>
      <c r="K269" s="15"/>
      <c r="L269" s="7" t="s">
        <v>35</v>
      </c>
    </row>
    <row r="270" ht="22" customHeight="1" outlineLevel="1" spans="2:12">
      <c r="B270" s="10" t="s">
        <v>383</v>
      </c>
      <c r="C270" s="9" t="s">
        <v>391</v>
      </c>
      <c r="D270" s="10" t="s">
        <v>387</v>
      </c>
      <c r="E270" s="10" t="s">
        <v>304</v>
      </c>
      <c r="F270" s="16">
        <v>1</v>
      </c>
      <c r="G270" s="16">
        <v>0</v>
      </c>
      <c r="H270" s="16">
        <f t="shared" si="12"/>
        <v>1</v>
      </c>
      <c r="I270" s="16">
        <v>1794</v>
      </c>
      <c r="J270" s="16">
        <f t="shared" si="13"/>
        <v>1794</v>
      </c>
      <c r="K270" s="16"/>
      <c r="L270" s="9" t="s">
        <v>35</v>
      </c>
    </row>
    <row r="271" ht="22" customHeight="1" outlineLevel="1" spans="2:12">
      <c r="B271" s="8" t="s">
        <v>383</v>
      </c>
      <c r="C271" s="7" t="s">
        <v>392</v>
      </c>
      <c r="D271" s="8" t="s">
        <v>387</v>
      </c>
      <c r="E271" s="8" t="s">
        <v>304</v>
      </c>
      <c r="F271" s="15">
        <v>1</v>
      </c>
      <c r="G271" s="15">
        <v>0</v>
      </c>
      <c r="H271" s="15">
        <f t="shared" si="12"/>
        <v>1</v>
      </c>
      <c r="I271" s="15">
        <v>930</v>
      </c>
      <c r="J271" s="15">
        <f t="shared" si="13"/>
        <v>930</v>
      </c>
      <c r="K271" s="15"/>
      <c r="L271" s="7" t="s">
        <v>35</v>
      </c>
    </row>
    <row r="272" ht="22" customHeight="1" outlineLevel="1" spans="2:12">
      <c r="B272" s="10" t="s">
        <v>383</v>
      </c>
      <c r="C272" s="9" t="s">
        <v>393</v>
      </c>
      <c r="D272" s="10" t="s">
        <v>387</v>
      </c>
      <c r="E272" s="10" t="s">
        <v>304</v>
      </c>
      <c r="F272" s="16">
        <v>1</v>
      </c>
      <c r="G272" s="16">
        <v>0</v>
      </c>
      <c r="H272" s="16">
        <f t="shared" si="12"/>
        <v>1</v>
      </c>
      <c r="I272" s="16">
        <v>246</v>
      </c>
      <c r="J272" s="16">
        <f t="shared" si="13"/>
        <v>246</v>
      </c>
      <c r="K272" s="16"/>
      <c r="L272" s="9" t="s">
        <v>35</v>
      </c>
    </row>
    <row r="273" ht="22" customHeight="1" outlineLevel="1" spans="2:12">
      <c r="B273" s="8" t="s">
        <v>383</v>
      </c>
      <c r="C273" s="7" t="s">
        <v>394</v>
      </c>
      <c r="D273" s="8" t="s">
        <v>387</v>
      </c>
      <c r="E273" s="8" t="s">
        <v>304</v>
      </c>
      <c r="F273" s="15">
        <v>1</v>
      </c>
      <c r="G273" s="15">
        <v>0</v>
      </c>
      <c r="H273" s="15">
        <f t="shared" si="12"/>
        <v>1</v>
      </c>
      <c r="I273" s="15">
        <v>1794</v>
      </c>
      <c r="J273" s="15">
        <f t="shared" si="13"/>
        <v>1794</v>
      </c>
      <c r="K273" s="15"/>
      <c r="L273" s="7" t="s">
        <v>35</v>
      </c>
    </row>
    <row r="274" ht="22" customHeight="1" outlineLevel="1" spans="2:12">
      <c r="B274" s="10" t="s">
        <v>383</v>
      </c>
      <c r="C274" s="9" t="s">
        <v>395</v>
      </c>
      <c r="D274" s="10" t="s">
        <v>387</v>
      </c>
      <c r="E274" s="10" t="s">
        <v>304</v>
      </c>
      <c r="F274" s="16">
        <v>1</v>
      </c>
      <c r="G274" s="16">
        <v>0</v>
      </c>
      <c r="H274" s="16">
        <f t="shared" si="12"/>
        <v>1</v>
      </c>
      <c r="I274" s="16">
        <v>1794</v>
      </c>
      <c r="J274" s="16">
        <f t="shared" si="13"/>
        <v>1794</v>
      </c>
      <c r="K274" s="16"/>
      <c r="L274" s="9" t="s">
        <v>35</v>
      </c>
    </row>
    <row r="275" ht="22" customHeight="1" outlineLevel="1" spans="2:12">
      <c r="B275" s="8" t="s">
        <v>383</v>
      </c>
      <c r="C275" s="7" t="s">
        <v>396</v>
      </c>
      <c r="D275" s="8" t="s">
        <v>387</v>
      </c>
      <c r="E275" s="8" t="s">
        <v>304</v>
      </c>
      <c r="F275" s="15">
        <v>1</v>
      </c>
      <c r="G275" s="15">
        <v>0</v>
      </c>
      <c r="H275" s="15">
        <f t="shared" si="12"/>
        <v>1</v>
      </c>
      <c r="I275" s="15">
        <v>426</v>
      </c>
      <c r="J275" s="15">
        <f t="shared" si="13"/>
        <v>426</v>
      </c>
      <c r="K275" s="15"/>
      <c r="L275" s="7" t="s">
        <v>35</v>
      </c>
    </row>
    <row r="276" ht="22" customHeight="1" outlineLevel="1" spans="2:12">
      <c r="B276" s="10" t="s">
        <v>383</v>
      </c>
      <c r="C276" s="9" t="s">
        <v>397</v>
      </c>
      <c r="D276" s="10" t="s">
        <v>387</v>
      </c>
      <c r="E276" s="10" t="s">
        <v>304</v>
      </c>
      <c r="F276" s="16">
        <v>1</v>
      </c>
      <c r="G276" s="16">
        <v>0</v>
      </c>
      <c r="H276" s="16">
        <f t="shared" si="12"/>
        <v>1</v>
      </c>
      <c r="I276" s="16">
        <v>426</v>
      </c>
      <c r="J276" s="16">
        <f t="shared" si="13"/>
        <v>426</v>
      </c>
      <c r="K276" s="16"/>
      <c r="L276" s="9" t="s">
        <v>35</v>
      </c>
    </row>
    <row r="277" ht="22" customHeight="1" outlineLevel="1" spans="2:12">
      <c r="B277" s="8" t="s">
        <v>383</v>
      </c>
      <c r="C277" s="7" t="s">
        <v>398</v>
      </c>
      <c r="D277" s="8" t="s">
        <v>387</v>
      </c>
      <c r="E277" s="8" t="s">
        <v>304</v>
      </c>
      <c r="F277" s="15">
        <v>1</v>
      </c>
      <c r="G277" s="15">
        <v>0</v>
      </c>
      <c r="H277" s="15">
        <f t="shared" si="12"/>
        <v>1</v>
      </c>
      <c r="I277" s="15">
        <v>426</v>
      </c>
      <c r="J277" s="15">
        <f t="shared" si="13"/>
        <v>426</v>
      </c>
      <c r="K277" s="15"/>
      <c r="L277" s="7" t="s">
        <v>35</v>
      </c>
    </row>
    <row r="278" ht="22" customHeight="1" outlineLevel="1" spans="2:12">
      <c r="B278" s="10" t="s">
        <v>383</v>
      </c>
      <c r="C278" s="9" t="s">
        <v>399</v>
      </c>
      <c r="D278" s="10" t="s">
        <v>400</v>
      </c>
      <c r="E278" s="10" t="s">
        <v>304</v>
      </c>
      <c r="F278" s="16">
        <v>4</v>
      </c>
      <c r="G278" s="16">
        <v>0</v>
      </c>
      <c r="H278" s="16">
        <f t="shared" si="12"/>
        <v>4</v>
      </c>
      <c r="I278" s="16">
        <v>1652</v>
      </c>
      <c r="J278" s="16">
        <f t="shared" si="13"/>
        <v>6608</v>
      </c>
      <c r="K278" s="16"/>
      <c r="L278" s="9" t="s">
        <v>35</v>
      </c>
    </row>
    <row r="279" ht="22" customHeight="1" outlineLevel="1" spans="2:12">
      <c r="B279" s="8" t="s">
        <v>383</v>
      </c>
      <c r="C279" s="7" t="s">
        <v>401</v>
      </c>
      <c r="D279" s="8" t="s">
        <v>400</v>
      </c>
      <c r="E279" s="8" t="s">
        <v>304</v>
      </c>
      <c r="F279" s="15">
        <v>2</v>
      </c>
      <c r="G279" s="15">
        <v>0</v>
      </c>
      <c r="H279" s="15">
        <f t="shared" si="12"/>
        <v>2</v>
      </c>
      <c r="I279" s="15">
        <v>608</v>
      </c>
      <c r="J279" s="15">
        <f t="shared" si="13"/>
        <v>1216</v>
      </c>
      <c r="K279" s="15"/>
      <c r="L279" s="7" t="s">
        <v>35</v>
      </c>
    </row>
    <row r="280" ht="22" customHeight="1" outlineLevel="1" spans="2:12">
      <c r="B280" s="10" t="s">
        <v>383</v>
      </c>
      <c r="C280" s="9" t="s">
        <v>402</v>
      </c>
      <c r="D280" s="10" t="s">
        <v>400</v>
      </c>
      <c r="E280" s="10" t="s">
        <v>304</v>
      </c>
      <c r="F280" s="16">
        <v>2</v>
      </c>
      <c r="G280" s="16">
        <v>0</v>
      </c>
      <c r="H280" s="16">
        <f t="shared" si="12"/>
        <v>2</v>
      </c>
      <c r="I280" s="16">
        <v>260</v>
      </c>
      <c r="J280" s="16">
        <f t="shared" si="13"/>
        <v>520</v>
      </c>
      <c r="K280" s="16"/>
      <c r="L280" s="9" t="s">
        <v>35</v>
      </c>
    </row>
    <row r="281" ht="22" customHeight="1" outlineLevel="1" spans="2:12">
      <c r="B281" s="8" t="s">
        <v>383</v>
      </c>
      <c r="C281" s="7" t="s">
        <v>403</v>
      </c>
      <c r="D281" s="8" t="s">
        <v>400</v>
      </c>
      <c r="E281" s="8" t="s">
        <v>304</v>
      </c>
      <c r="F281" s="15">
        <v>31</v>
      </c>
      <c r="G281" s="15">
        <v>0</v>
      </c>
      <c r="H281" s="15">
        <f t="shared" si="12"/>
        <v>31</v>
      </c>
      <c r="I281" s="15">
        <v>622</v>
      </c>
      <c r="J281" s="15">
        <f t="shared" si="13"/>
        <v>19282</v>
      </c>
      <c r="K281" s="15"/>
      <c r="L281" s="7" t="s">
        <v>35</v>
      </c>
    </row>
    <row r="282" ht="22" customHeight="1" outlineLevel="1" spans="2:12">
      <c r="B282" s="10" t="s">
        <v>383</v>
      </c>
      <c r="C282" s="9" t="s">
        <v>404</v>
      </c>
      <c r="D282" s="10" t="s">
        <v>400</v>
      </c>
      <c r="E282" s="10" t="s">
        <v>304</v>
      </c>
      <c r="F282" s="16">
        <v>1</v>
      </c>
      <c r="G282" s="16">
        <v>0</v>
      </c>
      <c r="H282" s="16">
        <f t="shared" si="12"/>
        <v>1</v>
      </c>
      <c r="I282" s="16">
        <v>1119</v>
      </c>
      <c r="J282" s="16">
        <f t="shared" si="13"/>
        <v>1119</v>
      </c>
      <c r="K282" s="16"/>
      <c r="L282" s="9" t="s">
        <v>35</v>
      </c>
    </row>
    <row r="283" ht="22" customHeight="1" outlineLevel="1" spans="2:12">
      <c r="B283" s="8" t="s">
        <v>383</v>
      </c>
      <c r="C283" s="7" t="s">
        <v>405</v>
      </c>
      <c r="D283" s="8" t="s">
        <v>400</v>
      </c>
      <c r="E283" s="8" t="s">
        <v>304</v>
      </c>
      <c r="F283" s="15">
        <v>6</v>
      </c>
      <c r="G283" s="15">
        <v>0</v>
      </c>
      <c r="H283" s="15">
        <f t="shared" si="12"/>
        <v>6</v>
      </c>
      <c r="I283" s="15">
        <v>1120</v>
      </c>
      <c r="J283" s="15">
        <f t="shared" si="13"/>
        <v>6720</v>
      </c>
      <c r="K283" s="15"/>
      <c r="L283" s="7" t="s">
        <v>35</v>
      </c>
    </row>
    <row r="284" ht="22" customHeight="1" outlineLevel="1" spans="2:12">
      <c r="B284" s="10" t="s">
        <v>383</v>
      </c>
      <c r="C284" s="9" t="s">
        <v>406</v>
      </c>
      <c r="D284" s="10" t="s">
        <v>400</v>
      </c>
      <c r="E284" s="10" t="s">
        <v>304</v>
      </c>
      <c r="F284" s="16">
        <v>1</v>
      </c>
      <c r="G284" s="16">
        <v>0</v>
      </c>
      <c r="H284" s="16">
        <f t="shared" si="12"/>
        <v>1</v>
      </c>
      <c r="I284" s="16">
        <v>581</v>
      </c>
      <c r="J284" s="16">
        <f t="shared" si="13"/>
        <v>581</v>
      </c>
      <c r="K284" s="16"/>
      <c r="L284" s="9" t="s">
        <v>35</v>
      </c>
    </row>
    <row r="285" ht="22" customHeight="1" outlineLevel="1" spans="2:12">
      <c r="B285" s="8" t="s">
        <v>383</v>
      </c>
      <c r="C285" s="7" t="s">
        <v>407</v>
      </c>
      <c r="D285" s="8" t="s">
        <v>400</v>
      </c>
      <c r="E285" s="8" t="s">
        <v>304</v>
      </c>
      <c r="F285" s="15">
        <v>7</v>
      </c>
      <c r="G285" s="15">
        <v>0</v>
      </c>
      <c r="H285" s="15">
        <f t="shared" si="12"/>
        <v>7</v>
      </c>
      <c r="I285" s="15">
        <v>140</v>
      </c>
      <c r="J285" s="15">
        <f t="shared" si="13"/>
        <v>980</v>
      </c>
      <c r="K285" s="15"/>
      <c r="L285" s="7" t="s">
        <v>35</v>
      </c>
    </row>
    <row r="286" ht="22" customHeight="1" outlineLevel="1" spans="2:12">
      <c r="B286" s="10" t="s">
        <v>383</v>
      </c>
      <c r="C286" s="9" t="s">
        <v>408</v>
      </c>
      <c r="D286" s="10" t="s">
        <v>400</v>
      </c>
      <c r="E286" s="10" t="s">
        <v>304</v>
      </c>
      <c r="F286" s="16">
        <v>1</v>
      </c>
      <c r="G286" s="16">
        <v>0</v>
      </c>
      <c r="H286" s="16">
        <f t="shared" si="12"/>
        <v>1</v>
      </c>
      <c r="I286" s="16">
        <v>1295</v>
      </c>
      <c r="J286" s="16">
        <f t="shared" si="13"/>
        <v>1295</v>
      </c>
      <c r="K286" s="16"/>
      <c r="L286" s="9" t="s">
        <v>35</v>
      </c>
    </row>
    <row r="287" ht="22" customHeight="1" outlineLevel="1" spans="2:12">
      <c r="B287" s="8" t="s">
        <v>383</v>
      </c>
      <c r="C287" s="7" t="s">
        <v>409</v>
      </c>
      <c r="D287" s="8" t="s">
        <v>400</v>
      </c>
      <c r="E287" s="8" t="s">
        <v>304</v>
      </c>
      <c r="F287" s="15">
        <v>1</v>
      </c>
      <c r="G287" s="15">
        <v>0</v>
      </c>
      <c r="H287" s="15">
        <f t="shared" si="12"/>
        <v>1</v>
      </c>
      <c r="I287" s="15">
        <v>1092</v>
      </c>
      <c r="J287" s="15">
        <f t="shared" si="13"/>
        <v>1092</v>
      </c>
      <c r="K287" s="15"/>
      <c r="L287" s="7" t="s">
        <v>35</v>
      </c>
    </row>
    <row r="288" ht="22" customHeight="1" outlineLevel="1" spans="2:12">
      <c r="B288" s="10" t="s">
        <v>383</v>
      </c>
      <c r="C288" s="9" t="s">
        <v>410</v>
      </c>
      <c r="D288" s="10" t="s">
        <v>400</v>
      </c>
      <c r="E288" s="10" t="s">
        <v>304</v>
      </c>
      <c r="F288" s="16">
        <v>2</v>
      </c>
      <c r="G288" s="16">
        <v>0</v>
      </c>
      <c r="H288" s="16">
        <f t="shared" si="12"/>
        <v>2</v>
      </c>
      <c r="I288" s="16">
        <v>1092</v>
      </c>
      <c r="J288" s="16">
        <f t="shared" si="13"/>
        <v>2184</v>
      </c>
      <c r="K288" s="16"/>
      <c r="L288" s="9" t="s">
        <v>35</v>
      </c>
    </row>
    <row r="289" ht="22" customHeight="1" outlineLevel="1" spans="2:12">
      <c r="B289" s="8" t="s">
        <v>383</v>
      </c>
      <c r="C289" s="7" t="s">
        <v>411</v>
      </c>
      <c r="D289" s="8" t="s">
        <v>400</v>
      </c>
      <c r="E289" s="8" t="s">
        <v>304</v>
      </c>
      <c r="F289" s="15">
        <v>3</v>
      </c>
      <c r="G289" s="15">
        <v>0</v>
      </c>
      <c r="H289" s="15">
        <f t="shared" si="12"/>
        <v>3</v>
      </c>
      <c r="I289" s="15">
        <v>1001</v>
      </c>
      <c r="J289" s="15">
        <f t="shared" si="13"/>
        <v>3003</v>
      </c>
      <c r="K289" s="15"/>
      <c r="L289" s="7" t="s">
        <v>35</v>
      </c>
    </row>
    <row r="290" ht="22" customHeight="1" outlineLevel="1" spans="2:12">
      <c r="B290" s="10" t="s">
        <v>383</v>
      </c>
      <c r="C290" s="9" t="s">
        <v>412</v>
      </c>
      <c r="D290" s="10" t="s">
        <v>400</v>
      </c>
      <c r="E290" s="10" t="s">
        <v>304</v>
      </c>
      <c r="F290" s="16">
        <v>2</v>
      </c>
      <c r="G290" s="16">
        <v>0</v>
      </c>
      <c r="H290" s="16">
        <f t="shared" si="12"/>
        <v>2</v>
      </c>
      <c r="I290" s="16">
        <v>854</v>
      </c>
      <c r="J290" s="16">
        <f t="shared" si="13"/>
        <v>1708</v>
      </c>
      <c r="K290" s="16"/>
      <c r="L290" s="9" t="s">
        <v>35</v>
      </c>
    </row>
    <row r="291" ht="22" customHeight="1" outlineLevel="1" spans="2:12">
      <c r="B291" s="8" t="s">
        <v>383</v>
      </c>
      <c r="C291" s="7" t="s">
        <v>413</v>
      </c>
      <c r="D291" s="8" t="s">
        <v>400</v>
      </c>
      <c r="E291" s="8" t="s">
        <v>304</v>
      </c>
      <c r="F291" s="15">
        <v>4</v>
      </c>
      <c r="G291" s="15">
        <v>0</v>
      </c>
      <c r="H291" s="15">
        <f t="shared" si="12"/>
        <v>4</v>
      </c>
      <c r="I291" s="15">
        <v>1204</v>
      </c>
      <c r="J291" s="15">
        <f t="shared" si="13"/>
        <v>4816</v>
      </c>
      <c r="K291" s="15"/>
      <c r="L291" s="7" t="s">
        <v>35</v>
      </c>
    </row>
    <row r="292" ht="22" customHeight="1" outlineLevel="1" spans="2:12">
      <c r="B292" s="10" t="s">
        <v>383</v>
      </c>
      <c r="C292" s="9" t="s">
        <v>414</v>
      </c>
      <c r="D292" s="10" t="s">
        <v>415</v>
      </c>
      <c r="E292" s="10" t="s">
        <v>304</v>
      </c>
      <c r="F292" s="16">
        <v>22</v>
      </c>
      <c r="G292" s="16">
        <v>0</v>
      </c>
      <c r="H292" s="16">
        <f t="shared" si="12"/>
        <v>22</v>
      </c>
      <c r="I292" s="16">
        <v>294</v>
      </c>
      <c r="J292" s="16">
        <f t="shared" si="13"/>
        <v>6468</v>
      </c>
      <c r="K292" s="16"/>
      <c r="L292" s="9" t="s">
        <v>35</v>
      </c>
    </row>
    <row r="293" ht="22" customHeight="1" outlineLevel="1" spans="2:12">
      <c r="B293" s="8" t="s">
        <v>383</v>
      </c>
      <c r="C293" s="7" t="s">
        <v>416</v>
      </c>
      <c r="D293" s="8" t="s">
        <v>415</v>
      </c>
      <c r="E293" s="8" t="s">
        <v>304</v>
      </c>
      <c r="F293" s="15">
        <v>2</v>
      </c>
      <c r="G293" s="15">
        <v>0</v>
      </c>
      <c r="H293" s="15">
        <f t="shared" si="12"/>
        <v>2</v>
      </c>
      <c r="I293" s="15">
        <v>854</v>
      </c>
      <c r="J293" s="15">
        <f t="shared" si="13"/>
        <v>1708</v>
      </c>
      <c r="K293" s="15"/>
      <c r="L293" s="7" t="s">
        <v>35</v>
      </c>
    </row>
    <row r="294" ht="22" customHeight="1" outlineLevel="1" spans="2:12">
      <c r="B294" s="10" t="s">
        <v>383</v>
      </c>
      <c r="C294" s="9" t="s">
        <v>417</v>
      </c>
      <c r="D294" s="10" t="s">
        <v>415</v>
      </c>
      <c r="E294" s="10" t="s">
        <v>304</v>
      </c>
      <c r="F294" s="16">
        <v>2</v>
      </c>
      <c r="G294" s="16">
        <v>0</v>
      </c>
      <c r="H294" s="16">
        <f t="shared" si="12"/>
        <v>2</v>
      </c>
      <c r="I294" s="16">
        <v>1715</v>
      </c>
      <c r="J294" s="16">
        <f t="shared" si="13"/>
        <v>3430</v>
      </c>
      <c r="K294" s="16"/>
      <c r="L294" s="9" t="s">
        <v>35</v>
      </c>
    </row>
    <row r="295" ht="22" customHeight="1" outlineLevel="1" spans="2:12">
      <c r="B295" s="8" t="s">
        <v>383</v>
      </c>
      <c r="C295" s="7" t="s">
        <v>418</v>
      </c>
      <c r="D295" s="8" t="s">
        <v>415</v>
      </c>
      <c r="E295" s="8" t="s">
        <v>304</v>
      </c>
      <c r="F295" s="15">
        <v>1</v>
      </c>
      <c r="G295" s="15">
        <v>0</v>
      </c>
      <c r="H295" s="15">
        <f t="shared" si="12"/>
        <v>1</v>
      </c>
      <c r="I295" s="15">
        <v>700</v>
      </c>
      <c r="J295" s="15">
        <f t="shared" si="13"/>
        <v>700</v>
      </c>
      <c r="K295" s="15"/>
      <c r="L295" s="7" t="s">
        <v>35</v>
      </c>
    </row>
    <row r="296" ht="22" customHeight="1" outlineLevel="1" spans="2:12">
      <c r="B296" s="10" t="s">
        <v>383</v>
      </c>
      <c r="C296" s="9" t="s">
        <v>419</v>
      </c>
      <c r="D296" s="10" t="s">
        <v>415</v>
      </c>
      <c r="E296" s="10" t="s">
        <v>304</v>
      </c>
      <c r="F296" s="16">
        <v>1</v>
      </c>
      <c r="G296" s="16">
        <v>0</v>
      </c>
      <c r="H296" s="16">
        <f t="shared" si="12"/>
        <v>1</v>
      </c>
      <c r="I296" s="16">
        <v>2030</v>
      </c>
      <c r="J296" s="16">
        <f t="shared" si="13"/>
        <v>2030</v>
      </c>
      <c r="K296" s="16"/>
      <c r="L296" s="9" t="s">
        <v>35</v>
      </c>
    </row>
    <row r="297" ht="22" customHeight="1" outlineLevel="1" spans="2:12">
      <c r="B297" s="8" t="s">
        <v>383</v>
      </c>
      <c r="C297" s="7" t="s">
        <v>420</v>
      </c>
      <c r="D297" s="8" t="s">
        <v>421</v>
      </c>
      <c r="E297" s="8" t="s">
        <v>304</v>
      </c>
      <c r="F297" s="15">
        <v>5</v>
      </c>
      <c r="G297" s="15">
        <v>0</v>
      </c>
      <c r="H297" s="15">
        <f t="shared" si="12"/>
        <v>5</v>
      </c>
      <c r="I297" s="15">
        <v>1456</v>
      </c>
      <c r="J297" s="15">
        <f t="shared" si="13"/>
        <v>7280</v>
      </c>
      <c r="K297" s="15"/>
      <c r="L297" s="7" t="s">
        <v>35</v>
      </c>
    </row>
    <row r="298" ht="22" customHeight="1" outlineLevel="1" spans="2:12">
      <c r="B298" s="10" t="s">
        <v>383</v>
      </c>
      <c r="C298" s="9" t="s">
        <v>422</v>
      </c>
      <c r="D298" s="10" t="s">
        <v>421</v>
      </c>
      <c r="E298" s="10" t="s">
        <v>304</v>
      </c>
      <c r="F298" s="16">
        <v>1</v>
      </c>
      <c r="G298" s="16">
        <v>0</v>
      </c>
      <c r="H298" s="16">
        <f t="shared" si="12"/>
        <v>1</v>
      </c>
      <c r="I298" s="16">
        <v>1596</v>
      </c>
      <c r="J298" s="16">
        <f t="shared" si="13"/>
        <v>1596</v>
      </c>
      <c r="K298" s="16"/>
      <c r="L298" s="9" t="s">
        <v>35</v>
      </c>
    </row>
    <row r="299" ht="22" customHeight="1" outlineLevel="1" spans="2:12">
      <c r="B299" s="8" t="s">
        <v>383</v>
      </c>
      <c r="C299" s="7" t="s">
        <v>423</v>
      </c>
      <c r="D299" s="8" t="s">
        <v>424</v>
      </c>
      <c r="E299" s="8" t="s">
        <v>304</v>
      </c>
      <c r="F299" s="15">
        <v>1</v>
      </c>
      <c r="G299" s="15">
        <v>0</v>
      </c>
      <c r="H299" s="15">
        <f t="shared" si="12"/>
        <v>1</v>
      </c>
      <c r="I299" s="15">
        <v>622</v>
      </c>
      <c r="J299" s="15">
        <f t="shared" si="13"/>
        <v>622</v>
      </c>
      <c r="K299" s="15"/>
      <c r="L299" s="7" t="s">
        <v>35</v>
      </c>
    </row>
    <row r="300" ht="22" customHeight="1" outlineLevel="1" spans="2:12">
      <c r="B300" s="10" t="s">
        <v>383</v>
      </c>
      <c r="C300" s="9" t="s">
        <v>425</v>
      </c>
      <c r="D300" s="10" t="s">
        <v>424</v>
      </c>
      <c r="E300" s="10" t="s">
        <v>304</v>
      </c>
      <c r="F300" s="16">
        <v>1</v>
      </c>
      <c r="G300" s="16">
        <v>0</v>
      </c>
      <c r="H300" s="16">
        <f t="shared" si="12"/>
        <v>1</v>
      </c>
      <c r="I300" s="16">
        <v>1155</v>
      </c>
      <c r="J300" s="16">
        <f t="shared" si="13"/>
        <v>1155</v>
      </c>
      <c r="K300" s="16"/>
      <c r="L300" s="9" t="s">
        <v>35</v>
      </c>
    </row>
    <row r="301" ht="22" customHeight="1" outlineLevel="1" spans="2:12">
      <c r="B301" s="8" t="s">
        <v>383</v>
      </c>
      <c r="C301" s="7" t="s">
        <v>426</v>
      </c>
      <c r="D301" s="8" t="s">
        <v>424</v>
      </c>
      <c r="E301" s="8" t="s">
        <v>304</v>
      </c>
      <c r="F301" s="15">
        <v>18</v>
      </c>
      <c r="G301" s="15">
        <v>0</v>
      </c>
      <c r="H301" s="15">
        <f t="shared" si="12"/>
        <v>18</v>
      </c>
      <c r="I301" s="15">
        <v>909</v>
      </c>
      <c r="J301" s="15">
        <f t="shared" si="13"/>
        <v>16362</v>
      </c>
      <c r="K301" s="15"/>
      <c r="L301" s="7" t="s">
        <v>35</v>
      </c>
    </row>
    <row r="302" ht="22" customHeight="1" outlineLevel="1" spans="2:12">
      <c r="B302" s="10" t="s">
        <v>427</v>
      </c>
      <c r="C302" s="9" t="s">
        <v>428</v>
      </c>
      <c r="D302" s="10" t="s">
        <v>429</v>
      </c>
      <c r="E302" s="10" t="s">
        <v>304</v>
      </c>
      <c r="F302" s="16">
        <v>28</v>
      </c>
      <c r="G302" s="16">
        <v>0</v>
      </c>
      <c r="H302" s="16">
        <f t="shared" si="12"/>
        <v>28</v>
      </c>
      <c r="I302" s="16">
        <v>420</v>
      </c>
      <c r="J302" s="16">
        <f t="shared" si="13"/>
        <v>11760</v>
      </c>
      <c r="K302" s="16"/>
      <c r="L302" s="9" t="s">
        <v>35</v>
      </c>
    </row>
    <row r="303" ht="22" customHeight="1" outlineLevel="1" spans="2:12">
      <c r="B303" s="8" t="s">
        <v>427</v>
      </c>
      <c r="C303" s="7" t="s">
        <v>430</v>
      </c>
      <c r="D303" s="8" t="s">
        <v>431</v>
      </c>
      <c r="E303" s="8" t="s">
        <v>304</v>
      </c>
      <c r="F303" s="15">
        <v>1</v>
      </c>
      <c r="G303" s="15">
        <v>0</v>
      </c>
      <c r="H303" s="15">
        <f t="shared" si="12"/>
        <v>1</v>
      </c>
      <c r="I303" s="15">
        <v>62</v>
      </c>
      <c r="J303" s="15">
        <f t="shared" si="13"/>
        <v>62</v>
      </c>
      <c r="K303" s="15"/>
      <c r="L303" s="7" t="s">
        <v>35</v>
      </c>
    </row>
    <row r="304" ht="22" customHeight="1" outlineLevel="1" spans="2:12">
      <c r="B304" s="10" t="s">
        <v>427</v>
      </c>
      <c r="C304" s="9" t="s">
        <v>432</v>
      </c>
      <c r="D304" s="10" t="s">
        <v>52</v>
      </c>
      <c r="E304" s="10" t="s">
        <v>304</v>
      </c>
      <c r="F304" s="16">
        <v>34</v>
      </c>
      <c r="G304" s="16">
        <v>0</v>
      </c>
      <c r="H304" s="16">
        <f t="shared" si="12"/>
        <v>34</v>
      </c>
      <c r="I304" s="16">
        <v>5</v>
      </c>
      <c r="J304" s="16">
        <f t="shared" si="13"/>
        <v>170</v>
      </c>
      <c r="K304" s="16"/>
      <c r="L304" s="9" t="s">
        <v>35</v>
      </c>
    </row>
    <row r="305" ht="22" customHeight="1" outlineLevel="1" spans="2:12">
      <c r="B305" s="8" t="s">
        <v>427</v>
      </c>
      <c r="C305" s="7" t="s">
        <v>433</v>
      </c>
      <c r="D305" s="8" t="s">
        <v>434</v>
      </c>
      <c r="E305" s="8" t="s">
        <v>304</v>
      </c>
      <c r="F305" s="15">
        <v>20</v>
      </c>
      <c r="G305" s="15">
        <v>0</v>
      </c>
      <c r="H305" s="15">
        <f t="shared" si="12"/>
        <v>20</v>
      </c>
      <c r="I305" s="15">
        <v>300</v>
      </c>
      <c r="J305" s="15">
        <f t="shared" si="13"/>
        <v>6000</v>
      </c>
      <c r="K305" s="15"/>
      <c r="L305" s="7" t="s">
        <v>35</v>
      </c>
    </row>
    <row r="306" ht="22" customHeight="1" outlineLevel="1" spans="2:12">
      <c r="B306" s="10" t="s">
        <v>427</v>
      </c>
      <c r="C306" s="9" t="s">
        <v>435</v>
      </c>
      <c r="D306" s="10" t="s">
        <v>436</v>
      </c>
      <c r="E306" s="10" t="s">
        <v>304</v>
      </c>
      <c r="F306" s="16">
        <v>4</v>
      </c>
      <c r="G306" s="16">
        <v>0</v>
      </c>
      <c r="H306" s="16">
        <f t="shared" si="12"/>
        <v>4</v>
      </c>
      <c r="I306" s="16">
        <v>213.5</v>
      </c>
      <c r="J306" s="16">
        <f t="shared" si="13"/>
        <v>854</v>
      </c>
      <c r="K306" s="16"/>
      <c r="L306" s="9" t="s">
        <v>35</v>
      </c>
    </row>
    <row r="307" ht="22" customHeight="1" outlineLevel="1" spans="2:12">
      <c r="B307" s="8" t="s">
        <v>427</v>
      </c>
      <c r="C307" s="7" t="s">
        <v>437</v>
      </c>
      <c r="D307" s="8" t="s">
        <v>436</v>
      </c>
      <c r="E307" s="8" t="s">
        <v>304</v>
      </c>
      <c r="F307" s="15">
        <v>1</v>
      </c>
      <c r="G307" s="15">
        <v>0</v>
      </c>
      <c r="H307" s="15">
        <f t="shared" si="12"/>
        <v>1</v>
      </c>
      <c r="I307" s="15">
        <v>213.5</v>
      </c>
      <c r="J307" s="15">
        <f t="shared" si="13"/>
        <v>213.5</v>
      </c>
      <c r="K307" s="15"/>
      <c r="L307" s="7" t="s">
        <v>35</v>
      </c>
    </row>
    <row r="308" ht="22" customHeight="1" outlineLevel="1" spans="2:12">
      <c r="B308" s="10" t="s">
        <v>427</v>
      </c>
      <c r="C308" s="9" t="s">
        <v>438</v>
      </c>
      <c r="D308" s="10" t="s">
        <v>439</v>
      </c>
      <c r="E308" s="10" t="s">
        <v>304</v>
      </c>
      <c r="F308" s="16">
        <v>5</v>
      </c>
      <c r="G308" s="16">
        <v>0</v>
      </c>
      <c r="H308" s="16">
        <f t="shared" si="12"/>
        <v>5</v>
      </c>
      <c r="I308" s="16">
        <v>454</v>
      </c>
      <c r="J308" s="16">
        <f t="shared" si="13"/>
        <v>2270</v>
      </c>
      <c r="K308" s="16"/>
      <c r="L308" s="9" t="s">
        <v>35</v>
      </c>
    </row>
    <row r="309" ht="22" customHeight="1" outlineLevel="1" spans="2:12">
      <c r="B309" s="8" t="s">
        <v>427</v>
      </c>
      <c r="C309" s="7" t="s">
        <v>440</v>
      </c>
      <c r="D309" s="8" t="s">
        <v>439</v>
      </c>
      <c r="E309" s="8" t="s">
        <v>304</v>
      </c>
      <c r="F309" s="15">
        <v>11</v>
      </c>
      <c r="G309" s="15">
        <v>0</v>
      </c>
      <c r="H309" s="15">
        <f t="shared" si="12"/>
        <v>11</v>
      </c>
      <c r="I309" s="15">
        <v>109</v>
      </c>
      <c r="J309" s="15">
        <f t="shared" si="13"/>
        <v>1199</v>
      </c>
      <c r="K309" s="15"/>
      <c r="L309" s="7" t="s">
        <v>35</v>
      </c>
    </row>
    <row r="310" ht="22" customHeight="1" outlineLevel="1" spans="2:12">
      <c r="B310" s="10" t="s">
        <v>427</v>
      </c>
      <c r="C310" s="9" t="s">
        <v>441</v>
      </c>
      <c r="D310" s="10" t="s">
        <v>439</v>
      </c>
      <c r="E310" s="10" t="s">
        <v>304</v>
      </c>
      <c r="F310" s="16">
        <v>3</v>
      </c>
      <c r="G310" s="16">
        <v>0</v>
      </c>
      <c r="H310" s="16">
        <f t="shared" si="12"/>
        <v>3</v>
      </c>
      <c r="I310" s="16">
        <v>178</v>
      </c>
      <c r="J310" s="16">
        <f t="shared" si="13"/>
        <v>534</v>
      </c>
      <c r="K310" s="16"/>
      <c r="L310" s="9" t="s">
        <v>35</v>
      </c>
    </row>
    <row r="311" ht="22" customHeight="1" outlineLevel="1" spans="2:12">
      <c r="B311" s="8" t="s">
        <v>427</v>
      </c>
      <c r="C311" s="7" t="s">
        <v>442</v>
      </c>
      <c r="D311" s="8" t="s">
        <v>439</v>
      </c>
      <c r="E311" s="8" t="s">
        <v>304</v>
      </c>
      <c r="F311" s="15">
        <v>3</v>
      </c>
      <c r="G311" s="15">
        <v>0</v>
      </c>
      <c r="H311" s="15">
        <f t="shared" si="12"/>
        <v>3</v>
      </c>
      <c r="I311" s="15">
        <v>278</v>
      </c>
      <c r="J311" s="15">
        <f t="shared" si="13"/>
        <v>834</v>
      </c>
      <c r="K311" s="15"/>
      <c r="L311" s="7" t="s">
        <v>35</v>
      </c>
    </row>
    <row r="312" ht="22" customHeight="1" outlineLevel="1" spans="2:12">
      <c r="B312" s="10" t="s">
        <v>427</v>
      </c>
      <c r="C312" s="9" t="s">
        <v>443</v>
      </c>
      <c r="D312" s="10" t="s">
        <v>439</v>
      </c>
      <c r="E312" s="10" t="s">
        <v>304</v>
      </c>
      <c r="F312" s="16">
        <v>1</v>
      </c>
      <c r="G312" s="16">
        <v>0</v>
      </c>
      <c r="H312" s="16">
        <f t="shared" si="12"/>
        <v>1</v>
      </c>
      <c r="I312" s="16">
        <v>252</v>
      </c>
      <c r="J312" s="16">
        <f t="shared" si="13"/>
        <v>252</v>
      </c>
      <c r="K312" s="16"/>
      <c r="L312" s="9" t="s">
        <v>35</v>
      </c>
    </row>
    <row r="313" ht="22" customHeight="1" outlineLevel="1" spans="2:12">
      <c r="B313" s="8" t="s">
        <v>427</v>
      </c>
      <c r="C313" s="7" t="s">
        <v>444</v>
      </c>
      <c r="D313" s="8" t="s">
        <v>445</v>
      </c>
      <c r="E313" s="8" t="s">
        <v>304</v>
      </c>
      <c r="F313" s="15">
        <v>20</v>
      </c>
      <c r="G313" s="15">
        <v>0</v>
      </c>
      <c r="H313" s="15">
        <f t="shared" si="12"/>
        <v>20</v>
      </c>
      <c r="I313" s="15">
        <v>250</v>
      </c>
      <c r="J313" s="15">
        <f t="shared" si="13"/>
        <v>5000</v>
      </c>
      <c r="K313" s="15"/>
      <c r="L313" s="7" t="s">
        <v>35</v>
      </c>
    </row>
    <row r="314" ht="22" customHeight="1" outlineLevel="1" spans="2:12">
      <c r="B314" s="10" t="s">
        <v>427</v>
      </c>
      <c r="C314" s="9" t="s">
        <v>446</v>
      </c>
      <c r="D314" s="10" t="s">
        <v>445</v>
      </c>
      <c r="E314" s="10" t="s">
        <v>304</v>
      </c>
      <c r="F314" s="16">
        <v>35</v>
      </c>
      <c r="G314" s="16">
        <v>0</v>
      </c>
      <c r="H314" s="16">
        <f t="shared" si="12"/>
        <v>35</v>
      </c>
      <c r="I314" s="16">
        <v>220</v>
      </c>
      <c r="J314" s="16">
        <f t="shared" si="13"/>
        <v>7700</v>
      </c>
      <c r="K314" s="16"/>
      <c r="L314" s="9" t="s">
        <v>35</v>
      </c>
    </row>
    <row r="315" ht="22" customHeight="1" outlineLevel="1" spans="2:12">
      <c r="B315" s="8" t="s">
        <v>427</v>
      </c>
      <c r="C315" s="7" t="s">
        <v>447</v>
      </c>
      <c r="D315" s="8" t="s">
        <v>448</v>
      </c>
      <c r="E315" s="8" t="s">
        <v>304</v>
      </c>
      <c r="F315" s="15">
        <v>2</v>
      </c>
      <c r="G315" s="15">
        <v>0</v>
      </c>
      <c r="H315" s="15">
        <f t="shared" si="12"/>
        <v>2</v>
      </c>
      <c r="I315" s="15">
        <v>31</v>
      </c>
      <c r="J315" s="15">
        <f t="shared" si="13"/>
        <v>62</v>
      </c>
      <c r="K315" s="15"/>
      <c r="L315" s="7" t="s">
        <v>35</v>
      </c>
    </row>
    <row r="316" ht="22" customHeight="1" outlineLevel="1" spans="2:12">
      <c r="B316" s="10" t="s">
        <v>427</v>
      </c>
      <c r="C316" s="9" t="s">
        <v>449</v>
      </c>
      <c r="D316" s="10" t="s">
        <v>450</v>
      </c>
      <c r="E316" s="10" t="s">
        <v>304</v>
      </c>
      <c r="F316" s="16">
        <v>10</v>
      </c>
      <c r="G316" s="16">
        <v>0</v>
      </c>
      <c r="H316" s="16">
        <f t="shared" si="12"/>
        <v>10</v>
      </c>
      <c r="I316" s="16">
        <v>50</v>
      </c>
      <c r="J316" s="16">
        <f t="shared" si="13"/>
        <v>500</v>
      </c>
      <c r="K316" s="16"/>
      <c r="L316" s="9" t="s">
        <v>35</v>
      </c>
    </row>
    <row r="317" ht="22" customHeight="1" outlineLevel="1" spans="2:12">
      <c r="B317" s="8" t="s">
        <v>427</v>
      </c>
      <c r="C317" s="7" t="s">
        <v>451</v>
      </c>
      <c r="D317" s="8" t="s">
        <v>452</v>
      </c>
      <c r="E317" s="8" t="s">
        <v>304</v>
      </c>
      <c r="F317" s="15">
        <v>1</v>
      </c>
      <c r="G317" s="15">
        <v>0</v>
      </c>
      <c r="H317" s="15">
        <f t="shared" si="12"/>
        <v>1</v>
      </c>
      <c r="I317" s="15">
        <v>286</v>
      </c>
      <c r="J317" s="15">
        <f t="shared" si="13"/>
        <v>286</v>
      </c>
      <c r="K317" s="15"/>
      <c r="L317" s="7" t="s">
        <v>35</v>
      </c>
    </row>
    <row r="318" ht="22" customHeight="1" outlineLevel="1" spans="2:12">
      <c r="B318" s="10" t="s">
        <v>427</v>
      </c>
      <c r="C318" s="9" t="s">
        <v>453</v>
      </c>
      <c r="D318" s="10" t="s">
        <v>454</v>
      </c>
      <c r="E318" s="10" t="s">
        <v>304</v>
      </c>
      <c r="F318" s="16">
        <v>1</v>
      </c>
      <c r="G318" s="16">
        <v>0</v>
      </c>
      <c r="H318" s="16">
        <f t="shared" si="12"/>
        <v>1</v>
      </c>
      <c r="I318" s="16">
        <v>80</v>
      </c>
      <c r="J318" s="16">
        <f t="shared" si="13"/>
        <v>80</v>
      </c>
      <c r="K318" s="16"/>
      <c r="L318" s="9" t="s">
        <v>35</v>
      </c>
    </row>
    <row r="319" ht="22" customHeight="1" outlineLevel="1" spans="2:12">
      <c r="B319" s="8" t="s">
        <v>427</v>
      </c>
      <c r="C319" s="7" t="s">
        <v>455</v>
      </c>
      <c r="D319" s="8" t="s">
        <v>456</v>
      </c>
      <c r="E319" s="8" t="s">
        <v>304</v>
      </c>
      <c r="F319" s="15">
        <v>6</v>
      </c>
      <c r="G319" s="15">
        <v>0</v>
      </c>
      <c r="H319" s="15">
        <f t="shared" si="12"/>
        <v>6</v>
      </c>
      <c r="I319" s="15">
        <v>20</v>
      </c>
      <c r="J319" s="15">
        <f t="shared" si="13"/>
        <v>120</v>
      </c>
      <c r="K319" s="15"/>
      <c r="L319" s="7" t="s">
        <v>35</v>
      </c>
    </row>
    <row r="320" ht="22" customHeight="1" outlineLevel="1" spans="2:12">
      <c r="B320" s="10" t="s">
        <v>427</v>
      </c>
      <c r="C320" s="9" t="s">
        <v>457</v>
      </c>
      <c r="D320" s="10" t="s">
        <v>456</v>
      </c>
      <c r="E320" s="10" t="s">
        <v>304</v>
      </c>
      <c r="F320" s="16">
        <v>7</v>
      </c>
      <c r="G320" s="16">
        <v>0</v>
      </c>
      <c r="H320" s="16">
        <f t="shared" si="12"/>
        <v>7</v>
      </c>
      <c r="I320" s="16">
        <v>228</v>
      </c>
      <c r="J320" s="16">
        <f t="shared" si="13"/>
        <v>1596</v>
      </c>
      <c r="K320" s="16"/>
      <c r="L320" s="9" t="s">
        <v>35</v>
      </c>
    </row>
    <row r="321" ht="22" customHeight="1" spans="2:12">
      <c r="B321" s="11" t="s">
        <v>49</v>
      </c>
      <c r="C321" s="12"/>
      <c r="D321" s="12">
        <f>COUNTA(C202:C320)</f>
        <v>119</v>
      </c>
      <c r="E321" s="12"/>
      <c r="F321" s="12"/>
      <c r="G321" s="12"/>
      <c r="H321" s="17">
        <f>SUM(H202:H320)</f>
        <v>769</v>
      </c>
      <c r="I321" s="12"/>
      <c r="J321" s="17">
        <f>SUM(J202:J320)</f>
        <v>241111.88</v>
      </c>
      <c r="K321" s="12"/>
      <c r="L321" s="12"/>
    </row>
    <row r="322" ht="22" customHeight="1" spans="2:2">
      <c r="B322" s="13" t="s">
        <v>17</v>
      </c>
    </row>
    <row r="323" ht="22" customHeight="1" outlineLevel="1" spans="2:12">
      <c r="B323" s="8" t="s">
        <v>50</v>
      </c>
      <c r="C323" s="7" t="s">
        <v>458</v>
      </c>
      <c r="D323" s="8" t="s">
        <v>459</v>
      </c>
      <c r="E323" s="8" t="s">
        <v>460</v>
      </c>
      <c r="F323" s="15">
        <v>1</v>
      </c>
      <c r="G323" s="15">
        <v>0</v>
      </c>
      <c r="H323" s="15">
        <f t="shared" ref="H323:H341" si="14">F323+G323</f>
        <v>1</v>
      </c>
      <c r="I323" s="15">
        <v>0</v>
      </c>
      <c r="J323" s="15">
        <f t="shared" ref="J323:J341" si="15">H323*I323</f>
        <v>0</v>
      </c>
      <c r="K323" s="15"/>
      <c r="L323" s="7" t="s">
        <v>35</v>
      </c>
    </row>
    <row r="324" ht="22" customHeight="1" outlineLevel="1" spans="2:12">
      <c r="B324" s="10" t="s">
        <v>31</v>
      </c>
      <c r="C324" s="9" t="s">
        <v>461</v>
      </c>
      <c r="D324" s="10" t="s">
        <v>462</v>
      </c>
      <c r="E324" s="10" t="s">
        <v>460</v>
      </c>
      <c r="F324" s="16">
        <v>1</v>
      </c>
      <c r="G324" s="16">
        <v>0</v>
      </c>
      <c r="H324" s="16">
        <f t="shared" si="14"/>
        <v>1</v>
      </c>
      <c r="I324" s="16">
        <v>0</v>
      </c>
      <c r="J324" s="16">
        <f t="shared" si="15"/>
        <v>0</v>
      </c>
      <c r="K324" s="16"/>
      <c r="L324" s="9" t="s">
        <v>35</v>
      </c>
    </row>
    <row r="325" ht="22" customHeight="1" outlineLevel="1" spans="2:12">
      <c r="B325" s="8" t="s">
        <v>31</v>
      </c>
      <c r="C325" s="7" t="s">
        <v>463</v>
      </c>
      <c r="D325" s="8" t="s">
        <v>78</v>
      </c>
      <c r="E325" s="8" t="s">
        <v>460</v>
      </c>
      <c r="F325" s="15">
        <v>1</v>
      </c>
      <c r="G325" s="15">
        <v>0</v>
      </c>
      <c r="H325" s="15">
        <f t="shared" si="14"/>
        <v>1</v>
      </c>
      <c r="I325" s="15">
        <v>0</v>
      </c>
      <c r="J325" s="15">
        <f t="shared" si="15"/>
        <v>0</v>
      </c>
      <c r="K325" s="15"/>
      <c r="L325" s="7" t="s">
        <v>35</v>
      </c>
    </row>
    <row r="326" ht="22" customHeight="1" outlineLevel="1" spans="2:12">
      <c r="B326" s="10" t="s">
        <v>31</v>
      </c>
      <c r="C326" s="9" t="s">
        <v>464</v>
      </c>
      <c r="D326" s="10" t="s">
        <v>78</v>
      </c>
      <c r="E326" s="10" t="s">
        <v>460</v>
      </c>
      <c r="F326" s="16">
        <v>1</v>
      </c>
      <c r="G326" s="16">
        <v>0</v>
      </c>
      <c r="H326" s="16">
        <f t="shared" si="14"/>
        <v>1</v>
      </c>
      <c r="I326" s="16">
        <v>0</v>
      </c>
      <c r="J326" s="16">
        <f t="shared" si="15"/>
        <v>0</v>
      </c>
      <c r="K326" s="16"/>
      <c r="L326" s="9" t="s">
        <v>35</v>
      </c>
    </row>
    <row r="327" ht="22" customHeight="1" outlineLevel="1" spans="2:12">
      <c r="B327" s="8" t="s">
        <v>31</v>
      </c>
      <c r="C327" s="7" t="s">
        <v>465</v>
      </c>
      <c r="D327" s="8" t="s">
        <v>33</v>
      </c>
      <c r="E327" s="8" t="s">
        <v>460</v>
      </c>
      <c r="F327" s="15">
        <v>1</v>
      </c>
      <c r="G327" s="15">
        <v>0</v>
      </c>
      <c r="H327" s="15">
        <f t="shared" si="14"/>
        <v>1</v>
      </c>
      <c r="I327" s="15">
        <v>0</v>
      </c>
      <c r="J327" s="15">
        <f t="shared" si="15"/>
        <v>0</v>
      </c>
      <c r="K327" s="15"/>
      <c r="L327" s="7" t="s">
        <v>35</v>
      </c>
    </row>
    <row r="328" ht="22" customHeight="1" outlineLevel="1" spans="2:12">
      <c r="B328" s="10" t="s">
        <v>31</v>
      </c>
      <c r="C328" s="9" t="s">
        <v>466</v>
      </c>
      <c r="D328" s="10" t="s">
        <v>47</v>
      </c>
      <c r="E328" s="10" t="s">
        <v>460</v>
      </c>
      <c r="F328" s="16">
        <v>1</v>
      </c>
      <c r="G328" s="16">
        <v>0</v>
      </c>
      <c r="H328" s="16">
        <f t="shared" si="14"/>
        <v>1</v>
      </c>
      <c r="I328" s="16">
        <v>0</v>
      </c>
      <c r="J328" s="16">
        <f t="shared" si="15"/>
        <v>0</v>
      </c>
      <c r="K328" s="16"/>
      <c r="L328" s="9" t="s">
        <v>35</v>
      </c>
    </row>
    <row r="329" ht="22" customHeight="1" outlineLevel="1" spans="2:12">
      <c r="B329" s="8" t="s">
        <v>31</v>
      </c>
      <c r="C329" s="7" t="s">
        <v>467</v>
      </c>
      <c r="D329" s="8" t="s">
        <v>47</v>
      </c>
      <c r="E329" s="8" t="s">
        <v>460</v>
      </c>
      <c r="F329" s="15">
        <v>2</v>
      </c>
      <c r="G329" s="15">
        <v>0</v>
      </c>
      <c r="H329" s="15">
        <f t="shared" si="14"/>
        <v>2</v>
      </c>
      <c r="I329" s="15">
        <v>0</v>
      </c>
      <c r="J329" s="15">
        <f t="shared" si="15"/>
        <v>0</v>
      </c>
      <c r="K329" s="15"/>
      <c r="L329" s="7" t="s">
        <v>35</v>
      </c>
    </row>
    <row r="330" ht="22" customHeight="1" outlineLevel="1" spans="2:12">
      <c r="B330" s="10" t="s">
        <v>31</v>
      </c>
      <c r="C330" s="9" t="s">
        <v>468</v>
      </c>
      <c r="D330" s="10" t="s">
        <v>47</v>
      </c>
      <c r="E330" s="10" t="s">
        <v>460</v>
      </c>
      <c r="F330" s="16">
        <v>1</v>
      </c>
      <c r="G330" s="16">
        <v>0</v>
      </c>
      <c r="H330" s="16">
        <f t="shared" si="14"/>
        <v>1</v>
      </c>
      <c r="I330" s="16">
        <v>0</v>
      </c>
      <c r="J330" s="16">
        <f t="shared" si="15"/>
        <v>0</v>
      </c>
      <c r="K330" s="16"/>
      <c r="L330" s="9" t="s">
        <v>35</v>
      </c>
    </row>
    <row r="331" ht="22" customHeight="1" outlineLevel="1" spans="2:12">
      <c r="B331" s="8" t="s">
        <v>31</v>
      </c>
      <c r="C331" s="7" t="s">
        <v>469</v>
      </c>
      <c r="D331" s="8" t="s">
        <v>47</v>
      </c>
      <c r="E331" s="8" t="s">
        <v>460</v>
      </c>
      <c r="F331" s="15">
        <v>1</v>
      </c>
      <c r="G331" s="15">
        <v>0</v>
      </c>
      <c r="H331" s="15">
        <f t="shared" si="14"/>
        <v>1</v>
      </c>
      <c r="I331" s="15">
        <v>0</v>
      </c>
      <c r="J331" s="15">
        <f t="shared" si="15"/>
        <v>0</v>
      </c>
      <c r="K331" s="15"/>
      <c r="L331" s="7" t="s">
        <v>35</v>
      </c>
    </row>
    <row r="332" ht="22" customHeight="1" outlineLevel="1" spans="2:12">
      <c r="B332" s="10" t="s">
        <v>31</v>
      </c>
      <c r="C332" s="9" t="s">
        <v>470</v>
      </c>
      <c r="D332" s="10" t="s">
        <v>47</v>
      </c>
      <c r="E332" s="10" t="s">
        <v>460</v>
      </c>
      <c r="F332" s="16">
        <v>1</v>
      </c>
      <c r="G332" s="16">
        <v>0</v>
      </c>
      <c r="H332" s="16">
        <f t="shared" si="14"/>
        <v>1</v>
      </c>
      <c r="I332" s="16">
        <v>0</v>
      </c>
      <c r="J332" s="16">
        <f t="shared" si="15"/>
        <v>0</v>
      </c>
      <c r="K332" s="16"/>
      <c r="L332" s="9" t="s">
        <v>35</v>
      </c>
    </row>
    <row r="333" ht="22" customHeight="1" outlineLevel="1" spans="2:12">
      <c r="B333" s="8" t="s">
        <v>31</v>
      </c>
      <c r="C333" s="7" t="s">
        <v>471</v>
      </c>
      <c r="D333" s="8" t="s">
        <v>472</v>
      </c>
      <c r="E333" s="8" t="s">
        <v>460</v>
      </c>
      <c r="F333" s="15">
        <v>1</v>
      </c>
      <c r="G333" s="15">
        <v>0</v>
      </c>
      <c r="H333" s="15">
        <f t="shared" si="14"/>
        <v>1</v>
      </c>
      <c r="I333" s="15">
        <v>0</v>
      </c>
      <c r="J333" s="15">
        <f t="shared" si="15"/>
        <v>0</v>
      </c>
      <c r="K333" s="15"/>
      <c r="L333" s="7" t="s">
        <v>35</v>
      </c>
    </row>
    <row r="334" ht="22" customHeight="1" outlineLevel="1" spans="2:12">
      <c r="B334" s="10" t="s">
        <v>31</v>
      </c>
      <c r="C334" s="9" t="s">
        <v>473</v>
      </c>
      <c r="D334" s="10" t="s">
        <v>472</v>
      </c>
      <c r="E334" s="10" t="s">
        <v>460</v>
      </c>
      <c r="F334" s="16">
        <v>1</v>
      </c>
      <c r="G334" s="16">
        <v>0</v>
      </c>
      <c r="H334" s="16">
        <f t="shared" si="14"/>
        <v>1</v>
      </c>
      <c r="I334" s="16">
        <v>0</v>
      </c>
      <c r="J334" s="16">
        <f t="shared" si="15"/>
        <v>0</v>
      </c>
      <c r="K334" s="16"/>
      <c r="L334" s="9" t="s">
        <v>35</v>
      </c>
    </row>
    <row r="335" ht="22" customHeight="1" outlineLevel="1" spans="2:12">
      <c r="B335" s="8" t="s">
        <v>31</v>
      </c>
      <c r="C335" s="7" t="s">
        <v>474</v>
      </c>
      <c r="D335" s="8" t="s">
        <v>96</v>
      </c>
      <c r="E335" s="8" t="s">
        <v>460</v>
      </c>
      <c r="F335" s="15">
        <v>1</v>
      </c>
      <c r="G335" s="15">
        <v>0</v>
      </c>
      <c r="H335" s="15">
        <f t="shared" si="14"/>
        <v>1</v>
      </c>
      <c r="I335" s="15">
        <v>0</v>
      </c>
      <c r="J335" s="15">
        <f t="shared" si="15"/>
        <v>0</v>
      </c>
      <c r="K335" s="15"/>
      <c r="L335" s="7" t="s">
        <v>35</v>
      </c>
    </row>
    <row r="336" ht="22" customHeight="1" outlineLevel="1" spans="2:12">
      <c r="B336" s="10" t="s">
        <v>31</v>
      </c>
      <c r="C336" s="9" t="s">
        <v>475</v>
      </c>
      <c r="D336" s="10" t="s">
        <v>476</v>
      </c>
      <c r="E336" s="10" t="s">
        <v>460</v>
      </c>
      <c r="F336" s="16">
        <v>1</v>
      </c>
      <c r="G336" s="16">
        <v>0</v>
      </c>
      <c r="H336" s="16">
        <f t="shared" si="14"/>
        <v>1</v>
      </c>
      <c r="I336" s="16">
        <v>0</v>
      </c>
      <c r="J336" s="16">
        <f t="shared" si="15"/>
        <v>0</v>
      </c>
      <c r="K336" s="16"/>
      <c r="L336" s="9" t="s">
        <v>35</v>
      </c>
    </row>
    <row r="337" ht="22" customHeight="1" outlineLevel="1" spans="2:12">
      <c r="B337" s="8" t="s">
        <v>100</v>
      </c>
      <c r="C337" s="7" t="s">
        <v>477</v>
      </c>
      <c r="D337" s="8" t="s">
        <v>476</v>
      </c>
      <c r="E337" s="8" t="s">
        <v>460</v>
      </c>
      <c r="F337" s="15">
        <v>1</v>
      </c>
      <c r="G337" s="15">
        <v>0</v>
      </c>
      <c r="H337" s="15">
        <f t="shared" si="14"/>
        <v>1</v>
      </c>
      <c r="I337" s="15">
        <v>0</v>
      </c>
      <c r="J337" s="15">
        <f t="shared" si="15"/>
        <v>0</v>
      </c>
      <c r="K337" s="15"/>
      <c r="L337" s="7" t="s">
        <v>35</v>
      </c>
    </row>
    <row r="338" ht="22" customHeight="1" outlineLevel="1" spans="2:12">
      <c r="B338" s="10" t="s">
        <v>478</v>
      </c>
      <c r="C338" s="9" t="s">
        <v>479</v>
      </c>
      <c r="D338" s="10" t="s">
        <v>452</v>
      </c>
      <c r="E338" s="10" t="s">
        <v>460</v>
      </c>
      <c r="F338" s="16">
        <v>1</v>
      </c>
      <c r="G338" s="16">
        <v>0</v>
      </c>
      <c r="H338" s="16">
        <f t="shared" si="14"/>
        <v>1</v>
      </c>
      <c r="I338" s="16">
        <v>0</v>
      </c>
      <c r="J338" s="16">
        <f t="shared" si="15"/>
        <v>0</v>
      </c>
      <c r="K338" s="16"/>
      <c r="L338" s="9" t="s">
        <v>35</v>
      </c>
    </row>
    <row r="339" ht="22" customHeight="1" outlineLevel="1" spans="2:12">
      <c r="B339" s="8" t="s">
        <v>478</v>
      </c>
      <c r="C339" s="7" t="s">
        <v>480</v>
      </c>
      <c r="D339" s="8" t="s">
        <v>452</v>
      </c>
      <c r="E339" s="8" t="s">
        <v>460</v>
      </c>
      <c r="F339" s="15">
        <v>2</v>
      </c>
      <c r="G339" s="15">
        <v>0</v>
      </c>
      <c r="H339" s="15">
        <f t="shared" si="14"/>
        <v>2</v>
      </c>
      <c r="I339" s="15">
        <v>0</v>
      </c>
      <c r="J339" s="15">
        <f t="shared" si="15"/>
        <v>0</v>
      </c>
      <c r="K339" s="15"/>
      <c r="L339" s="7" t="s">
        <v>35</v>
      </c>
    </row>
    <row r="340" ht="22" customHeight="1" outlineLevel="1" spans="2:12">
      <c r="B340" s="10" t="s">
        <v>478</v>
      </c>
      <c r="C340" s="9" t="s">
        <v>481</v>
      </c>
      <c r="D340" s="10" t="s">
        <v>452</v>
      </c>
      <c r="E340" s="10" t="s">
        <v>460</v>
      </c>
      <c r="F340" s="16">
        <v>1</v>
      </c>
      <c r="G340" s="16">
        <v>0</v>
      </c>
      <c r="H340" s="16">
        <f t="shared" si="14"/>
        <v>1</v>
      </c>
      <c r="I340" s="16">
        <v>0</v>
      </c>
      <c r="J340" s="16">
        <f t="shared" si="15"/>
        <v>0</v>
      </c>
      <c r="K340" s="16"/>
      <c r="L340" s="9" t="s">
        <v>35</v>
      </c>
    </row>
    <row r="341" ht="22" customHeight="1" outlineLevel="1" spans="2:12">
      <c r="B341" s="8" t="s">
        <v>478</v>
      </c>
      <c r="C341" s="7" t="s">
        <v>482</v>
      </c>
      <c r="D341" s="8" t="s">
        <v>452</v>
      </c>
      <c r="E341" s="8" t="s">
        <v>460</v>
      </c>
      <c r="F341" s="15">
        <v>1</v>
      </c>
      <c r="G341" s="15">
        <v>0</v>
      </c>
      <c r="H341" s="15">
        <f t="shared" si="14"/>
        <v>1</v>
      </c>
      <c r="I341" s="15">
        <v>0</v>
      </c>
      <c r="J341" s="15">
        <f t="shared" si="15"/>
        <v>0</v>
      </c>
      <c r="K341" s="15"/>
      <c r="L341" s="7" t="s">
        <v>35</v>
      </c>
    </row>
    <row r="342" ht="22" customHeight="1" spans="2:12">
      <c r="B342" s="11" t="s">
        <v>49</v>
      </c>
      <c r="C342" s="12"/>
      <c r="D342" s="12">
        <f>COUNTA(C323:C341)</f>
        <v>19</v>
      </c>
      <c r="E342" s="12"/>
      <c r="F342" s="12"/>
      <c r="G342" s="12"/>
      <c r="H342" s="17">
        <f>SUM(H323:H341)</f>
        <v>21</v>
      </c>
      <c r="I342" s="12"/>
      <c r="J342" s="17">
        <f>SUM(J323:J341)</f>
        <v>0</v>
      </c>
      <c r="K342" s="12"/>
      <c r="L342" s="12"/>
    </row>
    <row r="343" ht="22" customHeight="1" spans="2:12">
      <c r="B343" s="11" t="s">
        <v>483</v>
      </c>
      <c r="C343" s="12"/>
      <c r="D343" s="12"/>
      <c r="E343" s="12"/>
      <c r="F343" s="12"/>
      <c r="G343" s="12"/>
      <c r="H343" s="17">
        <f>SUMIF(E6:E342,"&lt;&gt;",H6:H342)</f>
        <v>3540</v>
      </c>
      <c r="I343" s="12"/>
      <c r="J343" s="17">
        <f>SUMIF(E6:E342,"&lt;&gt;",J6:J342)</f>
        <v>4730221.82</v>
      </c>
      <c r="K343" s="12"/>
      <c r="L343" s="12"/>
    </row>
    <row r="345" ht="16" customHeight="1" spans="2:2">
      <c r="B345" s="22" t="s">
        <v>19</v>
      </c>
    </row>
  </sheetData>
  <mergeCells count="14">
    <mergeCell ref="B2:L2"/>
    <mergeCell ref="B3:L3"/>
    <mergeCell ref="B6:L6"/>
    <mergeCell ref="B21:L21"/>
    <mergeCell ref="B43:L43"/>
    <mergeCell ref="B96:L96"/>
    <mergeCell ref="B153:L153"/>
    <mergeCell ref="B159:L159"/>
    <mergeCell ref="B165:L165"/>
    <mergeCell ref="B172:L172"/>
    <mergeCell ref="B196:L196"/>
    <mergeCell ref="B201:L201"/>
    <mergeCell ref="B322:L322"/>
    <mergeCell ref="B345:L34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D6B4F"/>
  </sheetPr>
  <dimension ref="B2:K37"/>
  <sheetViews>
    <sheetView showGridLines="0" workbookViewId="0">
      <selection activeCell="A1" sqref="A1"/>
    </sheetView>
  </sheetViews>
  <sheetFormatPr defaultColWidth="9" defaultRowHeight="16.8"/>
  <cols>
    <col min="1" max="1" width="2" customWidth="1"/>
    <col min="2" max="2" width="12" customWidth="1"/>
    <col min="3" max="3" width="32" customWidth="1"/>
    <col min="4" max="5" width="14" customWidth="1"/>
    <col min="6" max="6" width="9" customWidth="1"/>
    <col min="7" max="7" width="11" customWidth="1"/>
    <col min="8" max="8" width="9" customWidth="1"/>
    <col min="9" max="9" width="11" customWidth="1"/>
    <col min="10" max="10" width="9" customWidth="1"/>
    <col min="11" max="11" width="11" customWidth="1"/>
  </cols>
  <sheetData>
    <row r="2" ht="32" customHeight="1" spans="2:2">
      <c r="B2" s="1" t="s">
        <v>484</v>
      </c>
    </row>
    <row r="3" ht="18" customHeight="1" spans="2:2">
      <c r="B3" s="2" t="s">
        <v>485</v>
      </c>
    </row>
    <row r="4" ht="6" customHeight="1" spans="2:11">
      <c r="B4" s="3"/>
      <c r="C4" s="3"/>
      <c r="D4" s="3"/>
      <c r="E4" s="3"/>
      <c r="F4" s="3"/>
      <c r="G4" s="3"/>
      <c r="H4" s="3"/>
      <c r="I4" s="3"/>
      <c r="J4" s="3"/>
      <c r="K4" s="3"/>
    </row>
    <row r="5" ht="20" customHeight="1" spans="2:2">
      <c r="B5" s="23" t="s">
        <v>486</v>
      </c>
    </row>
    <row r="6" ht="22" customHeight="1" spans="2:11">
      <c r="B6" s="24" t="s">
        <v>487</v>
      </c>
      <c r="C6" s="25">
        <v>677070.06</v>
      </c>
      <c r="D6" s="24" t="s">
        <v>488</v>
      </c>
      <c r="E6" s="25">
        <v>651997.85</v>
      </c>
      <c r="F6" s="24" t="s">
        <v>489</v>
      </c>
      <c r="G6" s="26">
        <v>-25072.2100000001</v>
      </c>
      <c r="H6" s="24" t="s">
        <v>490</v>
      </c>
      <c r="I6" s="26">
        <v>-55</v>
      </c>
      <c r="J6" s="27"/>
      <c r="K6" s="27"/>
    </row>
    <row r="7" ht="6" customHeight="1" spans="2:11">
      <c r="B7" s="3"/>
      <c r="C7" s="3"/>
      <c r="D7" s="3"/>
      <c r="E7" s="3"/>
      <c r="F7" s="3"/>
      <c r="G7" s="3"/>
      <c r="H7" s="3"/>
      <c r="I7" s="3"/>
      <c r="J7" s="3"/>
      <c r="K7" s="3"/>
    </row>
    <row r="8" ht="28" customHeight="1" spans="2:11">
      <c r="B8" s="4" t="s">
        <v>22</v>
      </c>
      <c r="C8" s="4" t="s">
        <v>23</v>
      </c>
      <c r="D8" s="4" t="s">
        <v>24</v>
      </c>
      <c r="E8" s="4" t="s">
        <v>2</v>
      </c>
      <c r="F8" s="4" t="s">
        <v>491</v>
      </c>
      <c r="G8" s="4" t="s">
        <v>492</v>
      </c>
      <c r="H8" s="4" t="s">
        <v>493</v>
      </c>
      <c r="I8" s="4" t="s">
        <v>494</v>
      </c>
      <c r="J8" s="4" t="s">
        <v>495</v>
      </c>
      <c r="K8" s="4" t="s">
        <v>496</v>
      </c>
    </row>
    <row r="9" ht="22" customHeight="1" spans="2:2">
      <c r="B9" s="13" t="s">
        <v>10</v>
      </c>
    </row>
    <row r="10" ht="22" customHeight="1" spans="2:11">
      <c r="B10" s="10" t="s">
        <v>100</v>
      </c>
      <c r="C10" s="9" t="s">
        <v>497</v>
      </c>
      <c r="D10" s="10" t="s">
        <v>498</v>
      </c>
      <c r="E10" s="10" t="s">
        <v>165</v>
      </c>
      <c r="F10" s="16">
        <v>1</v>
      </c>
      <c r="G10" s="16">
        <v>4018</v>
      </c>
      <c r="H10" s="16">
        <v>0</v>
      </c>
      <c r="I10" s="16">
        <v>0</v>
      </c>
      <c r="J10" s="28">
        <f t="shared" ref="J10:J21" si="0">H10-F10</f>
        <v>-1</v>
      </c>
      <c r="K10" s="28">
        <f t="shared" ref="K10:K21" si="1">I10-G10</f>
        <v>-4018</v>
      </c>
    </row>
    <row r="11" ht="22" customHeight="1" spans="2:11">
      <c r="B11" s="8" t="s">
        <v>167</v>
      </c>
      <c r="C11" s="7" t="s">
        <v>168</v>
      </c>
      <c r="D11" s="8" t="s">
        <v>169</v>
      </c>
      <c r="E11" s="8" t="s">
        <v>165</v>
      </c>
      <c r="F11" s="15">
        <v>15</v>
      </c>
      <c r="G11" s="15">
        <v>5250</v>
      </c>
      <c r="H11" s="15">
        <v>11</v>
      </c>
      <c r="I11" s="15">
        <v>3850</v>
      </c>
      <c r="J11" s="29">
        <f t="shared" si="0"/>
        <v>-4</v>
      </c>
      <c r="K11" s="29">
        <f t="shared" si="1"/>
        <v>-1400</v>
      </c>
    </row>
    <row r="12" ht="22" customHeight="1" spans="2:11">
      <c r="B12" s="10" t="s">
        <v>167</v>
      </c>
      <c r="C12" s="9" t="s">
        <v>177</v>
      </c>
      <c r="D12" s="10" t="s">
        <v>178</v>
      </c>
      <c r="E12" s="10" t="s">
        <v>165</v>
      </c>
      <c r="F12" s="16">
        <v>50</v>
      </c>
      <c r="G12" s="16">
        <v>6750</v>
      </c>
      <c r="H12" s="16">
        <v>35</v>
      </c>
      <c r="I12" s="16">
        <v>4725</v>
      </c>
      <c r="J12" s="28">
        <f t="shared" si="0"/>
        <v>-15</v>
      </c>
      <c r="K12" s="28">
        <f t="shared" si="1"/>
        <v>-2025</v>
      </c>
    </row>
    <row r="13" ht="22" customHeight="1" spans="2:11">
      <c r="B13" s="8" t="s">
        <v>167</v>
      </c>
      <c r="C13" s="7" t="s">
        <v>179</v>
      </c>
      <c r="D13" s="8" t="s">
        <v>178</v>
      </c>
      <c r="E13" s="8" t="s">
        <v>165</v>
      </c>
      <c r="F13" s="15">
        <v>29</v>
      </c>
      <c r="G13" s="15">
        <v>3915</v>
      </c>
      <c r="H13" s="15">
        <v>24</v>
      </c>
      <c r="I13" s="15">
        <v>3240</v>
      </c>
      <c r="J13" s="29">
        <f t="shared" si="0"/>
        <v>-5</v>
      </c>
      <c r="K13" s="29">
        <f t="shared" si="1"/>
        <v>-675</v>
      </c>
    </row>
    <row r="14" ht="22" customHeight="1" spans="2:11">
      <c r="B14" s="10" t="s">
        <v>167</v>
      </c>
      <c r="C14" s="9" t="s">
        <v>180</v>
      </c>
      <c r="D14" s="10" t="s">
        <v>178</v>
      </c>
      <c r="E14" s="10" t="s">
        <v>165</v>
      </c>
      <c r="F14" s="16">
        <v>100</v>
      </c>
      <c r="G14" s="16">
        <v>14000</v>
      </c>
      <c r="H14" s="16">
        <v>95</v>
      </c>
      <c r="I14" s="16">
        <v>13300</v>
      </c>
      <c r="J14" s="28">
        <f t="shared" si="0"/>
        <v>-5</v>
      </c>
      <c r="K14" s="28">
        <f t="shared" si="1"/>
        <v>-700</v>
      </c>
    </row>
    <row r="15" ht="22" customHeight="1" spans="2:11">
      <c r="B15" s="8" t="s">
        <v>167</v>
      </c>
      <c r="C15" s="7" t="s">
        <v>181</v>
      </c>
      <c r="D15" s="8" t="s">
        <v>178</v>
      </c>
      <c r="E15" s="8" t="s">
        <v>165</v>
      </c>
      <c r="F15" s="15">
        <v>80</v>
      </c>
      <c r="G15" s="15">
        <v>11200</v>
      </c>
      <c r="H15" s="15">
        <v>75</v>
      </c>
      <c r="I15" s="15">
        <v>10500</v>
      </c>
      <c r="J15" s="29">
        <f t="shared" si="0"/>
        <v>-5</v>
      </c>
      <c r="K15" s="29">
        <f t="shared" si="1"/>
        <v>-700</v>
      </c>
    </row>
    <row r="16" ht="22" customHeight="1" spans="2:11">
      <c r="B16" s="10" t="s">
        <v>167</v>
      </c>
      <c r="C16" s="9" t="s">
        <v>186</v>
      </c>
      <c r="D16" s="10" t="s">
        <v>185</v>
      </c>
      <c r="E16" s="10" t="s">
        <v>165</v>
      </c>
      <c r="F16" s="16">
        <v>381</v>
      </c>
      <c r="G16" s="16">
        <v>35433</v>
      </c>
      <c r="H16" s="16">
        <v>375</v>
      </c>
      <c r="I16" s="16">
        <v>34875</v>
      </c>
      <c r="J16" s="28">
        <f t="shared" si="0"/>
        <v>-6</v>
      </c>
      <c r="K16" s="28">
        <f t="shared" si="1"/>
        <v>-558</v>
      </c>
    </row>
    <row r="17" ht="22" customHeight="1" spans="2:11">
      <c r="B17" s="8" t="s">
        <v>167</v>
      </c>
      <c r="C17" s="7" t="s">
        <v>188</v>
      </c>
      <c r="D17" s="8" t="s">
        <v>185</v>
      </c>
      <c r="E17" s="8" t="s">
        <v>165</v>
      </c>
      <c r="F17" s="15">
        <v>216</v>
      </c>
      <c r="G17" s="15">
        <v>18144</v>
      </c>
      <c r="H17" s="15">
        <v>214</v>
      </c>
      <c r="I17" s="15">
        <v>17976</v>
      </c>
      <c r="J17" s="29">
        <f t="shared" si="0"/>
        <v>-2</v>
      </c>
      <c r="K17" s="29">
        <f t="shared" si="1"/>
        <v>-168</v>
      </c>
    </row>
    <row r="18" ht="22" customHeight="1" spans="2:11">
      <c r="B18" s="10" t="s">
        <v>167</v>
      </c>
      <c r="C18" s="9" t="s">
        <v>197</v>
      </c>
      <c r="D18" s="10" t="s">
        <v>196</v>
      </c>
      <c r="E18" s="10" t="s">
        <v>165</v>
      </c>
      <c r="F18" s="16">
        <v>5</v>
      </c>
      <c r="G18" s="16">
        <v>1350</v>
      </c>
      <c r="H18" s="16">
        <v>1</v>
      </c>
      <c r="I18" s="16">
        <v>270</v>
      </c>
      <c r="J18" s="28">
        <f t="shared" si="0"/>
        <v>-4</v>
      </c>
      <c r="K18" s="28">
        <f t="shared" si="1"/>
        <v>-1080</v>
      </c>
    </row>
    <row r="19" ht="22" customHeight="1" spans="2:11">
      <c r="B19" s="8" t="s">
        <v>130</v>
      </c>
      <c r="C19" s="7" t="s">
        <v>221</v>
      </c>
      <c r="D19" s="8" t="s">
        <v>132</v>
      </c>
      <c r="E19" s="8" t="s">
        <v>165</v>
      </c>
      <c r="F19" s="15">
        <v>106</v>
      </c>
      <c r="G19" s="15">
        <v>32118</v>
      </c>
      <c r="H19" s="15">
        <v>102</v>
      </c>
      <c r="I19" s="15">
        <v>30906</v>
      </c>
      <c r="J19" s="29">
        <f t="shared" si="0"/>
        <v>-4</v>
      </c>
      <c r="K19" s="29">
        <f t="shared" si="1"/>
        <v>-1212</v>
      </c>
    </row>
    <row r="20" ht="22" customHeight="1" spans="2:11">
      <c r="B20" s="10" t="s">
        <v>238</v>
      </c>
      <c r="C20" s="9" t="s">
        <v>239</v>
      </c>
      <c r="D20" s="10" t="s">
        <v>204</v>
      </c>
      <c r="E20" s="10" t="s">
        <v>165</v>
      </c>
      <c r="F20" s="16">
        <v>30</v>
      </c>
      <c r="G20" s="16">
        <v>5550</v>
      </c>
      <c r="H20" s="16">
        <v>29</v>
      </c>
      <c r="I20" s="16">
        <v>5365</v>
      </c>
      <c r="J20" s="28">
        <f t="shared" si="0"/>
        <v>-1</v>
      </c>
      <c r="K20" s="28">
        <f t="shared" si="1"/>
        <v>-185</v>
      </c>
    </row>
    <row r="21" ht="22" customHeight="1" spans="2:11">
      <c r="B21" s="8" t="s">
        <v>242</v>
      </c>
      <c r="C21" s="7" t="s">
        <v>243</v>
      </c>
      <c r="D21" s="8" t="s">
        <v>236</v>
      </c>
      <c r="E21" s="8" t="s">
        <v>165</v>
      </c>
      <c r="F21" s="15">
        <v>103</v>
      </c>
      <c r="G21" s="15">
        <v>106090</v>
      </c>
      <c r="H21" s="15">
        <v>102</v>
      </c>
      <c r="I21" s="15">
        <v>105060</v>
      </c>
      <c r="J21" s="29">
        <f t="shared" si="0"/>
        <v>-1</v>
      </c>
      <c r="K21" s="29">
        <f t="shared" si="1"/>
        <v>-1030</v>
      </c>
    </row>
    <row r="22" ht="22" customHeight="1" spans="2:11">
      <c r="B22" s="11" t="s">
        <v>49</v>
      </c>
      <c r="C22" s="12"/>
      <c r="D22" s="12"/>
      <c r="E22" s="12"/>
      <c r="F22" s="17">
        <f t="shared" ref="F22:K22" si="2">SUM(F10:F21)</f>
        <v>1116</v>
      </c>
      <c r="G22" s="17">
        <f t="shared" si="2"/>
        <v>243818</v>
      </c>
      <c r="H22" s="17">
        <f t="shared" si="2"/>
        <v>1063</v>
      </c>
      <c r="I22" s="17">
        <f t="shared" si="2"/>
        <v>230067</v>
      </c>
      <c r="J22" s="17">
        <f t="shared" si="2"/>
        <v>-53</v>
      </c>
      <c r="K22" s="17">
        <f t="shared" si="2"/>
        <v>-13751</v>
      </c>
    </row>
    <row r="23" ht="22" customHeight="1" spans="2:2">
      <c r="B23" s="13" t="s">
        <v>11</v>
      </c>
    </row>
    <row r="24" ht="22" customHeight="1" spans="2:11">
      <c r="B24" s="10" t="s">
        <v>100</v>
      </c>
      <c r="C24" s="9" t="s">
        <v>248</v>
      </c>
      <c r="D24" s="10" t="s">
        <v>236</v>
      </c>
      <c r="E24" s="10" t="s">
        <v>249</v>
      </c>
      <c r="F24" s="16">
        <v>6</v>
      </c>
      <c r="G24" s="16">
        <v>44060.46</v>
      </c>
      <c r="H24" s="16">
        <v>5</v>
      </c>
      <c r="I24" s="16">
        <v>36717.05</v>
      </c>
      <c r="J24" s="28">
        <f>H24-F24</f>
        <v>-1</v>
      </c>
      <c r="K24" s="28">
        <f>I24-G24</f>
        <v>-7343.41</v>
      </c>
    </row>
    <row r="25" ht="22" customHeight="1" spans="2:11">
      <c r="B25" s="11" t="s">
        <v>49</v>
      </c>
      <c r="C25" s="12"/>
      <c r="D25" s="12"/>
      <c r="E25" s="12"/>
      <c r="F25" s="17">
        <f t="shared" ref="F25:K25" si="3">SUM(F24:F24)</f>
        <v>6</v>
      </c>
      <c r="G25" s="17">
        <f t="shared" si="3"/>
        <v>44060.46</v>
      </c>
      <c r="H25" s="17">
        <f t="shared" si="3"/>
        <v>5</v>
      </c>
      <c r="I25" s="17">
        <f t="shared" si="3"/>
        <v>36717.05</v>
      </c>
      <c r="J25" s="17">
        <f t="shared" si="3"/>
        <v>-1</v>
      </c>
      <c r="K25" s="17">
        <f t="shared" si="3"/>
        <v>-7343.41</v>
      </c>
    </row>
    <row r="26" ht="22" customHeight="1" spans="2:2">
      <c r="B26" s="13" t="s">
        <v>13</v>
      </c>
    </row>
    <row r="27" ht="22" customHeight="1" spans="2:11">
      <c r="B27" s="8" t="s">
        <v>100</v>
      </c>
      <c r="C27" s="7" t="s">
        <v>266</v>
      </c>
      <c r="D27" s="8" t="s">
        <v>262</v>
      </c>
      <c r="E27" s="8" t="s">
        <v>263</v>
      </c>
      <c r="F27" s="15">
        <v>6</v>
      </c>
      <c r="G27" s="15">
        <v>10212</v>
      </c>
      <c r="H27" s="15">
        <v>10</v>
      </c>
      <c r="I27" s="15">
        <v>17020</v>
      </c>
      <c r="J27" s="15">
        <f>H27-F27</f>
        <v>4</v>
      </c>
      <c r="K27" s="15">
        <f>I27-G27</f>
        <v>6808</v>
      </c>
    </row>
    <row r="28" ht="22" customHeight="1" spans="2:11">
      <c r="B28" s="10" t="s">
        <v>100</v>
      </c>
      <c r="C28" s="9" t="s">
        <v>267</v>
      </c>
      <c r="D28" s="10" t="s">
        <v>262</v>
      </c>
      <c r="E28" s="10" t="s">
        <v>263</v>
      </c>
      <c r="F28" s="16">
        <v>59</v>
      </c>
      <c r="G28" s="16">
        <v>133422.6</v>
      </c>
      <c r="H28" s="16">
        <v>57</v>
      </c>
      <c r="I28" s="16">
        <v>128899.8</v>
      </c>
      <c r="J28" s="28">
        <f>H28-F28</f>
        <v>-2</v>
      </c>
      <c r="K28" s="28">
        <f>I28-G28</f>
        <v>-4522.8</v>
      </c>
    </row>
    <row r="29" ht="22" customHeight="1" spans="2:11">
      <c r="B29" s="11" t="s">
        <v>49</v>
      </c>
      <c r="C29" s="12"/>
      <c r="D29" s="12"/>
      <c r="E29" s="12"/>
      <c r="F29" s="17">
        <f t="shared" ref="F29:K29" si="4">SUM(F27:F28)</f>
        <v>65</v>
      </c>
      <c r="G29" s="17">
        <f t="shared" si="4"/>
        <v>143634.6</v>
      </c>
      <c r="H29" s="17">
        <f t="shared" si="4"/>
        <v>67</v>
      </c>
      <c r="I29" s="17">
        <f t="shared" si="4"/>
        <v>145919.8</v>
      </c>
      <c r="J29" s="17">
        <f t="shared" si="4"/>
        <v>2</v>
      </c>
      <c r="K29" s="17">
        <f t="shared" si="4"/>
        <v>2285.2</v>
      </c>
    </row>
    <row r="30" ht="22" customHeight="1" spans="2:2">
      <c r="B30" s="13" t="s">
        <v>14</v>
      </c>
    </row>
    <row r="31" ht="22" customHeight="1" spans="2:11">
      <c r="B31" s="8" t="s">
        <v>202</v>
      </c>
      <c r="C31" s="7" t="s">
        <v>273</v>
      </c>
      <c r="D31" s="8" t="s">
        <v>252</v>
      </c>
      <c r="E31" s="8" t="s">
        <v>270</v>
      </c>
      <c r="F31" s="15">
        <v>13</v>
      </c>
      <c r="G31" s="15">
        <v>3900</v>
      </c>
      <c r="H31" s="15">
        <v>12</v>
      </c>
      <c r="I31" s="15">
        <v>3600</v>
      </c>
      <c r="J31" s="29">
        <f>H31-F31</f>
        <v>-1</v>
      </c>
      <c r="K31" s="29">
        <f>I31-G31</f>
        <v>-300</v>
      </c>
    </row>
    <row r="32" ht="22" customHeight="1" spans="2:11">
      <c r="B32" s="10" t="s">
        <v>234</v>
      </c>
      <c r="C32" s="9" t="s">
        <v>295</v>
      </c>
      <c r="D32" s="10" t="s">
        <v>252</v>
      </c>
      <c r="E32" s="10" t="s">
        <v>270</v>
      </c>
      <c r="F32" s="16">
        <v>39</v>
      </c>
      <c r="G32" s="16">
        <v>227487</v>
      </c>
      <c r="H32" s="16">
        <v>38</v>
      </c>
      <c r="I32" s="16">
        <v>221654</v>
      </c>
      <c r="J32" s="28">
        <f>H32-F32</f>
        <v>-1</v>
      </c>
      <c r="K32" s="28">
        <f>I32-G32</f>
        <v>-5833</v>
      </c>
    </row>
    <row r="33" ht="22" customHeight="1" spans="2:11">
      <c r="B33" s="8" t="s">
        <v>279</v>
      </c>
      <c r="C33" s="7" t="s">
        <v>296</v>
      </c>
      <c r="D33" s="8" t="s">
        <v>252</v>
      </c>
      <c r="E33" s="8" t="s">
        <v>270</v>
      </c>
      <c r="F33" s="15">
        <v>109</v>
      </c>
      <c r="G33" s="15">
        <v>14170</v>
      </c>
      <c r="H33" s="15">
        <v>108</v>
      </c>
      <c r="I33" s="15">
        <v>14040</v>
      </c>
      <c r="J33" s="29">
        <f>H33-F33</f>
        <v>-1</v>
      </c>
      <c r="K33" s="29">
        <f>I33-G33</f>
        <v>-130</v>
      </c>
    </row>
    <row r="34" ht="22" customHeight="1" spans="2:11">
      <c r="B34" s="11" t="s">
        <v>49</v>
      </c>
      <c r="C34" s="12"/>
      <c r="D34" s="12"/>
      <c r="E34" s="12"/>
      <c r="F34" s="17">
        <f t="shared" ref="F34:K34" si="5">SUM(F31:F33)</f>
        <v>161</v>
      </c>
      <c r="G34" s="17">
        <f t="shared" si="5"/>
        <v>245557</v>
      </c>
      <c r="H34" s="17">
        <f t="shared" si="5"/>
        <v>158</v>
      </c>
      <c r="I34" s="17">
        <f t="shared" si="5"/>
        <v>239294</v>
      </c>
      <c r="J34" s="17">
        <f t="shared" si="5"/>
        <v>-3</v>
      </c>
      <c r="K34" s="17">
        <f t="shared" si="5"/>
        <v>-6263</v>
      </c>
    </row>
    <row r="35" ht="22" customHeight="1" spans="2:11">
      <c r="B35" s="11" t="s">
        <v>499</v>
      </c>
      <c r="C35" s="12"/>
      <c r="D35" s="12"/>
      <c r="E35" s="12"/>
      <c r="F35" s="17">
        <f t="shared" ref="F35:K35" si="6">SUM(F9:F34)</f>
        <v>2696</v>
      </c>
      <c r="G35" s="17">
        <f t="shared" si="6"/>
        <v>1354140.12</v>
      </c>
      <c r="H35" s="17">
        <f t="shared" si="6"/>
        <v>2586</v>
      </c>
      <c r="I35" s="17">
        <f t="shared" si="6"/>
        <v>1303995.7</v>
      </c>
      <c r="J35" s="17">
        <f t="shared" si="6"/>
        <v>-110</v>
      </c>
      <c r="K35" s="17">
        <f t="shared" si="6"/>
        <v>-50144.42</v>
      </c>
    </row>
    <row r="37" ht="16" customHeight="1" spans="2:2">
      <c r="B37" s="22" t="s">
        <v>500</v>
      </c>
    </row>
  </sheetData>
  <mergeCells count="8">
    <mergeCell ref="B2:K2"/>
    <mergeCell ref="B3:K3"/>
    <mergeCell ref="B5:K5"/>
    <mergeCell ref="B9:K9"/>
    <mergeCell ref="B23:K23"/>
    <mergeCell ref="B26:K26"/>
    <mergeCell ref="B30:K30"/>
    <mergeCell ref="B37:K3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B1A1A"/>
  </sheetPr>
  <dimension ref="B2:P102"/>
  <sheetViews>
    <sheetView showGridLines="0" tabSelected="1" zoomScale="83" zoomScaleNormal="83" workbookViewId="0">
      <selection activeCell="B102" sqref="B102:P102"/>
    </sheetView>
  </sheetViews>
  <sheetFormatPr defaultColWidth="9" defaultRowHeight="16.8"/>
  <cols>
    <col min="1" max="1" width="2" customWidth="1"/>
    <col min="2" max="2" width="30" customWidth="1"/>
    <col min="3" max="3" width="10" customWidth="1"/>
    <col min="4" max="4" width="13" customWidth="1"/>
    <col min="5" max="5" width="8" customWidth="1"/>
    <col min="6" max="6" width="11" customWidth="1"/>
    <col min="7" max="7" width="8" customWidth="1"/>
    <col min="8" max="8" width="11" customWidth="1"/>
    <col min="9" max="9" width="8" customWidth="1"/>
    <col min="10" max="10" width="11" customWidth="1"/>
    <col min="11" max="11" width="8" customWidth="1"/>
    <col min="12" max="12" width="11" customWidth="1"/>
    <col min="13" max="13" width="18" customWidth="1"/>
    <col min="14" max="14" width="13" customWidth="1"/>
    <col min="15" max="15" width="10" customWidth="1"/>
    <col min="16" max="16" width="13" customWidth="1"/>
  </cols>
  <sheetData>
    <row r="2" ht="32" customHeight="1" spans="2:2">
      <c r="B2" s="1" t="s">
        <v>501</v>
      </c>
    </row>
    <row r="3" ht="18" customHeight="1" spans="2:2">
      <c r="B3" s="2" t="s">
        <v>502</v>
      </c>
    </row>
    <row r="4" ht="6" customHeight="1" spans="2:16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16" customHeight="1" spans="2:2">
      <c r="B5" s="2" t="s">
        <v>503</v>
      </c>
    </row>
    <row r="6" ht="28" customHeight="1" spans="2:16">
      <c r="B6" s="4" t="s">
        <v>23</v>
      </c>
      <c r="C6" s="4" t="s">
        <v>22</v>
      </c>
      <c r="D6" s="4" t="s">
        <v>24</v>
      </c>
      <c r="E6" s="4" t="s">
        <v>504</v>
      </c>
      <c r="F6" s="4" t="s">
        <v>505</v>
      </c>
      <c r="G6" s="4" t="s">
        <v>506</v>
      </c>
      <c r="H6" s="4" t="s">
        <v>507</v>
      </c>
      <c r="I6" s="4" t="s">
        <v>508</v>
      </c>
      <c r="J6" s="4" t="s">
        <v>509</v>
      </c>
      <c r="K6" s="4" t="s">
        <v>510</v>
      </c>
      <c r="L6" s="4" t="s">
        <v>511</v>
      </c>
      <c r="M6" s="4" t="s">
        <v>512</v>
      </c>
      <c r="N6" s="4" t="s">
        <v>513</v>
      </c>
      <c r="O6" s="18" t="s">
        <v>514</v>
      </c>
      <c r="P6" s="4" t="s">
        <v>515</v>
      </c>
    </row>
    <row r="7" ht="26" customHeight="1" spans="2:2">
      <c r="B7" s="5" t="s">
        <v>516</v>
      </c>
    </row>
    <row r="8" ht="20" customHeight="1" spans="2:2">
      <c r="B8" s="6" t="s">
        <v>517</v>
      </c>
    </row>
    <row r="9" ht="22" hidden="1" customHeight="1" outlineLevel="2" spans="2:13">
      <c r="B9" s="7" t="s">
        <v>51</v>
      </c>
      <c r="C9" s="8" t="s">
        <v>50</v>
      </c>
      <c r="D9" s="8" t="s">
        <v>52</v>
      </c>
      <c r="E9" s="15">
        <v>1</v>
      </c>
      <c r="F9" s="15">
        <v>24400</v>
      </c>
      <c r="G9" s="15">
        <v>1</v>
      </c>
      <c r="H9" s="15">
        <v>24400</v>
      </c>
      <c r="I9" s="15">
        <v>1</v>
      </c>
      <c r="J9" s="15">
        <v>24400</v>
      </c>
      <c r="K9" s="15" t="str">
        <f t="shared" ref="K9:K29" si="0">IF(E9-I9=0,"",E9-I9)</f>
        <v/>
      </c>
      <c r="L9" s="15" t="str">
        <f t="shared" ref="L9:L29" si="1">IF(F9-J9=0,"",F9-J9)</f>
        <v/>
      </c>
      <c r="M9" s="7" t="s">
        <v>35</v>
      </c>
    </row>
    <row r="10" ht="22" hidden="1" customHeight="1" outlineLevel="2" spans="2:13">
      <c r="B10" s="9" t="s">
        <v>54</v>
      </c>
      <c r="C10" s="10" t="s">
        <v>50</v>
      </c>
      <c r="D10" s="10" t="s">
        <v>52</v>
      </c>
      <c r="E10" s="16">
        <v>1</v>
      </c>
      <c r="F10" s="16">
        <v>24400</v>
      </c>
      <c r="G10" s="16">
        <v>1</v>
      </c>
      <c r="H10" s="16">
        <v>24400</v>
      </c>
      <c r="I10" s="16">
        <v>1</v>
      </c>
      <c r="J10" s="16">
        <v>24400</v>
      </c>
      <c r="K10" s="16" t="str">
        <f t="shared" si="0"/>
        <v/>
      </c>
      <c r="L10" s="16" t="str">
        <f t="shared" si="1"/>
        <v/>
      </c>
      <c r="M10" s="9" t="s">
        <v>35</v>
      </c>
    </row>
    <row r="11" ht="22" hidden="1" customHeight="1" outlineLevel="2" spans="2:13">
      <c r="B11" s="7" t="s">
        <v>55</v>
      </c>
      <c r="C11" s="8" t="s">
        <v>50</v>
      </c>
      <c r="D11" s="8" t="s">
        <v>52</v>
      </c>
      <c r="E11" s="15">
        <v>1</v>
      </c>
      <c r="F11" s="15">
        <v>24400</v>
      </c>
      <c r="G11" s="15">
        <v>1</v>
      </c>
      <c r="H11" s="15">
        <v>24400</v>
      </c>
      <c r="I11" s="15">
        <v>1</v>
      </c>
      <c r="J11" s="15">
        <v>24400</v>
      </c>
      <c r="K11" s="15" t="str">
        <f t="shared" si="0"/>
        <v/>
      </c>
      <c r="L11" s="15" t="str">
        <f t="shared" si="1"/>
        <v/>
      </c>
      <c r="M11" s="7" t="s">
        <v>35</v>
      </c>
    </row>
    <row r="12" ht="22" hidden="1" customHeight="1" outlineLevel="2" spans="2:13">
      <c r="B12" s="9" t="s">
        <v>518</v>
      </c>
      <c r="C12" s="10" t="s">
        <v>50</v>
      </c>
      <c r="D12" s="10" t="s">
        <v>52</v>
      </c>
      <c r="E12" s="16">
        <v>1</v>
      </c>
      <c r="F12" s="16">
        <v>31500</v>
      </c>
      <c r="G12" s="16">
        <v>0</v>
      </c>
      <c r="H12" s="16">
        <v>0</v>
      </c>
      <c r="I12" s="16">
        <v>0</v>
      </c>
      <c r="J12" s="16">
        <v>0</v>
      </c>
      <c r="K12" s="16">
        <f t="shared" si="0"/>
        <v>1</v>
      </c>
      <c r="L12" s="16">
        <f t="shared" si="1"/>
        <v>31500</v>
      </c>
      <c r="M12" s="9" t="s">
        <v>35</v>
      </c>
    </row>
    <row r="13" ht="22" hidden="1" customHeight="1" outlineLevel="2" spans="2:13">
      <c r="B13" s="7" t="s">
        <v>56</v>
      </c>
      <c r="C13" s="8" t="s">
        <v>50</v>
      </c>
      <c r="D13" s="8" t="s">
        <v>52</v>
      </c>
      <c r="E13" s="15">
        <v>1</v>
      </c>
      <c r="F13" s="15">
        <v>31500</v>
      </c>
      <c r="G13" s="15">
        <v>1</v>
      </c>
      <c r="H13" s="15">
        <v>31500</v>
      </c>
      <c r="I13" s="15">
        <v>1</v>
      </c>
      <c r="J13" s="15">
        <v>31500</v>
      </c>
      <c r="K13" s="15" t="str">
        <f t="shared" si="0"/>
        <v/>
      </c>
      <c r="L13" s="15" t="str">
        <f t="shared" si="1"/>
        <v/>
      </c>
      <c r="M13" s="7" t="s">
        <v>35</v>
      </c>
    </row>
    <row r="14" ht="22" hidden="1" customHeight="1" outlineLevel="2" spans="2:13">
      <c r="B14" s="9" t="s">
        <v>57</v>
      </c>
      <c r="C14" s="10" t="s">
        <v>50</v>
      </c>
      <c r="D14" s="10" t="s">
        <v>52</v>
      </c>
      <c r="E14" s="16">
        <v>1</v>
      </c>
      <c r="F14" s="16">
        <v>31500</v>
      </c>
      <c r="G14" s="16">
        <v>1</v>
      </c>
      <c r="H14" s="16">
        <v>31500</v>
      </c>
      <c r="I14" s="16">
        <v>1</v>
      </c>
      <c r="J14" s="16">
        <v>31500</v>
      </c>
      <c r="K14" s="16" t="str">
        <f t="shared" si="0"/>
        <v/>
      </c>
      <c r="L14" s="16" t="str">
        <f t="shared" si="1"/>
        <v/>
      </c>
      <c r="M14" s="9" t="s">
        <v>35</v>
      </c>
    </row>
    <row r="15" ht="22" hidden="1" customHeight="1" outlineLevel="2" spans="2:13">
      <c r="B15" s="7" t="s">
        <v>58</v>
      </c>
      <c r="C15" s="8" t="s">
        <v>50</v>
      </c>
      <c r="D15" s="8" t="s">
        <v>52</v>
      </c>
      <c r="E15" s="15">
        <v>1</v>
      </c>
      <c r="F15" s="15">
        <v>20000</v>
      </c>
      <c r="G15" s="15">
        <v>1</v>
      </c>
      <c r="H15" s="15">
        <v>20000</v>
      </c>
      <c r="I15" s="15">
        <v>1</v>
      </c>
      <c r="J15" s="15">
        <v>20000</v>
      </c>
      <c r="K15" s="15" t="str">
        <f t="shared" si="0"/>
        <v/>
      </c>
      <c r="L15" s="15" t="str">
        <f t="shared" si="1"/>
        <v/>
      </c>
      <c r="M15" s="7" t="s">
        <v>35</v>
      </c>
    </row>
    <row r="16" ht="22" hidden="1" customHeight="1" outlineLevel="2" spans="2:13">
      <c r="B16" s="9" t="s">
        <v>59</v>
      </c>
      <c r="C16" s="10" t="s">
        <v>50</v>
      </c>
      <c r="D16" s="10" t="s">
        <v>52</v>
      </c>
      <c r="E16" s="16">
        <v>1</v>
      </c>
      <c r="F16" s="16">
        <v>20000</v>
      </c>
      <c r="G16" s="16">
        <v>1</v>
      </c>
      <c r="H16" s="16">
        <v>20000</v>
      </c>
      <c r="I16" s="16">
        <v>1</v>
      </c>
      <c r="J16" s="16">
        <v>20000</v>
      </c>
      <c r="K16" s="16" t="str">
        <f t="shared" si="0"/>
        <v/>
      </c>
      <c r="L16" s="16" t="str">
        <f t="shared" si="1"/>
        <v/>
      </c>
      <c r="M16" s="9" t="s">
        <v>35</v>
      </c>
    </row>
    <row r="17" ht="22" hidden="1" customHeight="1" outlineLevel="2" spans="2:13">
      <c r="B17" s="7" t="s">
        <v>60</v>
      </c>
      <c r="C17" s="8" t="s">
        <v>50</v>
      </c>
      <c r="D17" s="8" t="s">
        <v>52</v>
      </c>
      <c r="E17" s="15">
        <v>1</v>
      </c>
      <c r="F17" s="15">
        <v>33916</v>
      </c>
      <c r="G17" s="15">
        <v>1</v>
      </c>
      <c r="H17" s="15">
        <v>33916</v>
      </c>
      <c r="I17" s="15">
        <v>1</v>
      </c>
      <c r="J17" s="15">
        <v>33916</v>
      </c>
      <c r="K17" s="15" t="str">
        <f t="shared" si="0"/>
        <v/>
      </c>
      <c r="L17" s="15" t="str">
        <f t="shared" si="1"/>
        <v/>
      </c>
      <c r="M17" s="7" t="s">
        <v>35</v>
      </c>
    </row>
    <row r="18" ht="22" hidden="1" customHeight="1" outlineLevel="2" spans="2:13">
      <c r="B18" s="9" t="s">
        <v>61</v>
      </c>
      <c r="C18" s="10" t="s">
        <v>31</v>
      </c>
      <c r="D18" s="10" t="s">
        <v>62</v>
      </c>
      <c r="E18" s="16">
        <v>1</v>
      </c>
      <c r="F18" s="16">
        <v>28000</v>
      </c>
      <c r="G18" s="16">
        <v>1</v>
      </c>
      <c r="H18" s="16">
        <v>28000</v>
      </c>
      <c r="I18" s="16">
        <v>1</v>
      </c>
      <c r="J18" s="16">
        <v>28000</v>
      </c>
      <c r="K18" s="16" t="str">
        <f t="shared" si="0"/>
        <v/>
      </c>
      <c r="L18" s="16" t="str">
        <f t="shared" si="1"/>
        <v/>
      </c>
      <c r="M18" s="9" t="s">
        <v>35</v>
      </c>
    </row>
    <row r="19" ht="22" hidden="1" customHeight="1" outlineLevel="2" spans="2:13">
      <c r="B19" s="7" t="s">
        <v>63</v>
      </c>
      <c r="C19" s="8" t="s">
        <v>31</v>
      </c>
      <c r="D19" s="8" t="s">
        <v>52</v>
      </c>
      <c r="E19" s="15">
        <v>1</v>
      </c>
      <c r="F19" s="15">
        <v>24400</v>
      </c>
      <c r="G19" s="15">
        <v>1</v>
      </c>
      <c r="H19" s="15">
        <v>24400</v>
      </c>
      <c r="I19" s="15">
        <v>1</v>
      </c>
      <c r="J19" s="15">
        <v>24400</v>
      </c>
      <c r="K19" s="15" t="str">
        <f t="shared" si="0"/>
        <v/>
      </c>
      <c r="L19" s="15" t="str">
        <f t="shared" si="1"/>
        <v/>
      </c>
      <c r="M19" s="7" t="s">
        <v>35</v>
      </c>
    </row>
    <row r="20" ht="22" hidden="1" customHeight="1" outlineLevel="2" spans="2:13">
      <c r="B20" s="9" t="s">
        <v>64</v>
      </c>
      <c r="C20" s="10" t="s">
        <v>31</v>
      </c>
      <c r="D20" s="10" t="s">
        <v>52</v>
      </c>
      <c r="E20" s="16">
        <v>1</v>
      </c>
      <c r="F20" s="16">
        <v>24400</v>
      </c>
      <c r="G20" s="16">
        <v>1</v>
      </c>
      <c r="H20" s="16">
        <v>24400</v>
      </c>
      <c r="I20" s="16">
        <v>1</v>
      </c>
      <c r="J20" s="16">
        <v>24400</v>
      </c>
      <c r="K20" s="16" t="str">
        <f t="shared" si="0"/>
        <v/>
      </c>
      <c r="L20" s="16" t="str">
        <f t="shared" si="1"/>
        <v/>
      </c>
      <c r="M20" s="9" t="s">
        <v>35</v>
      </c>
    </row>
    <row r="21" ht="22" hidden="1" customHeight="1" outlineLevel="2" spans="2:13">
      <c r="B21" s="7" t="s">
        <v>65</v>
      </c>
      <c r="C21" s="8" t="s">
        <v>31</v>
      </c>
      <c r="D21" s="8" t="s">
        <v>52</v>
      </c>
      <c r="E21" s="15">
        <v>1</v>
      </c>
      <c r="F21" s="15">
        <v>24400</v>
      </c>
      <c r="G21" s="15">
        <v>1</v>
      </c>
      <c r="H21" s="15">
        <v>24400</v>
      </c>
      <c r="I21" s="15">
        <v>1</v>
      </c>
      <c r="J21" s="15">
        <v>24400</v>
      </c>
      <c r="K21" s="15" t="str">
        <f t="shared" si="0"/>
        <v/>
      </c>
      <c r="L21" s="15" t="str">
        <f t="shared" si="1"/>
        <v/>
      </c>
      <c r="M21" s="7" t="s">
        <v>35</v>
      </c>
    </row>
    <row r="22" ht="22" hidden="1" customHeight="1" outlineLevel="2" spans="2:13">
      <c r="B22" s="9" t="s">
        <v>66</v>
      </c>
      <c r="C22" s="10" t="s">
        <v>31</v>
      </c>
      <c r="D22" s="10" t="s">
        <v>52</v>
      </c>
      <c r="E22" s="16">
        <v>1</v>
      </c>
      <c r="F22" s="16">
        <v>24400</v>
      </c>
      <c r="G22" s="16">
        <v>1</v>
      </c>
      <c r="H22" s="16">
        <v>24400</v>
      </c>
      <c r="I22" s="16">
        <v>1</v>
      </c>
      <c r="J22" s="16">
        <v>24400</v>
      </c>
      <c r="K22" s="16" t="str">
        <f t="shared" si="0"/>
        <v/>
      </c>
      <c r="L22" s="16" t="str">
        <f t="shared" si="1"/>
        <v/>
      </c>
      <c r="M22" s="9" t="s">
        <v>35</v>
      </c>
    </row>
    <row r="23" ht="22" hidden="1" customHeight="1" outlineLevel="2" spans="2:13">
      <c r="B23" s="7" t="s">
        <v>67</v>
      </c>
      <c r="C23" s="8" t="s">
        <v>31</v>
      </c>
      <c r="D23" s="8" t="s">
        <v>52</v>
      </c>
      <c r="E23" s="15">
        <v>1</v>
      </c>
      <c r="F23" s="15">
        <v>24400</v>
      </c>
      <c r="G23" s="15">
        <v>1</v>
      </c>
      <c r="H23" s="15">
        <v>24400</v>
      </c>
      <c r="I23" s="15">
        <v>1</v>
      </c>
      <c r="J23" s="15">
        <v>24400</v>
      </c>
      <c r="K23" s="15" t="str">
        <f t="shared" si="0"/>
        <v/>
      </c>
      <c r="L23" s="15" t="str">
        <f t="shared" si="1"/>
        <v/>
      </c>
      <c r="M23" s="7" t="s">
        <v>35</v>
      </c>
    </row>
    <row r="24" ht="22" hidden="1" customHeight="1" outlineLevel="2" spans="2:13">
      <c r="B24" s="9" t="s">
        <v>68</v>
      </c>
      <c r="C24" s="10" t="s">
        <v>31</v>
      </c>
      <c r="D24" s="10" t="s">
        <v>52</v>
      </c>
      <c r="E24" s="16">
        <v>2</v>
      </c>
      <c r="F24" s="16">
        <v>48800</v>
      </c>
      <c r="G24" s="16">
        <v>2</v>
      </c>
      <c r="H24" s="16">
        <v>48800</v>
      </c>
      <c r="I24" s="16">
        <v>2</v>
      </c>
      <c r="J24" s="16">
        <v>48800</v>
      </c>
      <c r="K24" s="16" t="str">
        <f t="shared" si="0"/>
        <v/>
      </c>
      <c r="L24" s="16" t="str">
        <f t="shared" si="1"/>
        <v/>
      </c>
      <c r="M24" s="9" t="s">
        <v>35</v>
      </c>
    </row>
    <row r="25" ht="22" hidden="1" customHeight="1" outlineLevel="2" spans="2:13">
      <c r="B25" s="7" t="s">
        <v>69</v>
      </c>
      <c r="C25" s="8" t="s">
        <v>31</v>
      </c>
      <c r="D25" s="8" t="s">
        <v>52</v>
      </c>
      <c r="E25" s="15">
        <v>2</v>
      </c>
      <c r="F25" s="15">
        <v>48800</v>
      </c>
      <c r="G25" s="15">
        <v>2</v>
      </c>
      <c r="H25" s="15">
        <v>48800</v>
      </c>
      <c r="I25" s="15">
        <v>2</v>
      </c>
      <c r="J25" s="15">
        <v>48800</v>
      </c>
      <c r="K25" s="15" t="str">
        <f t="shared" si="0"/>
        <v/>
      </c>
      <c r="L25" s="15" t="str">
        <f t="shared" si="1"/>
        <v/>
      </c>
      <c r="M25" s="7" t="s">
        <v>35</v>
      </c>
    </row>
    <row r="26" ht="22" hidden="1" customHeight="1" outlineLevel="2" spans="2:13">
      <c r="B26" s="9" t="s">
        <v>70</v>
      </c>
      <c r="C26" s="10" t="s">
        <v>31</v>
      </c>
      <c r="D26" s="10" t="s">
        <v>52</v>
      </c>
      <c r="E26" s="16">
        <v>1</v>
      </c>
      <c r="F26" s="16">
        <v>24400</v>
      </c>
      <c r="G26" s="16">
        <v>1</v>
      </c>
      <c r="H26" s="16">
        <v>24400</v>
      </c>
      <c r="I26" s="16">
        <v>1</v>
      </c>
      <c r="J26" s="16">
        <v>24400</v>
      </c>
      <c r="K26" s="16" t="str">
        <f t="shared" si="0"/>
        <v/>
      </c>
      <c r="L26" s="16" t="str">
        <f t="shared" si="1"/>
        <v/>
      </c>
      <c r="M26" s="9" t="s">
        <v>35</v>
      </c>
    </row>
    <row r="27" ht="22" hidden="1" customHeight="1" outlineLevel="2" spans="2:13">
      <c r="B27" s="7" t="s">
        <v>71</v>
      </c>
      <c r="C27" s="8" t="s">
        <v>31</v>
      </c>
      <c r="D27" s="8" t="s">
        <v>52</v>
      </c>
      <c r="E27" s="15">
        <v>2</v>
      </c>
      <c r="F27" s="15">
        <v>48800</v>
      </c>
      <c r="G27" s="15">
        <v>2</v>
      </c>
      <c r="H27" s="15">
        <v>48800</v>
      </c>
      <c r="I27" s="15">
        <v>2</v>
      </c>
      <c r="J27" s="15">
        <v>48800</v>
      </c>
      <c r="K27" s="15" t="str">
        <f t="shared" si="0"/>
        <v/>
      </c>
      <c r="L27" s="15" t="str">
        <f t="shared" si="1"/>
        <v/>
      </c>
      <c r="M27" s="7" t="s">
        <v>35</v>
      </c>
    </row>
    <row r="28" ht="22" hidden="1" customHeight="1" outlineLevel="2" spans="2:13">
      <c r="B28" s="9" t="s">
        <v>72</v>
      </c>
      <c r="C28" s="10" t="s">
        <v>31</v>
      </c>
      <c r="D28" s="10" t="s">
        <v>52</v>
      </c>
      <c r="E28" s="16">
        <v>1</v>
      </c>
      <c r="F28" s="16">
        <v>24400</v>
      </c>
      <c r="G28" s="16">
        <v>1</v>
      </c>
      <c r="H28" s="16">
        <v>24400</v>
      </c>
      <c r="I28" s="16">
        <v>1</v>
      </c>
      <c r="J28" s="16">
        <v>24400</v>
      </c>
      <c r="K28" s="16" t="str">
        <f t="shared" si="0"/>
        <v/>
      </c>
      <c r="L28" s="16" t="str">
        <f t="shared" si="1"/>
        <v/>
      </c>
      <c r="M28" s="9" t="s">
        <v>35</v>
      </c>
    </row>
    <row r="29" ht="22" hidden="1" customHeight="1" outlineLevel="2" spans="2:13">
      <c r="B29" s="7" t="s">
        <v>73</v>
      </c>
      <c r="C29" s="8" t="s">
        <v>31</v>
      </c>
      <c r="D29" s="8" t="s">
        <v>52</v>
      </c>
      <c r="E29" s="15">
        <v>1</v>
      </c>
      <c r="F29" s="15">
        <v>21720</v>
      </c>
      <c r="G29" s="15">
        <v>1</v>
      </c>
      <c r="H29" s="15">
        <v>21720</v>
      </c>
      <c r="I29" s="15">
        <v>1</v>
      </c>
      <c r="J29" s="15">
        <v>21720</v>
      </c>
      <c r="K29" s="15" t="str">
        <f t="shared" si="0"/>
        <v/>
      </c>
      <c r="L29" s="15" t="str">
        <f t="shared" si="1"/>
        <v/>
      </c>
      <c r="M29" s="7" t="s">
        <v>35</v>
      </c>
    </row>
    <row r="30" ht="22" hidden="1" customHeight="1" outlineLevel="1" collapsed="1" spans="2:16">
      <c r="B30" s="11" t="s">
        <v>519</v>
      </c>
      <c r="C30" s="12"/>
      <c r="D30" s="12"/>
      <c r="E30" s="17">
        <f t="shared" ref="E30:J30" si="2">SUM(E9:E29)</f>
        <v>24</v>
      </c>
      <c r="F30" s="17">
        <f t="shared" si="2"/>
        <v>608536</v>
      </c>
      <c r="G30" s="17">
        <f t="shared" si="2"/>
        <v>23</v>
      </c>
      <c r="H30" s="17">
        <f t="shared" si="2"/>
        <v>577036</v>
      </c>
      <c r="I30" s="17">
        <f t="shared" si="2"/>
        <v>23</v>
      </c>
      <c r="J30" s="17">
        <f t="shared" si="2"/>
        <v>577036</v>
      </c>
      <c r="K30" s="17">
        <f>IF(SUMPRODUCT((E9:E29)-(I9:I29))=0,"",SUM(K9:K29))</f>
        <v>1</v>
      </c>
      <c r="L30" s="17">
        <f>IF(SUMPRODUCT((F9:F29)-(J9:J29))=0,"",SUM(L9:L29))</f>
        <v>31500</v>
      </c>
      <c r="M30" s="12"/>
      <c r="N30" s="12"/>
      <c r="O30" s="12"/>
      <c r="P30" s="19"/>
    </row>
    <row r="31" ht="20" customHeight="1" collapsed="1" spans="2:2">
      <c r="B31" s="13" t="s">
        <v>520</v>
      </c>
    </row>
    <row r="32" ht="22" hidden="1" customHeight="1" outlineLevel="2" spans="2:13">
      <c r="B32" s="7" t="s">
        <v>74</v>
      </c>
      <c r="C32" s="8" t="s">
        <v>50</v>
      </c>
      <c r="D32" s="8" t="s">
        <v>75</v>
      </c>
      <c r="E32" s="15">
        <v>1</v>
      </c>
      <c r="F32" s="15">
        <v>33996</v>
      </c>
      <c r="G32" s="15">
        <v>1</v>
      </c>
      <c r="H32" s="15">
        <v>33996</v>
      </c>
      <c r="I32" s="15">
        <v>1</v>
      </c>
      <c r="J32" s="15">
        <v>33996</v>
      </c>
      <c r="K32" s="15" t="str">
        <f t="shared" ref="K32:K48" si="3">IF(E32-I32=0,"",E32-I32)</f>
        <v/>
      </c>
      <c r="L32" s="15" t="str">
        <f t="shared" ref="L32:L48" si="4">IF(F32-J32=0,"",F32-J32)</f>
        <v/>
      </c>
      <c r="M32" s="7" t="s">
        <v>35</v>
      </c>
    </row>
    <row r="33" ht="22" hidden="1" customHeight="1" outlineLevel="2" spans="2:13">
      <c r="B33" s="9" t="s">
        <v>81</v>
      </c>
      <c r="C33" s="10" t="s">
        <v>50</v>
      </c>
      <c r="D33" s="10" t="s">
        <v>82</v>
      </c>
      <c r="E33" s="16">
        <v>1</v>
      </c>
      <c r="F33" s="16">
        <v>22500</v>
      </c>
      <c r="G33" s="16">
        <v>1</v>
      </c>
      <c r="H33" s="16">
        <v>22500</v>
      </c>
      <c r="I33" s="16">
        <v>1</v>
      </c>
      <c r="J33" s="16">
        <v>22500</v>
      </c>
      <c r="K33" s="16" t="str">
        <f t="shared" si="3"/>
        <v/>
      </c>
      <c r="L33" s="16" t="str">
        <f t="shared" si="4"/>
        <v/>
      </c>
      <c r="M33" s="9" t="s">
        <v>35</v>
      </c>
    </row>
    <row r="34" ht="22" hidden="1" customHeight="1" outlineLevel="2" spans="2:13">
      <c r="B34" s="7" t="s">
        <v>85</v>
      </c>
      <c r="C34" s="8" t="s">
        <v>31</v>
      </c>
      <c r="D34" s="8" t="s">
        <v>86</v>
      </c>
      <c r="E34" s="15">
        <v>1</v>
      </c>
      <c r="F34" s="15">
        <v>22260</v>
      </c>
      <c r="G34" s="15">
        <v>1</v>
      </c>
      <c r="H34" s="15">
        <v>22260</v>
      </c>
      <c r="I34" s="15">
        <v>1</v>
      </c>
      <c r="J34" s="15">
        <v>22260</v>
      </c>
      <c r="K34" s="15" t="str">
        <f t="shared" si="3"/>
        <v/>
      </c>
      <c r="L34" s="15" t="str">
        <f t="shared" si="4"/>
        <v/>
      </c>
      <c r="M34" s="7" t="s">
        <v>35</v>
      </c>
    </row>
    <row r="35" ht="22" hidden="1" customHeight="1" outlineLevel="2" spans="2:13">
      <c r="B35" s="9" t="s">
        <v>88</v>
      </c>
      <c r="C35" s="10" t="s">
        <v>31</v>
      </c>
      <c r="D35" s="10" t="s">
        <v>86</v>
      </c>
      <c r="E35" s="16">
        <v>1</v>
      </c>
      <c r="F35" s="16">
        <v>25220</v>
      </c>
      <c r="G35" s="16">
        <v>1</v>
      </c>
      <c r="H35" s="16">
        <v>25220</v>
      </c>
      <c r="I35" s="16">
        <v>1</v>
      </c>
      <c r="J35" s="16">
        <v>25220</v>
      </c>
      <c r="K35" s="16" t="str">
        <f t="shared" si="3"/>
        <v/>
      </c>
      <c r="L35" s="16" t="str">
        <f t="shared" si="4"/>
        <v/>
      </c>
      <c r="M35" s="9" t="s">
        <v>35</v>
      </c>
    </row>
    <row r="36" ht="22" hidden="1" customHeight="1" outlineLevel="2" spans="2:13">
      <c r="B36" s="7" t="s">
        <v>89</v>
      </c>
      <c r="C36" s="8" t="s">
        <v>31</v>
      </c>
      <c r="D36" s="8" t="s">
        <v>86</v>
      </c>
      <c r="E36" s="15">
        <v>1</v>
      </c>
      <c r="F36" s="15">
        <v>32760</v>
      </c>
      <c r="G36" s="15">
        <v>1</v>
      </c>
      <c r="H36" s="15">
        <v>32760</v>
      </c>
      <c r="I36" s="15">
        <v>1</v>
      </c>
      <c r="J36" s="15">
        <v>32760</v>
      </c>
      <c r="K36" s="15" t="str">
        <f t="shared" si="3"/>
        <v/>
      </c>
      <c r="L36" s="15" t="str">
        <f t="shared" si="4"/>
        <v/>
      </c>
      <c r="M36" s="7" t="s">
        <v>35</v>
      </c>
    </row>
    <row r="37" ht="22" hidden="1" customHeight="1" outlineLevel="2" spans="2:13">
      <c r="B37" s="9" t="s">
        <v>90</v>
      </c>
      <c r="C37" s="10" t="s">
        <v>31</v>
      </c>
      <c r="D37" s="10" t="s">
        <v>78</v>
      </c>
      <c r="E37" s="16">
        <v>1</v>
      </c>
      <c r="F37" s="16">
        <v>38000</v>
      </c>
      <c r="G37" s="16">
        <v>1</v>
      </c>
      <c r="H37" s="16">
        <v>38000</v>
      </c>
      <c r="I37" s="16">
        <v>1</v>
      </c>
      <c r="J37" s="16">
        <v>38000</v>
      </c>
      <c r="K37" s="16" t="str">
        <f t="shared" si="3"/>
        <v/>
      </c>
      <c r="L37" s="16" t="str">
        <f t="shared" si="4"/>
        <v/>
      </c>
      <c r="M37" s="9" t="s">
        <v>35</v>
      </c>
    </row>
    <row r="38" ht="22" hidden="1" customHeight="1" outlineLevel="2" spans="2:13">
      <c r="B38" s="7" t="s">
        <v>97</v>
      </c>
      <c r="C38" s="8" t="s">
        <v>31</v>
      </c>
      <c r="D38" s="8" t="s">
        <v>98</v>
      </c>
      <c r="E38" s="15">
        <v>2</v>
      </c>
      <c r="F38" s="15">
        <v>30000</v>
      </c>
      <c r="G38" s="15">
        <v>2</v>
      </c>
      <c r="H38" s="15">
        <v>30000</v>
      </c>
      <c r="I38" s="15">
        <v>2</v>
      </c>
      <c r="J38" s="15">
        <v>30000</v>
      </c>
      <c r="K38" s="15" t="str">
        <f t="shared" si="3"/>
        <v/>
      </c>
      <c r="L38" s="15" t="str">
        <f t="shared" si="4"/>
        <v/>
      </c>
      <c r="M38" s="7" t="s">
        <v>521</v>
      </c>
    </row>
    <row r="39" ht="22" hidden="1" customHeight="1" outlineLevel="2" spans="2:13">
      <c r="B39" s="9" t="s">
        <v>128</v>
      </c>
      <c r="C39" s="10" t="s">
        <v>126</v>
      </c>
      <c r="D39" s="10" t="s">
        <v>129</v>
      </c>
      <c r="E39" s="16">
        <v>1</v>
      </c>
      <c r="F39" s="16">
        <v>12500</v>
      </c>
      <c r="G39" s="16">
        <v>1</v>
      </c>
      <c r="H39" s="16">
        <v>12500</v>
      </c>
      <c r="I39" s="16">
        <v>1</v>
      </c>
      <c r="J39" s="16">
        <v>12500</v>
      </c>
      <c r="K39" s="16" t="str">
        <f t="shared" si="3"/>
        <v/>
      </c>
      <c r="L39" s="16" t="str">
        <f t="shared" si="4"/>
        <v/>
      </c>
      <c r="M39" s="9" t="s">
        <v>35</v>
      </c>
    </row>
    <row r="40" ht="22" hidden="1" customHeight="1" outlineLevel="2" spans="2:13">
      <c r="B40" s="7" t="s">
        <v>146</v>
      </c>
      <c r="C40" s="8" t="s">
        <v>141</v>
      </c>
      <c r="D40" s="8" t="s">
        <v>143</v>
      </c>
      <c r="E40" s="15">
        <v>1</v>
      </c>
      <c r="F40" s="15">
        <v>2800</v>
      </c>
      <c r="G40" s="15">
        <v>1</v>
      </c>
      <c r="H40" s="15">
        <v>2800</v>
      </c>
      <c r="I40" s="15">
        <v>1</v>
      </c>
      <c r="J40" s="15">
        <v>2800</v>
      </c>
      <c r="K40" s="15" t="str">
        <f t="shared" si="3"/>
        <v/>
      </c>
      <c r="L40" s="15" t="str">
        <f t="shared" si="4"/>
        <v/>
      </c>
      <c r="M40" s="7" t="s">
        <v>35</v>
      </c>
    </row>
    <row r="41" ht="22" hidden="1" customHeight="1" outlineLevel="2" spans="2:13">
      <c r="B41" s="9" t="s">
        <v>147</v>
      </c>
      <c r="C41" s="10" t="s">
        <v>141</v>
      </c>
      <c r="D41" s="10" t="s">
        <v>143</v>
      </c>
      <c r="E41" s="16">
        <v>1</v>
      </c>
      <c r="F41" s="16">
        <v>2800</v>
      </c>
      <c r="G41" s="16">
        <v>1</v>
      </c>
      <c r="H41" s="16">
        <v>2800</v>
      </c>
      <c r="I41" s="16">
        <v>1</v>
      </c>
      <c r="J41" s="16">
        <v>2800</v>
      </c>
      <c r="K41" s="16" t="str">
        <f t="shared" si="3"/>
        <v/>
      </c>
      <c r="L41" s="16" t="str">
        <f t="shared" si="4"/>
        <v/>
      </c>
      <c r="M41" s="9" t="s">
        <v>35</v>
      </c>
    </row>
    <row r="42" ht="22" hidden="1" customHeight="1" outlineLevel="2" spans="2:13">
      <c r="B42" s="7" t="s">
        <v>149</v>
      </c>
      <c r="C42" s="8" t="s">
        <v>141</v>
      </c>
      <c r="D42" s="8" t="s">
        <v>143</v>
      </c>
      <c r="E42" s="15">
        <v>7</v>
      </c>
      <c r="F42" s="15">
        <v>19600</v>
      </c>
      <c r="G42" s="15">
        <v>7</v>
      </c>
      <c r="H42" s="15">
        <v>19600</v>
      </c>
      <c r="I42" s="15">
        <v>7</v>
      </c>
      <c r="J42" s="15">
        <v>19600</v>
      </c>
      <c r="K42" s="15" t="str">
        <f t="shared" si="3"/>
        <v/>
      </c>
      <c r="L42" s="15" t="str">
        <f t="shared" si="4"/>
        <v/>
      </c>
      <c r="M42" s="7" t="s">
        <v>35</v>
      </c>
    </row>
    <row r="43" ht="22" hidden="1" customHeight="1" outlineLevel="2" spans="2:13">
      <c r="B43" s="9" t="s">
        <v>151</v>
      </c>
      <c r="C43" s="10" t="s">
        <v>141</v>
      </c>
      <c r="D43" s="10" t="s">
        <v>152</v>
      </c>
      <c r="E43" s="16">
        <v>1</v>
      </c>
      <c r="F43" s="16">
        <v>600</v>
      </c>
      <c r="G43" s="16">
        <v>1</v>
      </c>
      <c r="H43" s="16">
        <v>600</v>
      </c>
      <c r="I43" s="16">
        <v>1</v>
      </c>
      <c r="J43" s="16">
        <v>600</v>
      </c>
      <c r="K43" s="16" t="str">
        <f t="shared" si="3"/>
        <v/>
      </c>
      <c r="L43" s="16" t="str">
        <f t="shared" si="4"/>
        <v/>
      </c>
      <c r="M43" s="9" t="s">
        <v>35</v>
      </c>
    </row>
    <row r="44" ht="22" hidden="1" customHeight="1" outlineLevel="2" spans="2:13">
      <c r="B44" s="7" t="s">
        <v>153</v>
      </c>
      <c r="C44" s="8" t="s">
        <v>141</v>
      </c>
      <c r="D44" s="8" t="s">
        <v>154</v>
      </c>
      <c r="E44" s="15">
        <v>1</v>
      </c>
      <c r="F44" s="15">
        <v>600</v>
      </c>
      <c r="G44" s="15">
        <v>1</v>
      </c>
      <c r="H44" s="15">
        <v>600</v>
      </c>
      <c r="I44" s="15">
        <v>1</v>
      </c>
      <c r="J44" s="15">
        <v>600</v>
      </c>
      <c r="K44" s="15" t="str">
        <f t="shared" si="3"/>
        <v/>
      </c>
      <c r="L44" s="15" t="str">
        <f t="shared" si="4"/>
        <v/>
      </c>
      <c r="M44" s="7" t="s">
        <v>35</v>
      </c>
    </row>
    <row r="45" ht="22" hidden="1" customHeight="1" outlineLevel="2" spans="2:13">
      <c r="B45" s="9" t="s">
        <v>155</v>
      </c>
      <c r="C45" s="10" t="s">
        <v>141</v>
      </c>
      <c r="D45" s="10" t="s">
        <v>156</v>
      </c>
      <c r="E45" s="16">
        <v>1</v>
      </c>
      <c r="F45" s="16">
        <v>7520</v>
      </c>
      <c r="G45" s="16">
        <v>1</v>
      </c>
      <c r="H45" s="16">
        <v>7520</v>
      </c>
      <c r="I45" s="16">
        <v>1</v>
      </c>
      <c r="J45" s="16">
        <v>7520</v>
      </c>
      <c r="K45" s="16" t="str">
        <f t="shared" si="3"/>
        <v/>
      </c>
      <c r="L45" s="16" t="str">
        <f t="shared" si="4"/>
        <v/>
      </c>
      <c r="M45" s="9" t="s">
        <v>35</v>
      </c>
    </row>
    <row r="46" ht="22" hidden="1" customHeight="1" outlineLevel="2" spans="2:13">
      <c r="B46" s="7" t="s">
        <v>157</v>
      </c>
      <c r="C46" s="8" t="s">
        <v>141</v>
      </c>
      <c r="D46" s="8" t="s">
        <v>156</v>
      </c>
      <c r="E46" s="15">
        <v>3</v>
      </c>
      <c r="F46" s="15">
        <v>22560</v>
      </c>
      <c r="G46" s="15">
        <v>3</v>
      </c>
      <c r="H46" s="15">
        <v>22560</v>
      </c>
      <c r="I46" s="15">
        <v>3</v>
      </c>
      <c r="J46" s="15">
        <v>22560</v>
      </c>
      <c r="K46" s="15" t="str">
        <f t="shared" si="3"/>
        <v/>
      </c>
      <c r="L46" s="15" t="str">
        <f t="shared" si="4"/>
        <v/>
      </c>
      <c r="M46" s="7" t="s">
        <v>35</v>
      </c>
    </row>
    <row r="47" ht="22" hidden="1" customHeight="1" outlineLevel="2" spans="2:13">
      <c r="B47" s="9" t="s">
        <v>161</v>
      </c>
      <c r="C47" s="10" t="s">
        <v>158</v>
      </c>
      <c r="D47" s="10" t="s">
        <v>160</v>
      </c>
      <c r="E47" s="16">
        <v>2</v>
      </c>
      <c r="F47" s="16">
        <v>6600</v>
      </c>
      <c r="G47" s="16">
        <v>2</v>
      </c>
      <c r="H47" s="16">
        <v>6600</v>
      </c>
      <c r="I47" s="16">
        <v>2</v>
      </c>
      <c r="J47" s="16">
        <v>6600</v>
      </c>
      <c r="K47" s="16" t="str">
        <f t="shared" si="3"/>
        <v/>
      </c>
      <c r="L47" s="16" t="str">
        <f t="shared" si="4"/>
        <v/>
      </c>
      <c r="M47" s="9" t="s">
        <v>35</v>
      </c>
    </row>
    <row r="48" ht="22" hidden="1" customHeight="1" outlineLevel="2" spans="2:13">
      <c r="B48" s="7" t="s">
        <v>162</v>
      </c>
      <c r="C48" s="8" t="s">
        <v>158</v>
      </c>
      <c r="D48" s="8" t="s">
        <v>160</v>
      </c>
      <c r="E48" s="15">
        <v>2</v>
      </c>
      <c r="F48" s="15">
        <v>4000</v>
      </c>
      <c r="G48" s="15">
        <v>2</v>
      </c>
      <c r="H48" s="15">
        <v>4000</v>
      </c>
      <c r="I48" s="15">
        <v>2</v>
      </c>
      <c r="J48" s="15">
        <v>4000</v>
      </c>
      <c r="K48" s="15" t="str">
        <f t="shared" si="3"/>
        <v/>
      </c>
      <c r="L48" s="15" t="str">
        <f t="shared" si="4"/>
        <v/>
      </c>
      <c r="M48" s="7" t="s">
        <v>35</v>
      </c>
    </row>
    <row r="49" ht="22" customHeight="1" outlineLevel="1" collapsed="1" spans="2:16">
      <c r="B49" s="11" t="s">
        <v>522</v>
      </c>
      <c r="C49" s="12"/>
      <c r="D49" s="12"/>
      <c r="E49" s="17">
        <f t="shared" ref="E49:J49" si="5">SUM(E32:E48)</f>
        <v>28</v>
      </c>
      <c r="F49" s="17">
        <f t="shared" si="5"/>
        <v>284316</v>
      </c>
      <c r="G49" s="17">
        <f t="shared" si="5"/>
        <v>28</v>
      </c>
      <c r="H49" s="17">
        <f t="shared" si="5"/>
        <v>284316</v>
      </c>
      <c r="I49" s="17">
        <f t="shared" si="5"/>
        <v>28</v>
      </c>
      <c r="J49" s="17">
        <f t="shared" si="5"/>
        <v>284316</v>
      </c>
      <c r="K49" s="17" t="str">
        <f>IF(SUMPRODUCT((E32:E48)-(I32:I48))=0,"",SUM(K32:K48))</f>
        <v/>
      </c>
      <c r="L49" s="17" t="str">
        <f>IF(SUMPRODUCT((F32:F48)-(J32:J48))=0,"",SUM(L32:L48))</f>
        <v/>
      </c>
      <c r="M49" s="12"/>
      <c r="N49" s="12"/>
      <c r="O49" s="12"/>
      <c r="P49" s="12"/>
    </row>
    <row r="50" ht="22" customHeight="1" spans="2:16">
      <c r="B50" s="11" t="s">
        <v>523</v>
      </c>
      <c r="C50" s="12"/>
      <c r="D50" s="12"/>
      <c r="E50" s="17">
        <f t="shared" ref="E50:J50" si="6">E30+E49</f>
        <v>52</v>
      </c>
      <c r="F50" s="17">
        <f t="shared" si="6"/>
        <v>892852</v>
      </c>
      <c r="G50" s="17">
        <f t="shared" si="6"/>
        <v>51</v>
      </c>
      <c r="H50" s="17">
        <f t="shared" si="6"/>
        <v>861352</v>
      </c>
      <c r="I50" s="17">
        <f t="shared" si="6"/>
        <v>51</v>
      </c>
      <c r="J50" s="17">
        <f t="shared" si="6"/>
        <v>861352</v>
      </c>
      <c r="K50" s="17">
        <f>IF(N(K30)+N(K49)=0,"",N(K30)+N(K49))</f>
        <v>1</v>
      </c>
      <c r="L50" s="17">
        <f>IF(N(L30)+N(L49)=0,"",N(L30)+N(L49))</f>
        <v>31500</v>
      </c>
      <c r="M50" s="12"/>
      <c r="N50" s="20">
        <v>250000</v>
      </c>
      <c r="O50" s="21">
        <f>IF(OR(N50="",L50=""),"",L50/N50)</f>
        <v>0.126</v>
      </c>
      <c r="P50" s="20">
        <v>450000</v>
      </c>
    </row>
    <row r="52" ht="26" customHeight="1" spans="2:2">
      <c r="B52" s="14" t="s">
        <v>524</v>
      </c>
    </row>
    <row r="53" ht="22" hidden="1" customHeight="1" outlineLevel="1" spans="2:13">
      <c r="B53" s="7" t="s">
        <v>525</v>
      </c>
      <c r="C53" s="8" t="s">
        <v>50</v>
      </c>
      <c r="D53" s="8" t="s">
        <v>526</v>
      </c>
      <c r="E53" s="15">
        <v>1</v>
      </c>
      <c r="F53" s="15">
        <v>10888</v>
      </c>
      <c r="G53" s="15">
        <v>1</v>
      </c>
      <c r="H53" s="15">
        <v>10888</v>
      </c>
      <c r="I53" s="15">
        <v>0</v>
      </c>
      <c r="J53" s="15">
        <v>0</v>
      </c>
      <c r="K53" s="15">
        <f t="shared" ref="K53:K65" si="7">IF(E53-I53=0,"",E53-I53)</f>
        <v>1</v>
      </c>
      <c r="L53" s="15">
        <f t="shared" ref="L53:L65" si="8">IF(F53-J53=0,"",F53-J53)</f>
        <v>10888</v>
      </c>
      <c r="M53" s="7" t="s">
        <v>35</v>
      </c>
    </row>
    <row r="54" ht="22" hidden="1" customHeight="1" outlineLevel="1" spans="2:13">
      <c r="B54" s="9" t="s">
        <v>77</v>
      </c>
      <c r="C54" s="10" t="s">
        <v>50</v>
      </c>
      <c r="D54" s="10" t="s">
        <v>78</v>
      </c>
      <c r="E54" s="16">
        <v>1</v>
      </c>
      <c r="F54" s="16">
        <v>41468</v>
      </c>
      <c r="G54" s="16">
        <v>1</v>
      </c>
      <c r="H54" s="16">
        <v>41468</v>
      </c>
      <c r="I54" s="16">
        <v>1</v>
      </c>
      <c r="J54" s="16">
        <v>41468</v>
      </c>
      <c r="K54" s="16" t="str">
        <f t="shared" si="7"/>
        <v/>
      </c>
      <c r="L54" s="16" t="str">
        <f t="shared" si="8"/>
        <v/>
      </c>
      <c r="M54" s="9" t="s">
        <v>35</v>
      </c>
    </row>
    <row r="55" ht="22" hidden="1" customHeight="1" outlineLevel="1" spans="2:13">
      <c r="B55" s="7" t="s">
        <v>79</v>
      </c>
      <c r="C55" s="8" t="s">
        <v>50</v>
      </c>
      <c r="D55" s="8" t="s">
        <v>80</v>
      </c>
      <c r="E55" s="15">
        <v>1</v>
      </c>
      <c r="F55" s="15">
        <v>11800</v>
      </c>
      <c r="G55" s="15">
        <v>1</v>
      </c>
      <c r="H55" s="15">
        <v>11800</v>
      </c>
      <c r="I55" s="15">
        <v>1</v>
      </c>
      <c r="J55" s="15">
        <v>11800</v>
      </c>
      <c r="K55" s="15" t="str">
        <f t="shared" si="7"/>
        <v/>
      </c>
      <c r="L55" s="15" t="str">
        <f t="shared" si="8"/>
        <v/>
      </c>
      <c r="M55" s="7" t="s">
        <v>35</v>
      </c>
    </row>
    <row r="56" ht="22" hidden="1" customHeight="1" outlineLevel="1" spans="2:13">
      <c r="B56" s="9" t="s">
        <v>83</v>
      </c>
      <c r="C56" s="10" t="s">
        <v>50</v>
      </c>
      <c r="D56" s="10" t="s">
        <v>84</v>
      </c>
      <c r="E56" s="16">
        <v>1</v>
      </c>
      <c r="F56" s="16">
        <v>16500</v>
      </c>
      <c r="G56" s="16">
        <v>1</v>
      </c>
      <c r="H56" s="16">
        <v>16500</v>
      </c>
      <c r="I56" s="16">
        <v>1</v>
      </c>
      <c r="J56" s="16">
        <v>16500</v>
      </c>
      <c r="K56" s="16" t="str">
        <f t="shared" si="7"/>
        <v/>
      </c>
      <c r="L56" s="16" t="str">
        <f t="shared" si="8"/>
        <v/>
      </c>
      <c r="M56" s="9" t="s">
        <v>35</v>
      </c>
    </row>
    <row r="57" ht="22" hidden="1" customHeight="1" outlineLevel="1" spans="2:13">
      <c r="B57" s="7" t="s">
        <v>99</v>
      </c>
      <c r="C57" s="8" t="s">
        <v>31</v>
      </c>
      <c r="D57" s="8" t="s">
        <v>98</v>
      </c>
      <c r="E57" s="15">
        <v>1</v>
      </c>
      <c r="F57" s="15">
        <v>15000</v>
      </c>
      <c r="G57" s="15">
        <v>1</v>
      </c>
      <c r="H57" s="15">
        <v>15000</v>
      </c>
      <c r="I57" s="15">
        <v>1</v>
      </c>
      <c r="J57" s="15">
        <v>15000</v>
      </c>
      <c r="K57" s="15" t="str">
        <f t="shared" si="7"/>
        <v/>
      </c>
      <c r="L57" s="15" t="str">
        <f t="shared" si="8"/>
        <v/>
      </c>
      <c r="M57" s="7" t="s">
        <v>521</v>
      </c>
    </row>
    <row r="58" ht="22" hidden="1" customHeight="1" outlineLevel="1" spans="2:13">
      <c r="B58" s="9" t="s">
        <v>101</v>
      </c>
      <c r="C58" s="10" t="s">
        <v>100</v>
      </c>
      <c r="D58" s="10" t="s">
        <v>102</v>
      </c>
      <c r="E58" s="16">
        <v>1</v>
      </c>
      <c r="F58" s="16">
        <v>13100</v>
      </c>
      <c r="G58" s="16">
        <v>1</v>
      </c>
      <c r="H58" s="16">
        <v>13100</v>
      </c>
      <c r="I58" s="16">
        <v>1</v>
      </c>
      <c r="J58" s="16">
        <v>13100</v>
      </c>
      <c r="K58" s="16" t="str">
        <f t="shared" si="7"/>
        <v/>
      </c>
      <c r="L58" s="16" t="str">
        <f t="shared" si="8"/>
        <v/>
      </c>
      <c r="M58" s="9" t="s">
        <v>35</v>
      </c>
    </row>
    <row r="59" ht="22" hidden="1" customHeight="1" outlineLevel="1" spans="2:13">
      <c r="B59" s="7" t="s">
        <v>103</v>
      </c>
      <c r="C59" s="8" t="s">
        <v>100</v>
      </c>
      <c r="D59" s="8" t="s">
        <v>104</v>
      </c>
      <c r="E59" s="15">
        <v>1</v>
      </c>
      <c r="F59" s="15">
        <v>18488</v>
      </c>
      <c r="G59" s="15">
        <v>1</v>
      </c>
      <c r="H59" s="15">
        <v>18488</v>
      </c>
      <c r="I59" s="15">
        <v>1</v>
      </c>
      <c r="J59" s="15">
        <v>18488</v>
      </c>
      <c r="K59" s="15" t="str">
        <f t="shared" si="7"/>
        <v/>
      </c>
      <c r="L59" s="15" t="str">
        <f t="shared" si="8"/>
        <v/>
      </c>
      <c r="M59" s="7" t="s">
        <v>35</v>
      </c>
    </row>
    <row r="60" ht="22" hidden="1" customHeight="1" outlineLevel="1" spans="2:13">
      <c r="B60" s="9" t="s">
        <v>115</v>
      </c>
      <c r="C60" s="10" t="s">
        <v>100</v>
      </c>
      <c r="D60" s="10" t="s">
        <v>116</v>
      </c>
      <c r="E60" s="16">
        <v>17</v>
      </c>
      <c r="F60" s="16">
        <v>243015</v>
      </c>
      <c r="G60" s="16">
        <v>17</v>
      </c>
      <c r="H60" s="16">
        <v>243015</v>
      </c>
      <c r="I60" s="16">
        <v>17</v>
      </c>
      <c r="J60" s="16">
        <v>243015</v>
      </c>
      <c r="K60" s="16" t="str">
        <f t="shared" si="7"/>
        <v/>
      </c>
      <c r="L60" s="16" t="str">
        <f t="shared" si="8"/>
        <v/>
      </c>
      <c r="M60" s="9" t="s">
        <v>35</v>
      </c>
    </row>
    <row r="61" ht="22" hidden="1" customHeight="1" outlineLevel="1" spans="2:13">
      <c r="B61" s="7" t="s">
        <v>119</v>
      </c>
      <c r="C61" s="8" t="s">
        <v>118</v>
      </c>
      <c r="D61" s="8" t="s">
        <v>120</v>
      </c>
      <c r="E61" s="15">
        <v>1</v>
      </c>
      <c r="F61" s="15">
        <v>3000</v>
      </c>
      <c r="G61" s="15">
        <v>1</v>
      </c>
      <c r="H61" s="15">
        <v>3000</v>
      </c>
      <c r="I61" s="15">
        <v>1</v>
      </c>
      <c r="J61" s="15">
        <v>3000</v>
      </c>
      <c r="K61" s="15" t="str">
        <f t="shared" si="7"/>
        <v/>
      </c>
      <c r="L61" s="15" t="str">
        <f t="shared" si="8"/>
        <v/>
      </c>
      <c r="M61" s="7" t="s">
        <v>35</v>
      </c>
    </row>
    <row r="62" ht="22" hidden="1" customHeight="1" outlineLevel="1" spans="2:13">
      <c r="B62" s="9" t="s">
        <v>142</v>
      </c>
      <c r="C62" s="10" t="s">
        <v>141</v>
      </c>
      <c r="D62" s="10" t="s">
        <v>143</v>
      </c>
      <c r="E62" s="16">
        <v>16</v>
      </c>
      <c r="F62" s="16">
        <v>44800</v>
      </c>
      <c r="G62" s="16">
        <v>15</v>
      </c>
      <c r="H62" s="16">
        <v>42000</v>
      </c>
      <c r="I62" s="16">
        <v>15</v>
      </c>
      <c r="J62" s="16">
        <v>42000</v>
      </c>
      <c r="K62" s="16">
        <f t="shared" si="7"/>
        <v>1</v>
      </c>
      <c r="L62" s="16">
        <f t="shared" si="8"/>
        <v>2800</v>
      </c>
      <c r="M62" s="9" t="s">
        <v>35</v>
      </c>
    </row>
    <row r="63" ht="22" hidden="1" customHeight="1" outlineLevel="1" spans="2:13">
      <c r="B63" s="7" t="s">
        <v>144</v>
      </c>
      <c r="C63" s="8" t="s">
        <v>141</v>
      </c>
      <c r="D63" s="8" t="s">
        <v>143</v>
      </c>
      <c r="E63" s="15">
        <v>11</v>
      </c>
      <c r="F63" s="15">
        <v>30800</v>
      </c>
      <c r="G63" s="15">
        <v>11</v>
      </c>
      <c r="H63" s="15">
        <v>30800</v>
      </c>
      <c r="I63" s="15">
        <v>11</v>
      </c>
      <c r="J63" s="15">
        <v>30800</v>
      </c>
      <c r="K63" s="15" t="str">
        <f t="shared" si="7"/>
        <v/>
      </c>
      <c r="L63" s="15" t="str">
        <f t="shared" si="8"/>
        <v/>
      </c>
      <c r="M63" s="7" t="s">
        <v>35</v>
      </c>
    </row>
    <row r="64" ht="22" hidden="1" customHeight="1" outlineLevel="1" spans="2:13">
      <c r="B64" s="9" t="s">
        <v>148</v>
      </c>
      <c r="C64" s="10" t="s">
        <v>141</v>
      </c>
      <c r="D64" s="10" t="s">
        <v>143</v>
      </c>
      <c r="E64" s="16">
        <v>9</v>
      </c>
      <c r="F64" s="16">
        <v>25200</v>
      </c>
      <c r="G64" s="16">
        <v>9</v>
      </c>
      <c r="H64" s="16">
        <v>25200</v>
      </c>
      <c r="I64" s="16">
        <v>9</v>
      </c>
      <c r="J64" s="16">
        <v>25200</v>
      </c>
      <c r="K64" s="16" t="str">
        <f t="shared" si="7"/>
        <v/>
      </c>
      <c r="L64" s="16" t="str">
        <f t="shared" si="8"/>
        <v/>
      </c>
      <c r="M64" s="9" t="s">
        <v>35</v>
      </c>
    </row>
    <row r="65" ht="22" hidden="1" customHeight="1" outlineLevel="1" spans="2:13">
      <c r="B65" s="7" t="s">
        <v>150</v>
      </c>
      <c r="C65" s="8" t="s">
        <v>141</v>
      </c>
      <c r="D65" s="8" t="s">
        <v>143</v>
      </c>
      <c r="E65" s="15">
        <v>8</v>
      </c>
      <c r="F65" s="15">
        <v>22400</v>
      </c>
      <c r="G65" s="15">
        <v>8</v>
      </c>
      <c r="H65" s="15">
        <v>22400</v>
      </c>
      <c r="I65" s="15">
        <v>8</v>
      </c>
      <c r="J65" s="15">
        <v>22400</v>
      </c>
      <c r="K65" s="15" t="str">
        <f t="shared" si="7"/>
        <v/>
      </c>
      <c r="L65" s="15" t="str">
        <f t="shared" si="8"/>
        <v/>
      </c>
      <c r="M65" s="7" t="s">
        <v>35</v>
      </c>
    </row>
    <row r="66" ht="22" customHeight="1" collapsed="1" spans="2:16">
      <c r="B66" s="11" t="s">
        <v>527</v>
      </c>
      <c r="C66" s="12"/>
      <c r="D66" s="12"/>
      <c r="E66" s="17">
        <f t="shared" ref="E66:J66" si="9">SUM(E53:E65)</f>
        <v>69</v>
      </c>
      <c r="F66" s="17">
        <f t="shared" si="9"/>
        <v>496459</v>
      </c>
      <c r="G66" s="17">
        <f t="shared" si="9"/>
        <v>68</v>
      </c>
      <c r="H66" s="17">
        <f t="shared" si="9"/>
        <v>493659</v>
      </c>
      <c r="I66" s="17">
        <f t="shared" si="9"/>
        <v>67</v>
      </c>
      <c r="J66" s="17">
        <f t="shared" si="9"/>
        <v>482771</v>
      </c>
      <c r="K66" s="17">
        <f>IF(SUMPRODUCT((E53:E65)-(I53:I65))=0,"",SUM(K53:K65))</f>
        <v>2</v>
      </c>
      <c r="L66" s="17">
        <f>IF(SUMPRODUCT((F53:F65)-(J53:J65))=0,"",SUM(L53:L65))</f>
        <v>13688</v>
      </c>
      <c r="M66" s="12"/>
      <c r="N66" s="20">
        <v>150000</v>
      </c>
      <c r="O66" s="21">
        <f>IF(OR(N66="",L66=""),"",L66/N66)</f>
        <v>0.0912533333333333</v>
      </c>
      <c r="P66" s="20">
        <v>250000</v>
      </c>
    </row>
    <row r="68" ht="26" customHeight="1" spans="2:2">
      <c r="B68" s="14" t="s">
        <v>528</v>
      </c>
    </row>
    <row r="69" ht="22" hidden="1" customHeight="1" outlineLevel="1" spans="2:13">
      <c r="B69" s="7" t="s">
        <v>91</v>
      </c>
      <c r="C69" s="8" t="s">
        <v>31</v>
      </c>
      <c r="D69" s="8" t="s">
        <v>92</v>
      </c>
      <c r="E69" s="15">
        <v>1</v>
      </c>
      <c r="F69" s="15">
        <v>18000</v>
      </c>
      <c r="G69" s="15">
        <v>1</v>
      </c>
      <c r="H69" s="15">
        <v>18000</v>
      </c>
      <c r="I69" s="15">
        <v>1</v>
      </c>
      <c r="J69" s="15">
        <v>18000</v>
      </c>
      <c r="K69" s="15" t="str">
        <f t="shared" ref="K69:K84" si="10">IF(E69-I69=0,"",E69-I69)</f>
        <v/>
      </c>
      <c r="L69" s="15" t="str">
        <f t="shared" ref="L69:L84" si="11">IF(F69-J69=0,"",F69-J69)</f>
        <v/>
      </c>
      <c r="M69" s="7" t="s">
        <v>35</v>
      </c>
    </row>
    <row r="70" ht="22" hidden="1" customHeight="1" outlineLevel="1" spans="2:13">
      <c r="B70" s="9" t="s">
        <v>93</v>
      </c>
      <c r="C70" s="10" t="s">
        <v>31</v>
      </c>
      <c r="D70" s="10" t="s">
        <v>84</v>
      </c>
      <c r="E70" s="16">
        <v>1</v>
      </c>
      <c r="F70" s="16">
        <v>7825</v>
      </c>
      <c r="G70" s="16">
        <v>1</v>
      </c>
      <c r="H70" s="16">
        <v>7825</v>
      </c>
      <c r="I70" s="16">
        <v>1</v>
      </c>
      <c r="J70" s="16">
        <v>7825</v>
      </c>
      <c r="K70" s="16" t="str">
        <f t="shared" si="10"/>
        <v/>
      </c>
      <c r="L70" s="16" t="str">
        <f t="shared" si="11"/>
        <v/>
      </c>
      <c r="M70" s="9" t="s">
        <v>35</v>
      </c>
    </row>
    <row r="71" ht="22" hidden="1" customHeight="1" outlineLevel="1" spans="2:13">
      <c r="B71" s="7" t="s">
        <v>94</v>
      </c>
      <c r="C71" s="8" t="s">
        <v>31</v>
      </c>
      <c r="D71" s="8" t="s">
        <v>84</v>
      </c>
      <c r="E71" s="15">
        <v>1</v>
      </c>
      <c r="F71" s="15">
        <v>7825</v>
      </c>
      <c r="G71" s="15">
        <v>1</v>
      </c>
      <c r="H71" s="15">
        <v>7825</v>
      </c>
      <c r="I71" s="15">
        <v>1</v>
      </c>
      <c r="J71" s="15">
        <v>7825</v>
      </c>
      <c r="K71" s="15" t="str">
        <f t="shared" si="10"/>
        <v/>
      </c>
      <c r="L71" s="15" t="str">
        <f t="shared" si="11"/>
        <v/>
      </c>
      <c r="M71" s="7" t="s">
        <v>35</v>
      </c>
    </row>
    <row r="72" ht="22" hidden="1" customHeight="1" outlineLevel="1" spans="2:13">
      <c r="B72" s="9" t="s">
        <v>95</v>
      </c>
      <c r="C72" s="10" t="s">
        <v>31</v>
      </c>
      <c r="D72" s="10" t="s">
        <v>96</v>
      </c>
      <c r="E72" s="16">
        <v>1</v>
      </c>
      <c r="F72" s="16">
        <v>31550</v>
      </c>
      <c r="G72" s="16">
        <v>1</v>
      </c>
      <c r="H72" s="16">
        <v>31550</v>
      </c>
      <c r="I72" s="16">
        <v>1</v>
      </c>
      <c r="J72" s="16">
        <v>31550</v>
      </c>
      <c r="K72" s="16" t="str">
        <f t="shared" si="10"/>
        <v/>
      </c>
      <c r="L72" s="16" t="str">
        <f t="shared" si="11"/>
        <v/>
      </c>
      <c r="M72" s="9" t="s">
        <v>35</v>
      </c>
    </row>
    <row r="73" ht="22" hidden="1" customHeight="1" outlineLevel="1" spans="2:13">
      <c r="B73" s="7" t="s">
        <v>109</v>
      </c>
      <c r="C73" s="8" t="s">
        <v>100</v>
      </c>
      <c r="D73" s="8" t="s">
        <v>110</v>
      </c>
      <c r="E73" s="15">
        <v>5</v>
      </c>
      <c r="F73" s="15">
        <v>17500</v>
      </c>
      <c r="G73" s="15">
        <v>2</v>
      </c>
      <c r="H73" s="15">
        <v>7000</v>
      </c>
      <c r="I73" s="15">
        <v>2</v>
      </c>
      <c r="J73" s="15">
        <v>7000</v>
      </c>
      <c r="K73" s="15">
        <f t="shared" si="10"/>
        <v>3</v>
      </c>
      <c r="L73" s="15">
        <f t="shared" si="11"/>
        <v>10500</v>
      </c>
      <c r="M73" s="7" t="s">
        <v>35</v>
      </c>
    </row>
    <row r="74" ht="22" hidden="1" customHeight="1" outlineLevel="1" spans="2:13">
      <c r="B74" s="9" t="s">
        <v>111</v>
      </c>
      <c r="C74" s="10" t="s">
        <v>100</v>
      </c>
      <c r="D74" s="10" t="s">
        <v>110</v>
      </c>
      <c r="E74" s="16">
        <v>8</v>
      </c>
      <c r="F74" s="16">
        <v>28000</v>
      </c>
      <c r="G74" s="16">
        <v>6</v>
      </c>
      <c r="H74" s="16">
        <v>21000</v>
      </c>
      <c r="I74" s="16">
        <v>6</v>
      </c>
      <c r="J74" s="16">
        <v>21000</v>
      </c>
      <c r="K74" s="16">
        <f t="shared" si="10"/>
        <v>2</v>
      </c>
      <c r="L74" s="16">
        <f t="shared" si="11"/>
        <v>7000</v>
      </c>
      <c r="M74" s="9" t="s">
        <v>35</v>
      </c>
    </row>
    <row r="75" ht="22" hidden="1" customHeight="1" outlineLevel="1" spans="2:13">
      <c r="B75" s="7" t="s">
        <v>112</v>
      </c>
      <c r="C75" s="8" t="s">
        <v>100</v>
      </c>
      <c r="D75" s="8" t="s">
        <v>113</v>
      </c>
      <c r="E75" s="15">
        <v>1</v>
      </c>
      <c r="F75" s="15">
        <v>6099</v>
      </c>
      <c r="G75" s="15">
        <v>1</v>
      </c>
      <c r="H75" s="15">
        <v>6099</v>
      </c>
      <c r="I75" s="15">
        <v>1</v>
      </c>
      <c r="J75" s="15">
        <v>6099</v>
      </c>
      <c r="K75" s="15" t="str">
        <f t="shared" si="10"/>
        <v/>
      </c>
      <c r="L75" s="15" t="str">
        <f t="shared" si="11"/>
        <v/>
      </c>
      <c r="M75" s="7" t="s">
        <v>35</v>
      </c>
    </row>
    <row r="76" ht="22" hidden="1" customHeight="1" outlineLevel="1" spans="2:13">
      <c r="B76" s="9" t="s">
        <v>114</v>
      </c>
      <c r="C76" s="10" t="s">
        <v>100</v>
      </c>
      <c r="D76" s="10" t="s">
        <v>113</v>
      </c>
      <c r="E76" s="16">
        <v>1</v>
      </c>
      <c r="F76" s="16">
        <v>4199</v>
      </c>
      <c r="G76" s="16">
        <v>1</v>
      </c>
      <c r="H76" s="16">
        <v>4199</v>
      </c>
      <c r="I76" s="16">
        <v>1</v>
      </c>
      <c r="J76" s="16">
        <v>4199</v>
      </c>
      <c r="K76" s="16" t="str">
        <f t="shared" si="10"/>
        <v/>
      </c>
      <c r="L76" s="16" t="str">
        <f t="shared" si="11"/>
        <v/>
      </c>
      <c r="M76" s="9" t="s">
        <v>35</v>
      </c>
    </row>
    <row r="77" ht="22" hidden="1" customHeight="1" outlineLevel="1" spans="2:13">
      <c r="B77" s="7" t="s">
        <v>122</v>
      </c>
      <c r="C77" s="8" t="s">
        <v>121</v>
      </c>
      <c r="D77" s="8" t="s">
        <v>123</v>
      </c>
      <c r="E77" s="15">
        <v>5</v>
      </c>
      <c r="F77" s="15">
        <v>2470</v>
      </c>
      <c r="G77" s="15">
        <v>5</v>
      </c>
      <c r="H77" s="15">
        <v>2470</v>
      </c>
      <c r="I77" s="15">
        <v>5</v>
      </c>
      <c r="J77" s="15">
        <v>2470</v>
      </c>
      <c r="K77" s="15" t="str">
        <f t="shared" si="10"/>
        <v/>
      </c>
      <c r="L77" s="15" t="str">
        <f t="shared" si="11"/>
        <v/>
      </c>
      <c r="M77" s="7" t="s">
        <v>529</v>
      </c>
    </row>
    <row r="78" ht="22" hidden="1" customHeight="1" outlineLevel="1" spans="2:13">
      <c r="B78" s="9" t="s">
        <v>125</v>
      </c>
      <c r="C78" s="10" t="s">
        <v>121</v>
      </c>
      <c r="D78" s="10" t="s">
        <v>123</v>
      </c>
      <c r="E78" s="16">
        <v>1</v>
      </c>
      <c r="F78" s="16">
        <v>494</v>
      </c>
      <c r="G78" s="16">
        <v>1</v>
      </c>
      <c r="H78" s="16">
        <v>494</v>
      </c>
      <c r="I78" s="16">
        <v>1</v>
      </c>
      <c r="J78" s="16">
        <v>494</v>
      </c>
      <c r="K78" s="16" t="str">
        <f t="shared" si="10"/>
        <v/>
      </c>
      <c r="L78" s="16" t="str">
        <f t="shared" si="11"/>
        <v/>
      </c>
      <c r="M78" s="9" t="s">
        <v>529</v>
      </c>
    </row>
    <row r="79" ht="22" hidden="1" customHeight="1" outlineLevel="1" spans="2:13">
      <c r="B79" s="7" t="s">
        <v>127</v>
      </c>
      <c r="C79" s="8" t="s">
        <v>126</v>
      </c>
      <c r="D79" s="8" t="s">
        <v>123</v>
      </c>
      <c r="E79" s="15">
        <v>1</v>
      </c>
      <c r="F79" s="15">
        <v>2050</v>
      </c>
      <c r="G79" s="15">
        <v>1</v>
      </c>
      <c r="H79" s="15">
        <v>2050</v>
      </c>
      <c r="I79" s="15">
        <v>1</v>
      </c>
      <c r="J79" s="15">
        <v>2050</v>
      </c>
      <c r="K79" s="15" t="str">
        <f t="shared" si="10"/>
        <v/>
      </c>
      <c r="L79" s="15" t="str">
        <f t="shared" si="11"/>
        <v/>
      </c>
      <c r="M79" s="7" t="s">
        <v>35</v>
      </c>
    </row>
    <row r="80" ht="22" hidden="1" customHeight="1" outlineLevel="1" spans="2:13">
      <c r="B80" s="9" t="s">
        <v>133</v>
      </c>
      <c r="C80" s="10" t="s">
        <v>130</v>
      </c>
      <c r="D80" s="10" t="s">
        <v>134</v>
      </c>
      <c r="E80" s="16">
        <v>1</v>
      </c>
      <c r="F80" s="16">
        <v>1200</v>
      </c>
      <c r="G80" s="16">
        <v>1</v>
      </c>
      <c r="H80" s="16">
        <v>1200</v>
      </c>
      <c r="I80" s="16">
        <v>1</v>
      </c>
      <c r="J80" s="16">
        <v>1200</v>
      </c>
      <c r="K80" s="16" t="str">
        <f t="shared" si="10"/>
        <v/>
      </c>
      <c r="L80" s="16" t="str">
        <f t="shared" si="11"/>
        <v/>
      </c>
      <c r="M80" s="9" t="s">
        <v>35</v>
      </c>
    </row>
    <row r="81" ht="22" hidden="1" customHeight="1" outlineLevel="1" spans="2:13">
      <c r="B81" s="7" t="s">
        <v>135</v>
      </c>
      <c r="C81" s="8" t="s">
        <v>130</v>
      </c>
      <c r="D81" s="8" t="s">
        <v>134</v>
      </c>
      <c r="E81" s="15">
        <v>1</v>
      </c>
      <c r="F81" s="15">
        <v>1126</v>
      </c>
      <c r="G81" s="15">
        <v>1</v>
      </c>
      <c r="H81" s="15">
        <v>1126</v>
      </c>
      <c r="I81" s="15">
        <v>1</v>
      </c>
      <c r="J81" s="15">
        <v>1126</v>
      </c>
      <c r="K81" s="15" t="str">
        <f t="shared" si="10"/>
        <v/>
      </c>
      <c r="L81" s="15" t="str">
        <f t="shared" si="11"/>
        <v/>
      </c>
      <c r="M81" s="7" t="s">
        <v>35</v>
      </c>
    </row>
    <row r="82" ht="22" hidden="1" customHeight="1" outlineLevel="1" spans="2:13">
      <c r="B82" s="9" t="s">
        <v>136</v>
      </c>
      <c r="C82" s="10" t="s">
        <v>130</v>
      </c>
      <c r="D82" s="10" t="s">
        <v>134</v>
      </c>
      <c r="E82" s="16">
        <v>1</v>
      </c>
      <c r="F82" s="16">
        <v>1596</v>
      </c>
      <c r="G82" s="16">
        <v>1</v>
      </c>
      <c r="H82" s="16">
        <v>1596</v>
      </c>
      <c r="I82" s="16">
        <v>1</v>
      </c>
      <c r="J82" s="16">
        <v>1596</v>
      </c>
      <c r="K82" s="16" t="str">
        <f t="shared" si="10"/>
        <v/>
      </c>
      <c r="L82" s="16" t="str">
        <f t="shared" si="11"/>
        <v/>
      </c>
      <c r="M82" s="9" t="s">
        <v>35</v>
      </c>
    </row>
    <row r="83" ht="22" hidden="1" customHeight="1" outlineLevel="1" spans="2:13">
      <c r="B83" s="7" t="s">
        <v>137</v>
      </c>
      <c r="C83" s="8" t="s">
        <v>130</v>
      </c>
      <c r="D83" s="8" t="s">
        <v>134</v>
      </c>
      <c r="E83" s="15">
        <v>1</v>
      </c>
      <c r="F83" s="15">
        <v>645</v>
      </c>
      <c r="G83" s="15">
        <v>1</v>
      </c>
      <c r="H83" s="15">
        <v>645</v>
      </c>
      <c r="I83" s="15">
        <v>1</v>
      </c>
      <c r="J83" s="15">
        <v>645</v>
      </c>
      <c r="K83" s="15" t="str">
        <f t="shared" si="10"/>
        <v/>
      </c>
      <c r="L83" s="15" t="str">
        <f t="shared" si="11"/>
        <v/>
      </c>
      <c r="M83" s="7" t="s">
        <v>35</v>
      </c>
    </row>
    <row r="84" ht="22" hidden="1" customHeight="1" outlineLevel="1" spans="2:13">
      <c r="B84" s="9" t="s">
        <v>138</v>
      </c>
      <c r="C84" s="10" t="s">
        <v>130</v>
      </c>
      <c r="D84" s="10" t="s">
        <v>134</v>
      </c>
      <c r="E84" s="16">
        <v>1</v>
      </c>
      <c r="F84" s="16">
        <v>645</v>
      </c>
      <c r="G84" s="16">
        <v>1</v>
      </c>
      <c r="H84" s="16">
        <v>645</v>
      </c>
      <c r="I84" s="16">
        <v>1</v>
      </c>
      <c r="J84" s="16">
        <v>645</v>
      </c>
      <c r="K84" s="16" t="str">
        <f t="shared" si="10"/>
        <v/>
      </c>
      <c r="L84" s="16" t="str">
        <f t="shared" si="11"/>
        <v/>
      </c>
      <c r="M84" s="9" t="s">
        <v>35</v>
      </c>
    </row>
    <row r="85" ht="22" customHeight="1" collapsed="1" spans="2:16">
      <c r="B85" s="11" t="s">
        <v>530</v>
      </c>
      <c r="C85" s="12"/>
      <c r="D85" s="12"/>
      <c r="E85" s="17">
        <f t="shared" ref="E85:J85" si="12">SUM(E69:E84)</f>
        <v>31</v>
      </c>
      <c r="F85" s="17">
        <f t="shared" si="12"/>
        <v>131224</v>
      </c>
      <c r="G85" s="17">
        <f t="shared" si="12"/>
        <v>26</v>
      </c>
      <c r="H85" s="17">
        <f t="shared" si="12"/>
        <v>113724</v>
      </c>
      <c r="I85" s="17">
        <f t="shared" si="12"/>
        <v>26</v>
      </c>
      <c r="J85" s="17">
        <f t="shared" si="12"/>
        <v>113724</v>
      </c>
      <c r="K85" s="17">
        <f>IF(SUMPRODUCT((E69:E84)-(I69:I84))=0,"",SUM(K69:K84))</f>
        <v>5</v>
      </c>
      <c r="L85" s="17">
        <f>IF(SUMPRODUCT((F69:F84)-(J69:J84))=0,"",SUM(L69:L84))</f>
        <v>17500</v>
      </c>
      <c r="M85" s="12"/>
      <c r="N85" s="20">
        <v>70000</v>
      </c>
      <c r="O85" s="21">
        <f>IF(OR(N85="",L85=""),"",L85/N85)</f>
        <v>0.25</v>
      </c>
      <c r="P85" s="20">
        <v>100000</v>
      </c>
    </row>
    <row r="87" ht="26" customHeight="1" spans="2:2">
      <c r="B87" s="14" t="s">
        <v>531</v>
      </c>
    </row>
    <row r="88" ht="22" hidden="1" customHeight="1" outlineLevel="1" spans="2:13">
      <c r="B88" s="7" t="s">
        <v>105</v>
      </c>
      <c r="C88" s="8" t="s">
        <v>100</v>
      </c>
      <c r="D88" s="8" t="s">
        <v>106</v>
      </c>
      <c r="E88" s="15">
        <v>1</v>
      </c>
      <c r="F88" s="15">
        <v>25000</v>
      </c>
      <c r="G88" s="15">
        <v>1</v>
      </c>
      <c r="H88" s="15">
        <v>25000</v>
      </c>
      <c r="I88" s="15">
        <v>1</v>
      </c>
      <c r="J88" s="15">
        <v>25000</v>
      </c>
      <c r="K88" s="15" t="str">
        <f>IF(E88-I88=0,"",E88-I88)</f>
        <v/>
      </c>
      <c r="L88" s="15" t="str">
        <f>IF(F88-J88=0,"",F88-J88)</f>
        <v/>
      </c>
      <c r="M88" s="7" t="s">
        <v>35</v>
      </c>
    </row>
    <row r="89" ht="22" hidden="1" customHeight="1" outlineLevel="1" spans="2:13">
      <c r="B89" s="9" t="s">
        <v>107</v>
      </c>
      <c r="C89" s="10" t="s">
        <v>100</v>
      </c>
      <c r="D89" s="10" t="s">
        <v>106</v>
      </c>
      <c r="E89" s="16">
        <v>2</v>
      </c>
      <c r="F89" s="16">
        <v>48000</v>
      </c>
      <c r="G89" s="16">
        <v>2</v>
      </c>
      <c r="H89" s="16">
        <v>48000</v>
      </c>
      <c r="I89" s="16">
        <v>2</v>
      </c>
      <c r="J89" s="16">
        <v>48000</v>
      </c>
      <c r="K89" s="16" t="str">
        <f>IF(E89-I89=0,"",E89-I89)</f>
        <v/>
      </c>
      <c r="L89" s="16" t="str">
        <f>IF(F89-J89=0,"",F89-J89)</f>
        <v/>
      </c>
      <c r="M89" s="9" t="s">
        <v>35</v>
      </c>
    </row>
    <row r="90" ht="22" hidden="1" customHeight="1" outlineLevel="1" spans="2:13">
      <c r="B90" s="7" t="s">
        <v>108</v>
      </c>
      <c r="C90" s="8" t="s">
        <v>100</v>
      </c>
      <c r="D90" s="8" t="s">
        <v>106</v>
      </c>
      <c r="E90" s="15">
        <v>1</v>
      </c>
      <c r="F90" s="15">
        <v>22150</v>
      </c>
      <c r="G90" s="15">
        <v>1</v>
      </c>
      <c r="H90" s="15">
        <v>22150</v>
      </c>
      <c r="I90" s="15">
        <v>1</v>
      </c>
      <c r="J90" s="15">
        <v>22150</v>
      </c>
      <c r="K90" s="15" t="str">
        <f>IF(E90-I90=0,"",E90-I90)</f>
        <v/>
      </c>
      <c r="L90" s="15" t="str">
        <f>IF(F90-J90=0,"",F90-J90)</f>
        <v/>
      </c>
      <c r="M90" s="7" t="s">
        <v>35</v>
      </c>
    </row>
    <row r="91" ht="22" hidden="1" customHeight="1" outlineLevel="1" spans="2:13">
      <c r="B91" s="9" t="s">
        <v>131</v>
      </c>
      <c r="C91" s="10" t="s">
        <v>130</v>
      </c>
      <c r="D91" s="10" t="s">
        <v>132</v>
      </c>
      <c r="E91" s="16">
        <v>224</v>
      </c>
      <c r="F91" s="16">
        <v>268800</v>
      </c>
      <c r="G91" s="16">
        <v>222</v>
      </c>
      <c r="H91" s="16">
        <v>266400</v>
      </c>
      <c r="I91" s="16">
        <v>222</v>
      </c>
      <c r="J91" s="16">
        <v>266400</v>
      </c>
      <c r="K91" s="16">
        <f>IF(E91-I91=0,"",E91-I91)</f>
        <v>2</v>
      </c>
      <c r="L91" s="16">
        <f>IF(F91-J91=0,"",F91-J91)</f>
        <v>2400</v>
      </c>
      <c r="M91" s="9" t="s">
        <v>35</v>
      </c>
    </row>
    <row r="92" ht="22" hidden="1" customHeight="1" outlineLevel="1" spans="2:13">
      <c r="B92" s="7" t="s">
        <v>139</v>
      </c>
      <c r="C92" s="8" t="s">
        <v>130</v>
      </c>
      <c r="D92" s="8" t="s">
        <v>140</v>
      </c>
      <c r="E92" s="15">
        <v>113</v>
      </c>
      <c r="F92" s="15">
        <v>22600</v>
      </c>
      <c r="G92" s="15">
        <v>113</v>
      </c>
      <c r="H92" s="15">
        <v>22600</v>
      </c>
      <c r="I92" s="15">
        <v>113</v>
      </c>
      <c r="J92" s="15">
        <v>22600</v>
      </c>
      <c r="K92" s="15" t="str">
        <f>IF(E92-I92=0,"",E92-I92)</f>
        <v/>
      </c>
      <c r="L92" s="15" t="str">
        <f>IF(F92-J92=0,"",F92-J92)</f>
        <v/>
      </c>
      <c r="M92" s="7" t="s">
        <v>35</v>
      </c>
    </row>
    <row r="93" ht="22" customHeight="1" collapsed="1" spans="2:16">
      <c r="B93" s="11" t="s">
        <v>532</v>
      </c>
      <c r="C93" s="12"/>
      <c r="D93" s="12"/>
      <c r="E93" s="17">
        <f t="shared" ref="E93:J93" si="13">SUM(E88:E92)</f>
        <v>341</v>
      </c>
      <c r="F93" s="17">
        <f t="shared" si="13"/>
        <v>386550</v>
      </c>
      <c r="G93" s="17">
        <f t="shared" si="13"/>
        <v>339</v>
      </c>
      <c r="H93" s="17">
        <f t="shared" si="13"/>
        <v>384150</v>
      </c>
      <c r="I93" s="17">
        <f t="shared" si="13"/>
        <v>339</v>
      </c>
      <c r="J93" s="17">
        <f t="shared" si="13"/>
        <v>384150</v>
      </c>
      <c r="K93" s="17">
        <f>IF(SUMPRODUCT((E88:E92)-(I88:I92))=0,"",SUM(K88:K92))</f>
        <v>2</v>
      </c>
      <c r="L93" s="17">
        <f>IF(SUMPRODUCT((F88:F92)-(J88:J92))=0,"",SUM(L88:L92))</f>
        <v>2400</v>
      </c>
      <c r="M93" s="12"/>
      <c r="N93" s="20">
        <v>100000</v>
      </c>
      <c r="O93" s="21">
        <f>IF(OR(N93="",L93=""),"",L93/N93)</f>
        <v>0.024</v>
      </c>
      <c r="P93" s="20"/>
    </row>
    <row r="95" ht="26" customHeight="1" spans="2:2">
      <c r="B95" s="14" t="s">
        <v>533</v>
      </c>
    </row>
    <row r="96" ht="22" hidden="1" customHeight="1" outlineLevel="1" spans="2:13">
      <c r="B96" s="7" t="s">
        <v>159</v>
      </c>
      <c r="C96" s="8" t="s">
        <v>158</v>
      </c>
      <c r="D96" s="8" t="s">
        <v>160</v>
      </c>
      <c r="E96" s="15">
        <v>1</v>
      </c>
      <c r="F96" s="15">
        <v>2200</v>
      </c>
      <c r="G96" s="15">
        <v>1</v>
      </c>
      <c r="H96" s="15">
        <v>2200</v>
      </c>
      <c r="I96" s="15">
        <v>1</v>
      </c>
      <c r="J96" s="15">
        <v>2200</v>
      </c>
      <c r="K96" s="15" t="str">
        <f>IF(E96-I96=0,"",E96-I96)</f>
        <v/>
      </c>
      <c r="L96" s="15" t="str">
        <f>IF(F96-J96=0,"",F96-J96)</f>
        <v/>
      </c>
      <c r="M96" s="7" t="s">
        <v>35</v>
      </c>
    </row>
    <row r="97" ht="22" customHeight="1" collapsed="1" spans="2:16">
      <c r="B97" s="11" t="s">
        <v>534</v>
      </c>
      <c r="C97" s="12"/>
      <c r="D97" s="12"/>
      <c r="E97" s="17">
        <f t="shared" ref="E97:J97" si="14">SUM(E96:E96)</f>
        <v>1</v>
      </c>
      <c r="F97" s="17">
        <f t="shared" si="14"/>
        <v>2200</v>
      </c>
      <c r="G97" s="17">
        <f t="shared" si="14"/>
        <v>1</v>
      </c>
      <c r="H97" s="17">
        <f t="shared" si="14"/>
        <v>2200</v>
      </c>
      <c r="I97" s="17">
        <f t="shared" si="14"/>
        <v>1</v>
      </c>
      <c r="J97" s="17">
        <f t="shared" si="14"/>
        <v>2200</v>
      </c>
      <c r="K97" s="17" t="str">
        <f>IF(SUMPRODUCT((E96:E96)-(I96:I96))=0,"",SUM(K96:K96))</f>
        <v/>
      </c>
      <c r="L97" s="17" t="str">
        <f>IF(SUMPRODUCT((F96:F96)-(J96:J96))=0,"",SUM(L96:L96))</f>
        <v/>
      </c>
      <c r="M97" s="12"/>
      <c r="N97" s="20"/>
      <c r="O97" s="21" t="str">
        <f>IF(OR(N97="",L97=""),"",L97/N97)</f>
        <v/>
      </c>
      <c r="P97" s="20"/>
    </row>
    <row r="99" ht="17.55"/>
    <row r="100" ht="22" customHeight="1" spans="2:16">
      <c r="B100" s="11" t="s">
        <v>18</v>
      </c>
      <c r="C100" s="12"/>
      <c r="D100" s="12"/>
      <c r="E100" s="17">
        <f t="shared" ref="E100:J100" si="15">SUM(E7:E99)</f>
        <v>1040</v>
      </c>
      <c r="F100" s="17">
        <f t="shared" si="15"/>
        <v>4711422</v>
      </c>
      <c r="G100" s="17">
        <f t="shared" si="15"/>
        <v>1021</v>
      </c>
      <c r="H100" s="17">
        <f t="shared" si="15"/>
        <v>4571522</v>
      </c>
      <c r="I100" s="17">
        <f t="shared" si="15"/>
        <v>1019</v>
      </c>
      <c r="J100" s="17">
        <f t="shared" si="15"/>
        <v>4549746</v>
      </c>
      <c r="K100" s="17">
        <f>IF(SUMPRODUCT((E7:E99)-(I7:I99))=0,"",SUM(K7:K99))</f>
        <v>21</v>
      </c>
      <c r="L100" s="17">
        <f>IF(SUMPRODUCT((F7:F99)-(J7:J99))=0,"",SUM(L7:L99))</f>
        <v>161676</v>
      </c>
      <c r="M100" s="17"/>
      <c r="N100" s="12"/>
      <c r="O100" s="12"/>
      <c r="P100" s="12"/>
    </row>
    <row r="102" ht="16" customHeight="1" spans="2:2">
      <c r="B102" s="22" t="s">
        <v>535</v>
      </c>
    </row>
  </sheetData>
  <mergeCells count="11">
    <mergeCell ref="B2:P2"/>
    <mergeCell ref="B3:P3"/>
    <mergeCell ref="B5:P5"/>
    <mergeCell ref="B7:P7"/>
    <mergeCell ref="B8:P8"/>
    <mergeCell ref="B31:P31"/>
    <mergeCell ref="B52:P52"/>
    <mergeCell ref="B68:P68"/>
    <mergeCell ref="B87:P87"/>
    <mergeCell ref="B95:P95"/>
    <mergeCell ref="B102:P10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总览</vt:lpstr>
      <vt:lpstr>库存SKU明细</vt:lpstr>
      <vt:lpstr>库存变动对比</vt:lpstr>
      <vt:lpstr>清理库存跟踪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miaworkbook</cp:lastModifiedBy>
  <dcterms:created xsi:type="dcterms:W3CDTF">2026-03-13T17:38:00Z</dcterms:created>
  <dcterms:modified xsi:type="dcterms:W3CDTF">2026-03-13T17:44:58Z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2052-7.2.1.8947</vt:lpwstr>
  </property>
  <property fmtid="{D5CDD505-2E9C-101B-9397-08002B2CF9AE}" pid="3" name="ICV">
    <vt:lpwstr>BCBC9815B873348E5ADCB369E57991AE_42</vt:lpwstr>
  </property>
</Properties>
</file>