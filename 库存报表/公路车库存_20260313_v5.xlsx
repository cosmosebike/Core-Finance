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ht="22" customHeight="1">
      <c r="B147" s="15" t="inlineStr">
        <is>
          <t>中轴</t>
        </is>
      </c>
      <c r="C147" s="5" t="inlineStr">
        <is>
          <t>CS 中轴 黑色 4年（货号：101331）意规 30轴心</t>
        </is>
      </c>
      <c r="D147" s="15" t="inlineStr">
        <is>
          <t>CS</t>
        </is>
      </c>
      <c r="E147" s="15" t="inlineStr">
        <is>
          <t>正常商品</t>
        </is>
      </c>
      <c r="F147" s="16" t="n">
        <v>2</v>
      </c>
      <c r="G147" s="16" t="n">
        <v>0</v>
      </c>
      <c r="H147" s="16">
        <f>F147+G147</f>
        <v/>
      </c>
      <c r="I147" s="16" t="n">
        <v>1225</v>
      </c>
      <c r="J147" s="16">
        <f>H147*I147</f>
        <v/>
      </c>
      <c r="K147" s="16" t="n">
        <v/>
      </c>
      <c r="L147" s="5" t="inlineStr"/>
    </row>
    <row r="148" ht="22" customHeight="1">
      <c r="B148" s="17" t="inlineStr">
        <is>
          <t>锁踏</t>
        </is>
      </c>
      <c r="C148" s="8" t="inlineStr">
        <is>
          <t>DA 锁踏 PDR 9100</t>
        </is>
      </c>
      <c r="D148" s="17" t="inlineStr">
        <is>
          <t>DA</t>
        </is>
      </c>
      <c r="E148" s="17" t="inlineStr">
        <is>
          <t>正常商品</t>
        </is>
      </c>
      <c r="F148" s="18" t="n">
        <v>102</v>
      </c>
      <c r="G148" s="18" t="n">
        <v>0</v>
      </c>
      <c r="H148" s="18">
        <f>F148+G148</f>
        <v/>
      </c>
      <c r="I148" s="18" t="n">
        <v>1030</v>
      </c>
      <c r="J148" s="18">
        <f>H148*I148</f>
        <v/>
      </c>
      <c r="K148" s="18" t="n">
        <v/>
      </c>
      <c r="L148" s="8" t="inlineStr"/>
    </row>
    <row r="149" ht="22" customHeight="1">
      <c r="B149" s="15" t="inlineStr">
        <is>
          <t>脚踏</t>
        </is>
      </c>
      <c r="C149" s="5" t="inlineStr">
        <is>
          <t>HT 脚踏  黑</t>
        </is>
      </c>
      <c r="D149" s="15" t="inlineStr">
        <is>
          <t>HT</t>
        </is>
      </c>
      <c r="E149" s="15" t="inlineStr">
        <is>
          <t>正常商品</t>
        </is>
      </c>
      <c r="F149" s="16" t="n">
        <v>1</v>
      </c>
      <c r="G149" s="16" t="n">
        <v>0</v>
      </c>
      <c r="H149" s="16">
        <f>F149+G149</f>
        <v/>
      </c>
      <c r="I149" s="16" t="n">
        <v>350</v>
      </c>
      <c r="J149" s="16">
        <f>H149*I149</f>
        <v/>
      </c>
      <c r="K149" s="16" t="n">
        <v/>
      </c>
      <c r="L149" s="5" t="inlineStr"/>
    </row>
    <row r="150" ht="22" customHeight="1">
      <c r="B150" s="17" t="inlineStr">
        <is>
          <t>脚踏</t>
        </is>
      </c>
      <c r="C150" s="8" t="inlineStr">
        <is>
          <t>HT 脚踏 银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ht="22" customHeight="1">
      <c r="B151" s="15" t="inlineStr">
        <is>
          <t>链条</t>
        </is>
      </c>
      <c r="C151" s="5" t="inlineStr">
        <is>
          <t>RIVAL 链条 E1 链条</t>
        </is>
      </c>
      <c r="D151" s="15" t="inlineStr">
        <is>
          <t>RIVAL</t>
        </is>
      </c>
      <c r="E151" s="15" t="inlineStr">
        <is>
          <t>正常商品</t>
        </is>
      </c>
      <c r="F151" s="16" t="n">
        <v>29</v>
      </c>
      <c r="G151" s="16" t="n">
        <v>0</v>
      </c>
      <c r="H151" s="16">
        <f>F151+G151</f>
        <v/>
      </c>
      <c r="I151" s="16" t="n">
        <v>185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ht="22" customHeight="1">
      <c r="B227" s="15" t="inlineStr">
        <is>
          <t>其他小配件</t>
        </is>
      </c>
      <c r="C227" s="5" t="inlineStr">
        <is>
          <t>AB 其他小配件 蓝鳞片</t>
        </is>
      </c>
      <c r="D227" s="15" t="inlineStr">
        <is>
          <t>AB</t>
        </is>
      </c>
      <c r="E227" s="15" t="inlineStr">
        <is>
          <t>配件</t>
        </is>
      </c>
      <c r="F227" s="16" t="n">
        <v>28</v>
      </c>
      <c r="G227" s="16" t="n">
        <v>0</v>
      </c>
      <c r="H227" s="16">
        <f>F227+G227</f>
        <v/>
      </c>
      <c r="I227" s="16" t="n">
        <v>420</v>
      </c>
      <c r="J227" s="16">
        <f>H227*I227</f>
        <v/>
      </c>
      <c r="K227" s="16" t="n">
        <v/>
      </c>
      <c r="L227" s="5" t="inlineStr"/>
    </row>
    <row r="228" ht="22" customHeight="1">
      <c r="B228" s="17" t="inlineStr">
        <is>
          <t>其他小配件</t>
        </is>
      </c>
      <c r="C228" s="8" t="inlineStr">
        <is>
          <t>Cybrei 其他小配件 盘钉</t>
        </is>
      </c>
      <c r="D228" s="17" t="inlineStr">
        <is>
          <t>Cybrei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62</v>
      </c>
      <c r="J228" s="18">
        <f>H228*I228</f>
        <v/>
      </c>
      <c r="K228" s="18" t="n">
        <v/>
      </c>
      <c r="L228" s="8" t="inlineStr"/>
    </row>
    <row r="229" ht="22" customHeight="1">
      <c r="B229" s="15" t="inlineStr">
        <is>
          <t>眼镜</t>
        </is>
      </c>
      <c r="C229" s="5" t="inlineStr">
        <is>
          <t>GRC 眼镜 GRC 灰框透明片 THCH系列</t>
        </is>
      </c>
      <c r="D229" s="15" t="inlineStr">
        <is>
          <t>GRC</t>
        </is>
      </c>
      <c r="E229" s="15" t="inlineStr">
        <is>
          <t>配件</t>
        </is>
      </c>
      <c r="F229" s="16" t="n">
        <v>1</v>
      </c>
      <c r="G229" s="16" t="n">
        <v>0</v>
      </c>
      <c r="H229" s="16">
        <f>F229+G229</f>
        <v/>
      </c>
      <c r="I229" s="16" t="n">
        <v>299</v>
      </c>
      <c r="J229" s="16">
        <f>H229*I229</f>
        <v/>
      </c>
      <c r="K229" s="16" t="n">
        <v/>
      </c>
      <c r="L229" s="5" t="inlineStr"/>
    </row>
    <row r="230" ht="22" customHeight="1">
      <c r="B230" s="17" t="inlineStr">
        <is>
          <t>眼镜</t>
        </is>
      </c>
      <c r="C230" s="8" t="inlineStr">
        <is>
          <t>GRC 眼镜 GRC 白框透明片 VCCA系列</t>
        </is>
      </c>
      <c r="D230" s="17" t="inlineStr">
        <is>
          <t>GRC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299</v>
      </c>
      <c r="J230" s="18">
        <f>H230*I230</f>
        <v/>
      </c>
      <c r="K230" s="18" t="n">
        <v/>
      </c>
      <c r="L230" s="8" t="inlineStr"/>
    </row>
    <row r="231" ht="22" customHeight="1">
      <c r="B231" s="15" t="inlineStr">
        <is>
          <t>眼镜</t>
        </is>
      </c>
      <c r="C231" s="5" t="inlineStr">
        <is>
          <t>GRC 眼镜 GRC 藏蓝色</t>
        </is>
      </c>
      <c r="D231" s="15" t="inlineStr">
        <is>
          <t>GRC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299</v>
      </c>
      <c r="J231" s="16">
        <f>H231*I231</f>
        <v/>
      </c>
      <c r="K231" s="16" t="n">
        <v/>
      </c>
      <c r="L231" s="5" t="inlineStr"/>
    </row>
    <row r="232" ht="22" customHeight="1">
      <c r="B232" s="17" t="inlineStr">
        <is>
          <t>眼镜</t>
        </is>
      </c>
      <c r="C232" s="8" t="inlineStr">
        <is>
          <t>GRC 眼镜 GRC 黑框红片 VCCA系列</t>
        </is>
      </c>
      <c r="D232" s="17" t="inlineStr">
        <is>
          <t>GRC</t>
        </is>
      </c>
      <c r="E232" s="17" t="inlineStr">
        <is>
          <t>配件</t>
        </is>
      </c>
      <c r="F232" s="18" t="n">
        <v>1</v>
      </c>
      <c r="G232" s="18" t="n">
        <v>0</v>
      </c>
      <c r="H232" s="18">
        <f>F232+G232</f>
        <v/>
      </c>
      <c r="I232" s="18" t="n">
        <v>299</v>
      </c>
      <c r="J232" s="18">
        <f>H232*I232</f>
        <v/>
      </c>
      <c r="K232" s="18" t="n">
        <v/>
      </c>
      <c r="L232" s="8" t="inlineStr"/>
    </row>
    <row r="233" ht="22" customHeight="1">
      <c r="B233" s="15" t="inlineStr">
        <is>
          <t>骑行服</t>
        </is>
      </c>
      <c r="C233" s="5" t="inlineStr">
        <is>
          <t>HIRZL 骑行服 GRIPPP TOUR 2.0 手套</t>
        </is>
      </c>
      <c r="D233" s="15" t="inlineStr">
        <is>
          <t>HIRZL</t>
        </is>
      </c>
      <c r="E233" s="15" t="inlineStr">
        <is>
          <t>配件</t>
        </is>
      </c>
      <c r="F233" s="16" t="n">
        <v>1</v>
      </c>
      <c r="G233" s="16" t="n">
        <v>0</v>
      </c>
      <c r="H233" s="16">
        <f>F233+G233</f>
        <v/>
      </c>
      <c r="I233" s="16" t="n">
        <v>246</v>
      </c>
      <c r="J233" s="16">
        <f>H233*I233</f>
        <v/>
      </c>
      <c r="K233" s="16" t="n">
        <v/>
      </c>
      <c r="L233" s="5" t="inlineStr"/>
    </row>
    <row r="234" ht="22" customHeight="1">
      <c r="B234" s="17" t="inlineStr">
        <is>
          <t>头盔</t>
        </is>
      </c>
      <c r="C234" s="8" t="inlineStr">
        <is>
          <t>KASK 头盔 Elemento 白 L</t>
        </is>
      </c>
      <c r="D234" s="17" t="inlineStr">
        <is>
          <t>KASK</t>
        </is>
      </c>
      <c r="E234" s="17" t="inlineStr">
        <is>
          <t>配件</t>
        </is>
      </c>
      <c r="F234" s="18" t="n">
        <v>2</v>
      </c>
      <c r="G234" s="18" t="n">
        <v>0</v>
      </c>
      <c r="H234" s="18">
        <f>F234+G234</f>
        <v/>
      </c>
      <c r="I234" s="18" t="n">
        <v>1898</v>
      </c>
      <c r="J234" s="18">
        <f>H234*I234</f>
        <v/>
      </c>
      <c r="K234" s="18" t="n">
        <v/>
      </c>
      <c r="L234" s="8" t="inlineStr"/>
    </row>
    <row r="235" ht="22" customHeight="1">
      <c r="B235" s="15" t="inlineStr">
        <is>
          <t>头盔</t>
        </is>
      </c>
      <c r="C235" s="5" t="inlineStr">
        <is>
          <t>KASK 头盔 Elemento 红 M</t>
        </is>
      </c>
      <c r="D235" s="15" t="inlineStr">
        <is>
          <t>KASK</t>
        </is>
      </c>
      <c r="E235" s="15" t="inlineStr">
        <is>
          <t>配件</t>
        </is>
      </c>
      <c r="F235" s="16" t="n">
        <v>1</v>
      </c>
      <c r="G235" s="16" t="n">
        <v>0</v>
      </c>
      <c r="H235" s="16">
        <f>F235+G235</f>
        <v/>
      </c>
      <c r="I235" s="16" t="n">
        <v>1957</v>
      </c>
      <c r="J235" s="16">
        <f>H235*I235</f>
        <v/>
      </c>
      <c r="K235" s="16" t="n">
        <v/>
      </c>
      <c r="L235" s="5" t="inlineStr"/>
    </row>
    <row r="236" ht="22" customHeight="1">
      <c r="B236" s="17" t="inlineStr">
        <is>
          <t>头盔</t>
        </is>
      </c>
      <c r="C236" s="8" t="inlineStr">
        <is>
          <t>KASK 头盔 Elemento 黑 M</t>
        </is>
      </c>
      <c r="D236" s="17" t="inlineStr">
        <is>
          <t>KASK</t>
        </is>
      </c>
      <c r="E236" s="17" t="inlineStr">
        <is>
          <t>配件</t>
        </is>
      </c>
      <c r="F236" s="18" t="n">
        <v>2</v>
      </c>
      <c r="G236" s="18" t="n">
        <v>0</v>
      </c>
      <c r="H236" s="18">
        <f>F236+G236</f>
        <v/>
      </c>
      <c r="I236" s="18" t="n">
        <v>1898</v>
      </c>
      <c r="J236" s="18">
        <f>H236*I236</f>
        <v/>
      </c>
      <c r="K236" s="18" t="n">
        <v/>
      </c>
      <c r="L236" s="8" t="inlineStr"/>
    </row>
    <row r="237" ht="22" customHeight="1">
      <c r="B237" s="15" t="inlineStr">
        <is>
          <t>头盔</t>
        </is>
      </c>
      <c r="C237" s="5" t="inlineStr">
        <is>
          <t>KASK 头盔 KASK MAAP 紫色 S</t>
        </is>
      </c>
      <c r="D237" s="15" t="inlineStr">
        <is>
          <t>KASK</t>
        </is>
      </c>
      <c r="E237" s="15" t="inlineStr">
        <is>
          <t>配件</t>
        </is>
      </c>
      <c r="F237" s="16" t="n">
        <v>1</v>
      </c>
      <c r="G237" s="16" t="n">
        <v>0</v>
      </c>
      <c r="H237" s="16">
        <f>F237+G237</f>
        <v/>
      </c>
      <c r="I237" s="16" t="n">
        <v>2400</v>
      </c>
      <c r="J237" s="16">
        <f>H237*I237</f>
        <v/>
      </c>
      <c r="K237" s="16" t="n">
        <v/>
      </c>
      <c r="L237" s="5" t="inlineStr"/>
    </row>
    <row r="238" ht="22" customHeight="1">
      <c r="B238" s="17" t="inlineStr">
        <is>
          <t>头盔</t>
        </is>
      </c>
      <c r="C238" s="8" t="inlineStr">
        <is>
          <t>KASK 头盔 KASK MAAP 绿色  L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2400</v>
      </c>
      <c r="J238" s="18">
        <f>H238*I238</f>
        <v/>
      </c>
      <c r="K238" s="18" t="n">
        <v/>
      </c>
      <c r="L238" s="8" t="inlineStr"/>
    </row>
    <row r="239" ht="22" customHeight="1">
      <c r="B239" s="15" t="inlineStr">
        <is>
          <t>头盔</t>
        </is>
      </c>
      <c r="C239" s="5" t="inlineStr">
        <is>
          <t>KASK 头盔 KASK MAAP 绿色 M</t>
        </is>
      </c>
      <c r="D239" s="15" t="inlineStr">
        <is>
          <t>KASK</t>
        </is>
      </c>
      <c r="E239" s="15" t="inlineStr">
        <is>
          <t>配件</t>
        </is>
      </c>
      <c r="F239" s="16" t="n">
        <v>3</v>
      </c>
      <c r="G239" s="16" t="n">
        <v>0</v>
      </c>
      <c r="H239" s="16">
        <f>F239+G239</f>
        <v/>
      </c>
      <c r="I239" s="16" t="n">
        <v>2400</v>
      </c>
      <c r="J239" s="16">
        <f>H239*I239</f>
        <v/>
      </c>
      <c r="K239" s="16" t="n">
        <v/>
      </c>
      <c r="L239" s="5" t="inlineStr"/>
    </row>
    <row r="240" ht="22" customHeight="1">
      <c r="B240" s="17" t="inlineStr">
        <is>
          <t>头盔</t>
        </is>
      </c>
      <c r="C240" s="8" t="inlineStr">
        <is>
          <t>KASK 头盔 KASK MAAP 绿色 S</t>
        </is>
      </c>
      <c r="D240" s="17" t="inlineStr">
        <is>
          <t>KASK</t>
        </is>
      </c>
      <c r="E240" s="17" t="inlineStr">
        <is>
          <t>配件</t>
        </is>
      </c>
      <c r="F240" s="18" t="n">
        <v>2</v>
      </c>
      <c r="G240" s="18" t="n">
        <v>0</v>
      </c>
      <c r="H240" s="18">
        <f>F240+G240</f>
        <v/>
      </c>
      <c r="I240" s="18" t="n">
        <v>2400</v>
      </c>
      <c r="J240" s="18">
        <f>H240*I240</f>
        <v/>
      </c>
      <c r="K240" s="18" t="n">
        <v/>
      </c>
      <c r="L240" s="8" t="inlineStr"/>
    </row>
    <row r="241" ht="22" customHeight="1">
      <c r="B241" s="15" t="inlineStr">
        <is>
          <t>头盔</t>
        </is>
      </c>
      <c r="C241" s="5" t="inlineStr">
        <is>
          <t>KASK 头盔 MISTRAL 黑红 M</t>
        </is>
      </c>
      <c r="D241" s="15" t="inlineStr">
        <is>
          <t>KASK</t>
        </is>
      </c>
      <c r="E241" s="15" t="inlineStr">
        <is>
          <t>配件</t>
        </is>
      </c>
      <c r="F241" s="16" t="n">
        <v>4</v>
      </c>
      <c r="G241" s="16" t="n">
        <v>0</v>
      </c>
      <c r="H241" s="16">
        <f>F241+G241</f>
        <v/>
      </c>
      <c r="I241" s="16" t="n">
        <v>1852.5</v>
      </c>
      <c r="J241" s="16">
        <f>H241*I241</f>
        <v/>
      </c>
      <c r="K241" s="16" t="n">
        <v/>
      </c>
      <c r="L241" s="5" t="inlineStr"/>
    </row>
    <row r="242" ht="22" customHeight="1">
      <c r="B242" s="17" t="inlineStr">
        <is>
          <t>头盔</t>
        </is>
      </c>
      <c r="C242" s="8" t="inlineStr">
        <is>
          <t>KASK 头盔 NIRVANA 火爆樱桃 M</t>
        </is>
      </c>
      <c r="D242" s="17" t="inlineStr">
        <is>
          <t>KASK</t>
        </is>
      </c>
      <c r="E242" s="17" t="inlineStr">
        <is>
          <t>配件</t>
        </is>
      </c>
      <c r="F242" s="18" t="n">
        <v>2</v>
      </c>
      <c r="G242" s="18" t="n">
        <v>0</v>
      </c>
      <c r="H242" s="18">
        <f>F242+G242</f>
        <v/>
      </c>
      <c r="I242" s="18" t="n">
        <v>1833</v>
      </c>
      <c r="J242" s="18">
        <f>H242*I242</f>
        <v/>
      </c>
      <c r="K242" s="18" t="n">
        <v/>
      </c>
      <c r="L242" s="8" t="inlineStr"/>
    </row>
    <row r="243" ht="22" customHeight="1">
      <c r="B243" s="15" t="inlineStr">
        <is>
          <t>头盔</t>
        </is>
      </c>
      <c r="C243" s="5" t="inlineStr">
        <is>
          <t>KASK 头盔 Protone Icon 咖啡 L</t>
        </is>
      </c>
      <c r="D243" s="15" t="inlineStr">
        <is>
          <t>KASK</t>
        </is>
      </c>
      <c r="E243" s="15" t="inlineStr">
        <is>
          <t>配件</t>
        </is>
      </c>
      <c r="F243" s="16" t="n">
        <v>4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ht="22" customHeight="1">
      <c r="B244" s="17" t="inlineStr">
        <is>
          <t>头盔</t>
        </is>
      </c>
      <c r="C244" s="8" t="inlineStr">
        <is>
          <t>KASK 头盔 Protone Icon 哑光灰 L</t>
        </is>
      </c>
      <c r="D244" s="17" t="inlineStr">
        <is>
          <t>KASK</t>
        </is>
      </c>
      <c r="E244" s="17" t="inlineStr">
        <is>
          <t>配件</t>
        </is>
      </c>
      <c r="F244" s="18" t="n">
        <v>2</v>
      </c>
      <c r="G244" s="18" t="n">
        <v>0</v>
      </c>
      <c r="H244" s="18">
        <f>F244+G244</f>
        <v/>
      </c>
      <c r="I244" s="18" t="n">
        <v>1482</v>
      </c>
      <c r="J244" s="18">
        <f>H244*I244</f>
        <v/>
      </c>
      <c r="K244" s="18" t="n">
        <v/>
      </c>
      <c r="L244" s="8" t="inlineStr"/>
    </row>
    <row r="245" ht="22" customHeight="1">
      <c r="B245" s="15" t="inlineStr">
        <is>
          <t>头盔</t>
        </is>
      </c>
      <c r="C245" s="5" t="inlineStr">
        <is>
          <t>KASK 头盔 Protone Icon 哑灰 S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1090</v>
      </c>
      <c r="J245" s="16">
        <f>H245*I245</f>
        <v/>
      </c>
      <c r="K245" s="16" t="n">
        <v/>
      </c>
      <c r="L245" s="5" t="inlineStr"/>
    </row>
    <row r="246" ht="22" customHeight="1">
      <c r="B246" s="17" t="inlineStr">
        <is>
          <t>头盔</t>
        </is>
      </c>
      <c r="C246" s="8" t="inlineStr">
        <is>
          <t>KASK 头盔 Protone Icon 白 L</t>
        </is>
      </c>
      <c r="D246" s="17" t="inlineStr">
        <is>
          <t>KASK</t>
        </is>
      </c>
      <c r="E246" s="17" t="inlineStr">
        <is>
          <t>配件</t>
        </is>
      </c>
      <c r="F246" s="18" t="n">
        <v>1</v>
      </c>
      <c r="G246" s="18" t="n">
        <v>0</v>
      </c>
      <c r="H246" s="18">
        <f>F246+G246</f>
        <v/>
      </c>
      <c r="I246" s="18" t="n">
        <v>1619.38</v>
      </c>
      <c r="J246" s="18">
        <f>H246*I246</f>
        <v/>
      </c>
      <c r="K246" s="18" t="n">
        <v/>
      </c>
      <c r="L246" s="8" t="inlineStr"/>
    </row>
    <row r="247" ht="22" customHeight="1">
      <c r="B247" s="15" t="inlineStr">
        <is>
          <t>头盔</t>
        </is>
      </c>
      <c r="C247" s="5" t="inlineStr">
        <is>
          <t>KASK 头盔 Protone 亮光黑 S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1528</v>
      </c>
      <c r="J247" s="16">
        <f>H247*I247</f>
        <v/>
      </c>
      <c r="K247" s="16" t="n">
        <v/>
      </c>
      <c r="L247" s="5" t="inlineStr"/>
    </row>
    <row r="248" ht="22" customHeight="1">
      <c r="B248" s="17" t="inlineStr">
        <is>
          <t>头盔</t>
        </is>
      </c>
      <c r="C248" s="8" t="inlineStr">
        <is>
          <t>KASK 头盔 Protone 橙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1090</v>
      </c>
      <c r="J248" s="18">
        <f>H248*I248</f>
        <v/>
      </c>
      <c r="K248" s="18" t="n">
        <v/>
      </c>
      <c r="L248" s="8" t="inlineStr"/>
    </row>
    <row r="249" ht="22" customHeight="1">
      <c r="B249" s="15" t="inlineStr">
        <is>
          <t>头盔</t>
        </is>
      </c>
      <c r="C249" s="5" t="inlineStr">
        <is>
          <t>KASK 头盔 UTOPIA  特别版 紫白色 L</t>
        </is>
      </c>
      <c r="D249" s="15" t="inlineStr">
        <is>
          <t>KASK</t>
        </is>
      </c>
      <c r="E249" s="15" t="inlineStr">
        <is>
          <t>配件</t>
        </is>
      </c>
      <c r="F249" s="16" t="n">
        <v>4</v>
      </c>
      <c r="G249" s="16" t="n">
        <v>0</v>
      </c>
      <c r="H249" s="16">
        <f>F249+G249</f>
        <v/>
      </c>
      <c r="I249" s="16" t="n">
        <v>2010</v>
      </c>
      <c r="J249" s="16">
        <f>H249*I249</f>
        <v/>
      </c>
      <c r="K249" s="16" t="n">
        <v/>
      </c>
      <c r="L249" s="5" t="inlineStr"/>
    </row>
    <row r="250" ht="22" customHeight="1">
      <c r="B250" s="17" t="inlineStr">
        <is>
          <t>头盔</t>
        </is>
      </c>
      <c r="C250" s="8" t="inlineStr">
        <is>
          <t>KASK 头盔 Utopia 哑黑 S</t>
        </is>
      </c>
      <c r="D250" s="17" t="inlineStr">
        <is>
          <t>KASK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1482</v>
      </c>
      <c r="J250" s="18">
        <f>H250*I250</f>
        <v/>
      </c>
      <c r="K250" s="18" t="n">
        <v/>
      </c>
      <c r="L250" s="8" t="inlineStr"/>
    </row>
    <row r="251" ht="22" customHeight="1">
      <c r="B251" s="15" t="inlineStr">
        <is>
          <t>头盔</t>
        </is>
      </c>
      <c r="C251" s="5" t="inlineStr">
        <is>
          <t>KASK 头盔 Wasabi 消光白 L</t>
        </is>
      </c>
      <c r="D251" s="15" t="inlineStr">
        <is>
          <t>KASK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822.5</v>
      </c>
      <c r="J251" s="16">
        <f>H251*I251</f>
        <v/>
      </c>
      <c r="K251" s="16" t="n">
        <v/>
      </c>
      <c r="L251" s="5" t="inlineStr"/>
    </row>
    <row r="252" ht="22" customHeight="1">
      <c r="B252" s="17" t="inlineStr">
        <is>
          <t>头盔</t>
        </is>
      </c>
      <c r="C252" s="8" t="inlineStr">
        <is>
          <t>KASK 头盔 Wasabi 灰 L</t>
        </is>
      </c>
      <c r="D252" s="17" t="inlineStr">
        <is>
          <t>KASK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822.5</v>
      </c>
      <c r="J252" s="18">
        <f>H252*I252</f>
        <v/>
      </c>
      <c r="K252" s="18" t="n">
        <v/>
      </c>
      <c r="L252" s="8" t="inlineStr"/>
    </row>
    <row r="253" ht="22" customHeight="1">
      <c r="B253" s="15" t="inlineStr">
        <is>
          <t>头盔</t>
        </is>
      </c>
      <c r="C253" s="5" t="inlineStr">
        <is>
          <t>KASK 头盔 Wasabi 灰 M</t>
        </is>
      </c>
      <c r="D253" s="15" t="inlineStr">
        <is>
          <t>KASK</t>
        </is>
      </c>
      <c r="E253" s="15" t="inlineStr">
        <is>
          <t>配件</t>
        </is>
      </c>
      <c r="F253" s="16" t="n">
        <v>2</v>
      </c>
      <c r="G253" s="16" t="n">
        <v>0</v>
      </c>
      <c r="H253" s="16">
        <f>F253+G253</f>
        <v/>
      </c>
      <c r="I253" s="16" t="n">
        <v>822.5</v>
      </c>
      <c r="J253" s="16">
        <f>H253*I253</f>
        <v/>
      </c>
      <c r="K253" s="16" t="n">
        <v/>
      </c>
      <c r="L253" s="5" t="inlineStr"/>
    </row>
    <row r="254" ht="22" customHeight="1">
      <c r="B254" s="17" t="inlineStr">
        <is>
          <t>头盔</t>
        </is>
      </c>
      <c r="C254" s="8" t="inlineStr">
        <is>
          <t>KASK 头盔 Wasabi 熔岩红 M</t>
        </is>
      </c>
      <c r="D254" s="17" t="inlineStr">
        <is>
          <t>KASK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822.5</v>
      </c>
      <c r="J254" s="18">
        <f>H254*I254</f>
        <v/>
      </c>
      <c r="K254" s="18" t="n">
        <v/>
      </c>
      <c r="L254" s="8" t="inlineStr"/>
    </row>
    <row r="255" ht="22" customHeight="1">
      <c r="B255" s="15" t="inlineStr">
        <is>
          <t>头盔</t>
        </is>
      </c>
      <c r="C255" s="5" t="inlineStr">
        <is>
          <t>KASK 头盔 Wasabi 磨砂绿 L</t>
        </is>
      </c>
      <c r="D255" s="15" t="inlineStr">
        <is>
          <t>KASK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822.5</v>
      </c>
      <c r="J255" s="16">
        <f>H255*I255</f>
        <v/>
      </c>
      <c r="K255" s="16" t="n">
        <v/>
      </c>
      <c r="L255" s="5" t="inlineStr"/>
    </row>
    <row r="256" ht="22" customHeight="1">
      <c r="B256" s="17" t="inlineStr">
        <is>
          <t>眼镜</t>
        </is>
      </c>
      <c r="C256" s="8" t="inlineStr">
        <is>
          <t>KOO 眼镜 KOO 白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1273</v>
      </c>
      <c r="J256" s="18">
        <f>H256*I256</f>
        <v/>
      </c>
      <c r="K256" s="18" t="n">
        <v/>
      </c>
      <c r="L256" s="8" t="inlineStr"/>
    </row>
    <row r="257" ht="22" customHeight="1">
      <c r="B257" s="15" t="inlineStr">
        <is>
          <t>眼镜</t>
        </is>
      </c>
      <c r="C257" s="5" t="inlineStr">
        <is>
          <t>KOO 眼镜 KOO 黄白</t>
        </is>
      </c>
      <c r="D257" s="15" t="inlineStr">
        <is>
          <t>KOO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2546</v>
      </c>
      <c r="J257" s="16">
        <f>H257*I257</f>
        <v/>
      </c>
      <c r="K257" s="16" t="n">
        <v/>
      </c>
      <c r="L257" s="5" t="inlineStr"/>
    </row>
    <row r="258" ht="22" customHeight="1">
      <c r="B258" s="17" t="inlineStr">
        <is>
          <t>眼镜</t>
        </is>
      </c>
      <c r="C258" s="8" t="inlineStr">
        <is>
          <t>KOO 眼镜 KOO白腿无框蓝片</t>
        </is>
      </c>
      <c r="D258" s="17" t="inlineStr">
        <is>
          <t>KOO</t>
        </is>
      </c>
      <c r="E258" s="17" t="inlineStr">
        <is>
          <t>配件</t>
        </is>
      </c>
      <c r="F258" s="18" t="n">
        <v>1</v>
      </c>
      <c r="G258" s="18" t="n">
        <v>0</v>
      </c>
      <c r="H258" s="18">
        <f>F258+G258</f>
        <v/>
      </c>
      <c r="I258" s="18" t="n">
        <v>800</v>
      </c>
      <c r="J258" s="18">
        <f>H258*I258</f>
        <v/>
      </c>
      <c r="K258" s="18" t="n">
        <v/>
      </c>
      <c r="L258" s="8" t="inlineStr"/>
    </row>
    <row r="259" ht="22" customHeight="1">
      <c r="B259" s="15" t="inlineStr">
        <is>
          <t>眼镜</t>
        </is>
      </c>
      <c r="C259" s="5" t="inlineStr">
        <is>
          <t>Kplus 眼镜 Kplus 松柏红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ht="22" customHeight="1">
      <c r="B260" s="17" t="inlineStr">
        <is>
          <t>眼镜</t>
        </is>
      </c>
      <c r="C260" s="8" t="inlineStr">
        <is>
          <t>Kplus 眼镜 Kplus 果冻白</t>
        </is>
      </c>
      <c r="D260" s="17" t="inlineStr">
        <is>
          <t>Kplus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425</v>
      </c>
      <c r="J260" s="18">
        <f>H260*I260</f>
        <v/>
      </c>
      <c r="K260" s="18" t="n">
        <v/>
      </c>
      <c r="L260" s="8" t="inlineStr"/>
    </row>
    <row r="261" ht="22" customHeight="1">
      <c r="B261" s="15" t="inlineStr">
        <is>
          <t>眼镜</t>
        </is>
      </c>
      <c r="C261" s="5" t="inlineStr">
        <is>
          <t>Kplus 眼镜 Kplus 烟熏灰</t>
        </is>
      </c>
      <c r="D261" s="15" t="inlineStr">
        <is>
          <t>Kplus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425</v>
      </c>
      <c r="J261" s="16">
        <f>H261*I261</f>
        <v/>
      </c>
      <c r="K261" s="16" t="n">
        <v/>
      </c>
      <c r="L261" s="5" t="inlineStr"/>
    </row>
    <row r="262" ht="22" customHeight="1">
      <c r="B262" s="17" t="inlineStr">
        <is>
          <t>头盔</t>
        </is>
      </c>
      <c r="C262" s="8" t="inlineStr">
        <is>
          <t>LEM 头盔 Cipressa Af 黑 M</t>
        </is>
      </c>
      <c r="D262" s="17" t="inlineStr">
        <is>
          <t>LEM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800</v>
      </c>
      <c r="J262" s="18">
        <f>H262*I262</f>
        <v/>
      </c>
      <c r="K262" s="18" t="n">
        <v/>
      </c>
      <c r="L262" s="8" t="inlineStr"/>
    </row>
    <row r="263" ht="22" customHeight="1">
      <c r="B263" s="15" t="inlineStr">
        <is>
          <t>其他小配件</t>
        </is>
      </c>
      <c r="C263" s="5" t="inlineStr">
        <is>
          <t>Pinarello 其他小配件 水壶架螺丝</t>
        </is>
      </c>
      <c r="D263" s="15" t="inlineStr">
        <is>
          <t>Pinarello</t>
        </is>
      </c>
      <c r="E263" s="15" t="inlineStr">
        <is>
          <t>配件</t>
        </is>
      </c>
      <c r="F263" s="16" t="n">
        <v>34</v>
      </c>
      <c r="G263" s="16" t="n">
        <v>0</v>
      </c>
      <c r="H263" s="16">
        <f>F263+G263</f>
        <v/>
      </c>
      <c r="I263" s="16" t="n">
        <v>5</v>
      </c>
      <c r="J263" s="16">
        <f>H263*I263</f>
        <v/>
      </c>
      <c r="K263" s="16" t="n">
        <v/>
      </c>
      <c r="L263" s="5" t="inlineStr"/>
    </row>
    <row r="264" ht="22" customHeight="1">
      <c r="B264" s="17" t="inlineStr">
        <is>
          <t>骑行服</t>
        </is>
      </c>
      <c r="C264" s="8" t="inlineStr">
        <is>
          <t>PISSEI 骑行服 UAE  RACE 短袖上衣 （UAEM0CH） M码</t>
        </is>
      </c>
      <c r="D264" s="17" t="inlineStr">
        <is>
          <t>PISSEI</t>
        </is>
      </c>
      <c r="E264" s="17" t="inlineStr">
        <is>
          <t>配件</t>
        </is>
      </c>
      <c r="F264" s="18" t="n">
        <v>1</v>
      </c>
      <c r="G264" s="18" t="n">
        <v>0</v>
      </c>
      <c r="H264" s="18">
        <f>F264+G264</f>
        <v/>
      </c>
      <c r="I264" s="18" t="n">
        <v>930</v>
      </c>
      <c r="J264" s="18">
        <f>H264*I264</f>
        <v/>
      </c>
      <c r="K264" s="18" t="n">
        <v/>
      </c>
      <c r="L264" s="8" t="inlineStr"/>
    </row>
    <row r="265" ht="22" customHeight="1">
      <c r="B265" s="15" t="inlineStr">
        <is>
          <t>骑行服</t>
        </is>
      </c>
      <c r="C265" s="5" t="inlineStr">
        <is>
          <t>PISSEI 骑行服 UAE  RACE 短袖上衣 （UAEM0CH） XL码</t>
        </is>
      </c>
      <c r="D265" s="15" t="inlineStr">
        <is>
          <t>PISSEI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930</v>
      </c>
      <c r="J265" s="16">
        <f>H265*I265</f>
        <v/>
      </c>
      <c r="K265" s="16" t="n">
        <v/>
      </c>
      <c r="L265" s="5" t="inlineStr"/>
    </row>
    <row r="266" ht="22" customHeight="1">
      <c r="B266" s="17" t="inlineStr">
        <is>
          <t>骑行服</t>
        </is>
      </c>
      <c r="C266" s="8" t="inlineStr">
        <is>
          <t>PISSEI 骑行服 UAE  RACE 短袖上衣 （UAEM0CH）L码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ht="22" customHeight="1">
      <c r="B267" s="15" t="inlineStr">
        <is>
          <t>骑行服</t>
        </is>
      </c>
      <c r="C267" s="5" t="inlineStr">
        <is>
          <t>PISSEI 骑行服 葡萄牙国家冠军 RACE 短袖上衣（UAEM01P）XS码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ht="22" customHeight="1">
      <c r="B268" s="17" t="inlineStr">
        <is>
          <t>骑行服</t>
        </is>
      </c>
      <c r="C268" s="8" t="inlineStr">
        <is>
          <t>PISSEI 骑行服 葡萄牙国家冠军 连体服（UAEM012PR）XXL码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1794</v>
      </c>
      <c r="J268" s="18">
        <f>H268*I268</f>
        <v/>
      </c>
      <c r="K268" s="18" t="n">
        <v/>
      </c>
      <c r="L268" s="8" t="inlineStr"/>
    </row>
    <row r="269" ht="22" customHeight="1">
      <c r="B269" s="15" t="inlineStr">
        <is>
          <t>骑行服</t>
        </is>
      </c>
      <c r="C269" s="5" t="inlineStr">
        <is>
          <t>PISSEI 骑行服 队版 RACE 短袖上衣 （UAEM0CH）S码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ht="22" customHeight="1">
      <c r="B270" s="17" t="inlineStr">
        <is>
          <t>骑行服</t>
        </is>
      </c>
      <c r="C270" s="8" t="inlineStr">
        <is>
          <t>PISSEI 骑行服 队版夏季骑行手套 XS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246</v>
      </c>
      <c r="J270" s="18">
        <f>H270*I270</f>
        <v/>
      </c>
      <c r="K270" s="18" t="n">
        <v/>
      </c>
      <c r="L270" s="8" t="inlineStr"/>
    </row>
    <row r="271" ht="22" customHeight="1">
      <c r="B271" s="15" t="inlineStr">
        <is>
          <t>骑行服</t>
        </is>
      </c>
      <c r="C271" s="5" t="inlineStr">
        <is>
          <t>PISSEI 骑行服 队版连体服 （UAEM012R）L码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1794</v>
      </c>
      <c r="J271" s="16">
        <f>H271*I271</f>
        <v/>
      </c>
      <c r="K271" s="16" t="n">
        <v/>
      </c>
      <c r="L271" s="5" t="inlineStr"/>
    </row>
    <row r="272" ht="22" customHeight="1">
      <c r="B272" s="17" t="inlineStr">
        <is>
          <t>骑行服</t>
        </is>
      </c>
      <c r="C272" s="8" t="inlineStr">
        <is>
          <t>PISSEI 骑行服 队版连体服 （UAEM012R）XL码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1794</v>
      </c>
      <c r="J272" s="18">
        <f>H272*I272</f>
        <v/>
      </c>
      <c r="K272" s="18" t="n">
        <v/>
      </c>
      <c r="L272" s="8" t="inlineStr"/>
    </row>
    <row r="273" ht="22" customHeight="1">
      <c r="B273" s="15" t="inlineStr">
        <is>
          <t>骑行服</t>
        </is>
      </c>
      <c r="C273" s="5" t="inlineStr">
        <is>
          <t>PISSEI 骑行服 队版马甲 （UAEM06R）S码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426</v>
      </c>
      <c r="J273" s="16">
        <f>H273*I273</f>
        <v/>
      </c>
      <c r="K273" s="16" t="n">
        <v/>
      </c>
      <c r="L273" s="5" t="inlineStr"/>
    </row>
    <row r="274" ht="22" customHeight="1">
      <c r="B274" s="17" t="inlineStr">
        <is>
          <t>骑行服</t>
        </is>
      </c>
      <c r="C274" s="8" t="inlineStr">
        <is>
          <t>PISSEI 骑行服 队版马甲 （UAEM06R）XS码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426</v>
      </c>
      <c r="J274" s="18">
        <f>H274*I274</f>
        <v/>
      </c>
      <c r="K274" s="18" t="n">
        <v/>
      </c>
      <c r="L274" s="8" t="inlineStr"/>
    </row>
    <row r="275" ht="22" customHeight="1">
      <c r="B275" s="15" t="inlineStr">
        <is>
          <t>骑行服</t>
        </is>
      </c>
      <c r="C275" s="5" t="inlineStr">
        <is>
          <t>PISSEI 骑行服 队版马甲 （UAEM06R）XXS码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ht="22" customHeight="1">
      <c r="B276" s="17" t="inlineStr">
        <is>
          <t>眼镜</t>
        </is>
      </c>
      <c r="C276" s="8" t="inlineStr">
        <is>
          <t>Rapha 眼镜 Rapha pro team 海军蓝</t>
        </is>
      </c>
      <c r="D276" s="17" t="inlineStr">
        <is>
          <t>Rapha</t>
        </is>
      </c>
      <c r="E276" s="17" t="inlineStr">
        <is>
          <t>配件</t>
        </is>
      </c>
      <c r="F276" s="18" t="n">
        <v>2</v>
      </c>
      <c r="G276" s="18" t="n">
        <v>0</v>
      </c>
      <c r="H276" s="18">
        <f>F276+G276</f>
        <v/>
      </c>
      <c r="I276" s="18" t="n">
        <v>921</v>
      </c>
      <c r="J276" s="18">
        <f>H276*I276</f>
        <v/>
      </c>
      <c r="K276" s="18" t="n">
        <v/>
      </c>
      <c r="L276" s="8" t="inlineStr"/>
    </row>
    <row r="277" ht="22" customHeight="1">
      <c r="B277" s="15" t="inlineStr">
        <is>
          <t>眼镜</t>
        </is>
      </c>
      <c r="C277" s="5" t="inlineStr">
        <is>
          <t>Rapha 眼镜 Rapha pro team 白色</t>
        </is>
      </c>
      <c r="D277" s="15" t="inlineStr">
        <is>
          <t>Rapha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921</v>
      </c>
      <c r="J277" s="16">
        <f>H277*I277</f>
        <v/>
      </c>
      <c r="K277" s="16" t="n">
        <v/>
      </c>
      <c r="L277" s="5" t="inlineStr"/>
    </row>
    <row r="278" ht="22" customHeight="1">
      <c r="B278" s="17" t="inlineStr">
        <is>
          <t>眼镜</t>
        </is>
      </c>
      <c r="C278" s="8" t="inlineStr">
        <is>
          <t>Rapha 眼镜 Rapha 无边框 1800元无边框有原盒</t>
        </is>
      </c>
      <c r="D278" s="17" t="inlineStr">
        <is>
          <t>Rapha</t>
        </is>
      </c>
      <c r="E278" s="17" t="inlineStr">
        <is>
          <t>配件</t>
        </is>
      </c>
      <c r="F278" s="18" t="n">
        <v>1</v>
      </c>
      <c r="G278" s="18" t="n">
        <v>0</v>
      </c>
      <c r="H278" s="18">
        <f>F278+G278</f>
        <v/>
      </c>
      <c r="I278" s="18" t="n">
        <v>921</v>
      </c>
      <c r="J278" s="18">
        <f>H278*I278</f>
        <v/>
      </c>
      <c r="K278" s="18" t="n">
        <v/>
      </c>
      <c r="L278" s="8" t="inlineStr"/>
    </row>
    <row r="279" ht="22" customHeight="1">
      <c r="B279" s="15" t="inlineStr">
        <is>
          <t>眼镜</t>
        </is>
      </c>
      <c r="C279" s="5" t="inlineStr">
        <is>
          <t>Rapha 眼镜 Rapha 无边框 在ROO盒子里面</t>
        </is>
      </c>
      <c r="D279" s="15" t="inlineStr">
        <is>
          <t>Rapha</t>
        </is>
      </c>
      <c r="E279" s="15" t="inlineStr">
        <is>
          <t>配件</t>
        </is>
      </c>
      <c r="F279" s="16" t="n">
        <v>1</v>
      </c>
      <c r="G279" s="16" t="n">
        <v>0</v>
      </c>
      <c r="H279" s="16">
        <f>F279+G279</f>
        <v/>
      </c>
      <c r="I279" s="16" t="n">
        <v>921</v>
      </c>
      <c r="J279" s="16">
        <f>H279*I279</f>
        <v/>
      </c>
      <c r="K279" s="16" t="n">
        <v/>
      </c>
      <c r="L279" s="5" t="inlineStr"/>
    </row>
    <row r="280" ht="22" customHeight="1">
      <c r="B280" s="17" t="inlineStr">
        <is>
          <t>眼镜</t>
        </is>
      </c>
      <c r="C280" s="8" t="inlineStr">
        <is>
          <t>Rapha 眼镜 RCC PT 黑</t>
        </is>
      </c>
      <c r="D280" s="17" t="inlineStr">
        <is>
          <t>Rapha</t>
        </is>
      </c>
      <c r="E280" s="17" t="inlineStr">
        <is>
          <t>配件</t>
        </is>
      </c>
      <c r="F280" s="18" t="n">
        <v>4</v>
      </c>
      <c r="G280" s="18" t="n">
        <v>0</v>
      </c>
      <c r="H280" s="18">
        <f>F280+G280</f>
        <v/>
      </c>
      <c r="I280" s="18" t="n">
        <v>921</v>
      </c>
      <c r="J280" s="18">
        <f>H280*I280</f>
        <v/>
      </c>
      <c r="K280" s="18" t="n">
        <v/>
      </c>
      <c r="L280" s="8" t="inlineStr"/>
    </row>
    <row r="281" ht="22" customHeight="1">
      <c r="B281" s="15" t="inlineStr">
        <is>
          <t>骑行服</t>
        </is>
      </c>
      <c r="C281" s="5" t="inlineStr">
        <is>
          <t>RAPHA 骑行服 七分骑行裤 BSL ¥2360</t>
        </is>
      </c>
      <c r="D281" s="15" t="inlineStr">
        <is>
          <t>RAPHA</t>
        </is>
      </c>
      <c r="E281" s="15" t="inlineStr">
        <is>
          <t>配件</t>
        </is>
      </c>
      <c r="F281" s="16" t="n">
        <v>4</v>
      </c>
      <c r="G281" s="16" t="n">
        <v>0</v>
      </c>
      <c r="H281" s="16">
        <f>F281+G281</f>
        <v/>
      </c>
      <c r="I281" s="16" t="n">
        <v>1652</v>
      </c>
      <c r="J281" s="16">
        <f>H281*I281</f>
        <v/>
      </c>
      <c r="K281" s="16" t="n">
        <v/>
      </c>
      <c r="L281" s="5" t="inlineStr"/>
    </row>
    <row r="282" ht="22" customHeight="1">
      <c r="B282" s="17" t="inlineStr">
        <is>
          <t>骑行服</t>
        </is>
      </c>
      <c r="C282" s="8" t="inlineStr">
        <is>
          <t>RAPHA 骑行服 卫衣 LPH ¥868</t>
        </is>
      </c>
      <c r="D282" s="17" t="inlineStr">
        <is>
          <t>RAPHA</t>
        </is>
      </c>
      <c r="E282" s="17" t="inlineStr">
        <is>
          <t>配件</t>
        </is>
      </c>
      <c r="F282" s="18" t="n">
        <v>2</v>
      </c>
      <c r="G282" s="18" t="n">
        <v>0</v>
      </c>
      <c r="H282" s="18">
        <f>F282+G282</f>
        <v/>
      </c>
      <c r="I282" s="18" t="n">
        <v>608</v>
      </c>
      <c r="J282" s="18">
        <f>H282*I282</f>
        <v/>
      </c>
      <c r="K282" s="18" t="n">
        <v/>
      </c>
      <c r="L282" s="8" t="inlineStr"/>
    </row>
    <row r="283" ht="22" customHeight="1">
      <c r="B283" s="15" t="inlineStr">
        <is>
          <t>骑行服</t>
        </is>
      </c>
      <c r="C283" s="5" t="inlineStr">
        <is>
          <t>RAPHA 骑行服 手套黑色带光条</t>
        </is>
      </c>
      <c r="D283" s="15" t="inlineStr">
        <is>
          <t>RAPHA</t>
        </is>
      </c>
      <c r="E283" s="15" t="inlineStr">
        <is>
          <t>配件</t>
        </is>
      </c>
      <c r="F283" s="16" t="n">
        <v>2</v>
      </c>
      <c r="G283" s="16" t="n">
        <v>0</v>
      </c>
      <c r="H283" s="16">
        <f>F283+G283</f>
        <v/>
      </c>
      <c r="I283" s="16" t="n">
        <v>260</v>
      </c>
      <c r="J283" s="16">
        <f>H283*I283</f>
        <v/>
      </c>
      <c r="K283" s="16" t="n">
        <v/>
      </c>
      <c r="L283" s="5" t="inlineStr"/>
    </row>
    <row r="284" ht="22" customHeight="1">
      <c r="B284" s="17" t="inlineStr">
        <is>
          <t>骑行服</t>
        </is>
      </c>
      <c r="C284" s="8" t="inlineStr">
        <is>
          <t>RAPHA 骑行服 断码T恤 ¥888</t>
        </is>
      </c>
      <c r="D284" s="17" t="inlineStr">
        <is>
          <t>RAPHA</t>
        </is>
      </c>
      <c r="E284" s="17" t="inlineStr">
        <is>
          <t>配件</t>
        </is>
      </c>
      <c r="F284" s="18" t="n">
        <v>31</v>
      </c>
      <c r="G284" s="18" t="n">
        <v>0</v>
      </c>
      <c r="H284" s="18">
        <f>F284+G284</f>
        <v/>
      </c>
      <c r="I284" s="18" t="n">
        <v>622</v>
      </c>
      <c r="J284" s="18">
        <f>H284*I284</f>
        <v/>
      </c>
      <c r="K284" s="18" t="n">
        <v/>
      </c>
      <c r="L284" s="8" t="inlineStr"/>
    </row>
    <row r="285" ht="22" customHeight="1">
      <c r="B285" s="15" t="inlineStr">
        <is>
          <t>骑行服</t>
        </is>
      </c>
      <c r="C285" s="5" t="inlineStr">
        <is>
          <t>RAPHA 骑行服 断码风衣 ¥1599</t>
        </is>
      </c>
      <c r="D285" s="15" t="inlineStr">
        <is>
          <t>RAPHA</t>
        </is>
      </c>
      <c r="E285" s="15" t="inlineStr">
        <is>
          <t>配件</t>
        </is>
      </c>
      <c r="F285" s="16" t="n">
        <v>1</v>
      </c>
      <c r="G285" s="16" t="n">
        <v>0</v>
      </c>
      <c r="H285" s="16">
        <f>F285+G285</f>
        <v/>
      </c>
      <c r="I285" s="16" t="n">
        <v>1119</v>
      </c>
      <c r="J285" s="16">
        <f>H285*I285</f>
        <v/>
      </c>
      <c r="K285" s="16" t="n">
        <v/>
      </c>
      <c r="L285" s="5" t="inlineStr"/>
    </row>
    <row r="286" ht="22" customHeight="1">
      <c r="B286" s="17" t="inlineStr">
        <is>
          <t>骑行服</t>
        </is>
      </c>
      <c r="C286" s="8" t="inlineStr">
        <is>
          <t>RAPHA 骑行服 短袖 ¥1599</t>
        </is>
      </c>
      <c r="D286" s="17" t="inlineStr">
        <is>
          <t>RAPHA</t>
        </is>
      </c>
      <c r="E286" s="17" t="inlineStr">
        <is>
          <t>配件</t>
        </is>
      </c>
      <c r="F286" s="18" t="n">
        <v>6</v>
      </c>
      <c r="G286" s="18" t="n">
        <v>0</v>
      </c>
      <c r="H286" s="18">
        <f>F286+G286</f>
        <v/>
      </c>
      <c r="I286" s="18" t="n">
        <v>1120</v>
      </c>
      <c r="J286" s="18">
        <f>H286*I286</f>
        <v/>
      </c>
      <c r="K286" s="18" t="n">
        <v/>
      </c>
      <c r="L286" s="8" t="inlineStr"/>
    </row>
    <row r="287" ht="22" customHeight="1">
      <c r="B287" s="15" t="inlineStr">
        <is>
          <t>骑行服</t>
        </is>
      </c>
      <c r="C287" s="5" t="inlineStr">
        <is>
          <t>RAPHA 骑行服 粉色短袖 ¥830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581</v>
      </c>
      <c r="J287" s="16">
        <f>H287*I287</f>
        <v/>
      </c>
      <c r="K287" s="16" t="n">
        <v/>
      </c>
      <c r="L287" s="5" t="inlineStr"/>
    </row>
    <row r="288" ht="22" customHeight="1">
      <c r="B288" s="17" t="inlineStr">
        <is>
          <t>骑行服</t>
        </is>
      </c>
      <c r="C288" s="8" t="inlineStr">
        <is>
          <t>RAPHA 骑行服 袜子 ¥199</t>
        </is>
      </c>
      <c r="D288" s="17" t="inlineStr">
        <is>
          <t>RAPHA</t>
        </is>
      </c>
      <c r="E288" s="17" t="inlineStr">
        <is>
          <t>配件</t>
        </is>
      </c>
      <c r="F288" s="18" t="n">
        <v>7</v>
      </c>
      <c r="G288" s="18" t="n">
        <v>0</v>
      </c>
      <c r="H288" s="18">
        <f>F288+G288</f>
        <v/>
      </c>
      <c r="I288" s="18" t="n">
        <v>140</v>
      </c>
      <c r="J288" s="18">
        <f>H288*I288</f>
        <v/>
      </c>
      <c r="K288" s="18" t="n">
        <v/>
      </c>
      <c r="L288" s="8" t="inlineStr"/>
    </row>
    <row r="289" ht="22" customHeight="1">
      <c r="B289" s="15" t="inlineStr">
        <is>
          <t>骑行服</t>
        </is>
      </c>
      <c r="C289" s="5" t="inlineStr">
        <is>
          <t>RAPHA 骑行服 长袖上衣 BJR ¥1850</t>
        </is>
      </c>
      <c r="D289" s="15" t="inlineStr">
        <is>
          <t>RAPHA</t>
        </is>
      </c>
      <c r="E289" s="15" t="inlineStr">
        <is>
          <t>配件</t>
        </is>
      </c>
      <c r="F289" s="16" t="n">
        <v>1</v>
      </c>
      <c r="G289" s="16" t="n">
        <v>0</v>
      </c>
      <c r="H289" s="16">
        <f>F289+G289</f>
        <v/>
      </c>
      <c r="I289" s="16" t="n">
        <v>1295</v>
      </c>
      <c r="J289" s="16">
        <f>H289*I289</f>
        <v/>
      </c>
      <c r="K289" s="16" t="n">
        <v/>
      </c>
      <c r="L289" s="5" t="inlineStr"/>
    </row>
    <row r="290" ht="22" customHeight="1">
      <c r="B290" s="17" t="inlineStr">
        <is>
          <t>骑行服</t>
        </is>
      </c>
      <c r="C290" s="8" t="inlineStr">
        <is>
          <t>RAPHA 骑行服 长袖上衣 CLL ¥1560</t>
        </is>
      </c>
      <c r="D290" s="17" t="inlineStr">
        <is>
          <t>RAPHA</t>
        </is>
      </c>
      <c r="E290" s="17" t="inlineStr">
        <is>
          <t>配件</t>
        </is>
      </c>
      <c r="F290" s="18" t="n">
        <v>1</v>
      </c>
      <c r="G290" s="18" t="n">
        <v>0</v>
      </c>
      <c r="H290" s="18">
        <f>F290+G290</f>
        <v/>
      </c>
      <c r="I290" s="18" t="n">
        <v>1092</v>
      </c>
      <c r="J290" s="18">
        <f>H290*I290</f>
        <v/>
      </c>
      <c r="K290" s="18" t="n">
        <v/>
      </c>
      <c r="L290" s="8" t="inlineStr"/>
    </row>
    <row r="291" ht="22" customHeight="1">
      <c r="B291" s="15" t="inlineStr">
        <is>
          <t>骑行服</t>
        </is>
      </c>
      <c r="C291" s="5" t="inlineStr">
        <is>
          <t>RAPHA 骑行服 长裤 AHO ¥1560</t>
        </is>
      </c>
      <c r="D291" s="15" t="inlineStr">
        <is>
          <t>RAPHA</t>
        </is>
      </c>
      <c r="E291" s="15" t="inlineStr">
        <is>
          <t>配件</t>
        </is>
      </c>
      <c r="F291" s="16" t="n">
        <v>2</v>
      </c>
      <c r="G291" s="16" t="n">
        <v>0</v>
      </c>
      <c r="H291" s="16">
        <f>F291+G291</f>
        <v/>
      </c>
      <c r="I291" s="16" t="n">
        <v>1092</v>
      </c>
      <c r="J291" s="16">
        <f>H291*I291</f>
        <v/>
      </c>
      <c r="K291" s="16" t="n">
        <v/>
      </c>
      <c r="L291" s="5" t="inlineStr"/>
    </row>
    <row r="292" ht="22" customHeight="1">
      <c r="B292" s="17" t="inlineStr">
        <is>
          <t>骑行服</t>
        </is>
      </c>
      <c r="C292" s="8" t="inlineStr">
        <is>
          <t>RAPHA 骑行服 风衣 CRR ¥1430</t>
        </is>
      </c>
      <c r="D292" s="17" t="inlineStr">
        <is>
          <t>RAPHA</t>
        </is>
      </c>
      <c r="E292" s="17" t="inlineStr">
        <is>
          <t>配件</t>
        </is>
      </c>
      <c r="F292" s="18" t="n">
        <v>3</v>
      </c>
      <c r="G292" s="18" t="n">
        <v>0</v>
      </c>
      <c r="H292" s="18">
        <f>F292+G292</f>
        <v/>
      </c>
      <c r="I292" s="18" t="n">
        <v>1001</v>
      </c>
      <c r="J292" s="18">
        <f>H292*I292</f>
        <v/>
      </c>
      <c r="K292" s="18" t="n">
        <v/>
      </c>
      <c r="L292" s="8" t="inlineStr"/>
    </row>
    <row r="293" ht="22" customHeight="1">
      <c r="B293" s="15" t="inlineStr">
        <is>
          <t>骑行服</t>
        </is>
      </c>
      <c r="C293" s="5" t="inlineStr">
        <is>
          <t>RAPHA 骑行服 马甲 BGL ¥1220</t>
        </is>
      </c>
      <c r="D293" s="15" t="inlineStr">
        <is>
          <t>RAPHA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ht="22" customHeight="1">
      <c r="B294" s="17" t="inlineStr">
        <is>
          <t>骑行服</t>
        </is>
      </c>
      <c r="C294" s="8" t="inlineStr">
        <is>
          <t>RAPHA 骑行服 马甲 BIG ¥1720（厚）</t>
        </is>
      </c>
      <c r="D294" s="17" t="inlineStr">
        <is>
          <t>RAPHA</t>
        </is>
      </c>
      <c r="E294" s="17" t="inlineStr">
        <is>
          <t>配件</t>
        </is>
      </c>
      <c r="F294" s="18" t="n">
        <v>4</v>
      </c>
      <c r="G294" s="18" t="n">
        <v>0</v>
      </c>
      <c r="H294" s="18">
        <f>F294+G294</f>
        <v/>
      </c>
      <c r="I294" s="18" t="n">
        <v>1204</v>
      </c>
      <c r="J294" s="18">
        <f>H294*I294</f>
        <v/>
      </c>
      <c r="K294" s="18" t="n">
        <v/>
      </c>
      <c r="L294" s="8" t="inlineStr"/>
    </row>
    <row r="295" ht="22" customHeight="1">
      <c r="B295" s="15" t="inlineStr">
        <is>
          <t>其他小配件</t>
        </is>
      </c>
      <c r="C295" s="5" t="inlineStr">
        <is>
          <t>RC 其他小配件 会员礼盒</t>
        </is>
      </c>
      <c r="D295" s="15" t="inlineStr">
        <is>
          <t>RC</t>
        </is>
      </c>
      <c r="E295" s="15" t="inlineStr">
        <is>
          <t>配件</t>
        </is>
      </c>
      <c r="F295" s="16" t="n">
        <v>20</v>
      </c>
      <c r="G295" s="16" t="n">
        <v>0</v>
      </c>
      <c r="H295" s="16">
        <f>F295+G295</f>
        <v/>
      </c>
      <c r="I295" s="16" t="n">
        <v>300</v>
      </c>
      <c r="J295" s="16">
        <f>H295*I295</f>
        <v/>
      </c>
      <c r="K295" s="16" t="n">
        <v/>
      </c>
      <c r="L295" s="5" t="inlineStr"/>
    </row>
    <row r="296" ht="22" customHeight="1">
      <c r="B296" s="17" t="inlineStr">
        <is>
          <t>骑行服</t>
        </is>
      </c>
      <c r="C296" s="8" t="inlineStr">
        <is>
          <t>RCC 骑行服 拖鞋</t>
        </is>
      </c>
      <c r="D296" s="17" t="inlineStr">
        <is>
          <t>RCC</t>
        </is>
      </c>
      <c r="E296" s="17" t="inlineStr">
        <is>
          <t>配件</t>
        </is>
      </c>
      <c r="F296" s="18" t="n">
        <v>22</v>
      </c>
      <c r="G296" s="18" t="n">
        <v>0</v>
      </c>
      <c r="H296" s="18">
        <f>F296+G296</f>
        <v/>
      </c>
      <c r="I296" s="18" t="n">
        <v>294</v>
      </c>
      <c r="J296" s="18">
        <f>H296*I296</f>
        <v/>
      </c>
      <c r="K296" s="18" t="n">
        <v/>
      </c>
      <c r="L296" s="8" t="inlineStr"/>
    </row>
    <row r="297" ht="22" customHeight="1">
      <c r="B297" s="15" t="inlineStr">
        <is>
          <t>骑行服</t>
        </is>
      </c>
      <c r="C297" s="5" t="inlineStr">
        <is>
          <t>RCC 骑行服 短袖T恤 ¥1220</t>
        </is>
      </c>
      <c r="D297" s="15" t="inlineStr">
        <is>
          <t>RCC</t>
        </is>
      </c>
      <c r="E297" s="15" t="inlineStr">
        <is>
          <t>配件</t>
        </is>
      </c>
      <c r="F297" s="16" t="n">
        <v>2</v>
      </c>
      <c r="G297" s="16" t="n">
        <v>0</v>
      </c>
      <c r="H297" s="16">
        <f>F297+G297</f>
        <v/>
      </c>
      <c r="I297" s="16" t="n">
        <v>854</v>
      </c>
      <c r="J297" s="16">
        <f>H297*I297</f>
        <v/>
      </c>
      <c r="K297" s="16" t="n">
        <v/>
      </c>
      <c r="L297" s="5" t="inlineStr"/>
    </row>
    <row r="298" ht="22" customHeight="1">
      <c r="B298" s="17" t="inlineStr">
        <is>
          <t>骑行服</t>
        </is>
      </c>
      <c r="C298" s="8" t="inlineStr">
        <is>
          <t>RCC 骑行服 连体骑行裤 ¥2450</t>
        </is>
      </c>
      <c r="D298" s="17" t="inlineStr">
        <is>
          <t>RCC</t>
        </is>
      </c>
      <c r="E298" s="17" t="inlineStr">
        <is>
          <t>配件</t>
        </is>
      </c>
      <c r="F298" s="18" t="n">
        <v>2</v>
      </c>
      <c r="G298" s="18" t="n">
        <v>0</v>
      </c>
      <c r="H298" s="18">
        <f>F298+G298</f>
        <v/>
      </c>
      <c r="I298" s="18" t="n">
        <v>1715</v>
      </c>
      <c r="J298" s="18">
        <f>H298*I298</f>
        <v/>
      </c>
      <c r="K298" s="18" t="n">
        <v/>
      </c>
      <c r="L298" s="8" t="inlineStr"/>
    </row>
    <row r="299" ht="22" customHeight="1">
      <c r="B299" s="15" t="inlineStr">
        <is>
          <t>骑行服</t>
        </is>
      </c>
      <c r="C299" s="5" t="inlineStr">
        <is>
          <t>RCC 骑行服 马甲 ¥1000</t>
        </is>
      </c>
      <c r="D299" s="15" t="inlineStr">
        <is>
          <t>RCC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700</v>
      </c>
      <c r="J299" s="16">
        <f>H299*I299</f>
        <v/>
      </c>
      <c r="K299" s="16" t="n">
        <v/>
      </c>
      <c r="L299" s="5" t="inlineStr"/>
    </row>
    <row r="300" ht="22" customHeight="1">
      <c r="B300" s="17" t="inlineStr">
        <is>
          <t>骑行服</t>
        </is>
      </c>
      <c r="C300" s="8" t="inlineStr">
        <is>
          <t>RCC 骑行服 骑行裤 ¥2900</t>
        </is>
      </c>
      <c r="D300" s="17" t="inlineStr">
        <is>
          <t>RCC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2030</v>
      </c>
      <c r="J300" s="18">
        <f>H300*I300</f>
        <v/>
      </c>
      <c r="K300" s="18" t="n">
        <v/>
      </c>
      <c r="L300" s="8" t="inlineStr"/>
    </row>
    <row r="301" ht="22" customHeight="1">
      <c r="B301" s="15" t="inlineStr">
        <is>
          <t>其他小配件</t>
        </is>
      </c>
      <c r="C301" s="5" t="inlineStr">
        <is>
          <t>S- PARTS 其他小配件 shimano R8150 变速传动套装</t>
        </is>
      </c>
      <c r="D301" s="15" t="inlineStr">
        <is>
          <t>S- PARTS</t>
        </is>
      </c>
      <c r="E301" s="15" t="inlineStr">
        <is>
          <t>配件</t>
        </is>
      </c>
      <c r="F301" s="16" t="n">
        <v>4</v>
      </c>
      <c r="G301" s="16" t="n">
        <v>0</v>
      </c>
      <c r="H301" s="16">
        <f>F301+G301</f>
        <v/>
      </c>
      <c r="I301" s="16" t="n">
        <v>213.5</v>
      </c>
      <c r="J301" s="16">
        <f>H301*I301</f>
        <v/>
      </c>
      <c r="K301" s="16" t="n">
        <v/>
      </c>
      <c r="L301" s="5" t="inlineStr"/>
    </row>
    <row r="302" ht="22" customHeight="1">
      <c r="B302" s="17" t="inlineStr">
        <is>
          <t>其他小配件</t>
        </is>
      </c>
      <c r="C302" s="8" t="inlineStr">
        <is>
          <t>S- PARTS 其他小配件 shimano R9250 变速传动套装</t>
        </is>
      </c>
      <c r="D302" s="17" t="inlineStr">
        <is>
          <t>S- PARTS</t>
        </is>
      </c>
      <c r="E302" s="17" t="inlineStr">
        <is>
          <t>配件</t>
        </is>
      </c>
      <c r="F302" s="18" t="n">
        <v>1</v>
      </c>
      <c r="G302" s="18" t="n">
        <v>0</v>
      </c>
      <c r="H302" s="18">
        <f>F302+G302</f>
        <v/>
      </c>
      <c r="I302" s="18" t="n">
        <v>213.5</v>
      </c>
      <c r="J302" s="18">
        <f>H302*I302</f>
        <v/>
      </c>
      <c r="K302" s="18" t="n">
        <v/>
      </c>
      <c r="L302" s="8" t="inlineStr"/>
    </row>
    <row r="303" ht="22" customHeight="1">
      <c r="B303" s="15" t="inlineStr">
        <is>
          <t>其他小配件</t>
        </is>
      </c>
      <c r="C303" s="5" t="inlineStr">
        <is>
          <t>S-PARTS 其他小配件 PINA  筒轴杆</t>
        </is>
      </c>
      <c r="D303" s="15" t="inlineStr">
        <is>
          <t>S-PARTS</t>
        </is>
      </c>
      <c r="E303" s="15" t="inlineStr">
        <is>
          <t>配件</t>
        </is>
      </c>
      <c r="F303" s="16" t="n">
        <v>5</v>
      </c>
      <c r="G303" s="16" t="n">
        <v>0</v>
      </c>
      <c r="H303" s="16">
        <f>F303+G303</f>
        <v/>
      </c>
      <c r="I303" s="16" t="n">
        <v>454</v>
      </c>
      <c r="J303" s="16">
        <f>H303*I303</f>
        <v/>
      </c>
      <c r="K303" s="16" t="n">
        <v/>
      </c>
      <c r="L303" s="5" t="inlineStr"/>
    </row>
    <row r="304" ht="22" customHeight="1">
      <c r="B304" s="17" t="inlineStr">
        <is>
          <t>其他小配件</t>
        </is>
      </c>
      <c r="C304" s="8" t="inlineStr">
        <is>
          <t>S-PARTS 其他小配件 中锁碟片压盖</t>
        </is>
      </c>
      <c r="D304" s="17" t="inlineStr">
        <is>
          <t>S-PARTS</t>
        </is>
      </c>
      <c r="E304" s="17" t="inlineStr">
        <is>
          <t>配件</t>
        </is>
      </c>
      <c r="F304" s="18" t="n">
        <v>11</v>
      </c>
      <c r="G304" s="18" t="n">
        <v>0</v>
      </c>
      <c r="H304" s="18">
        <f>F304+G304</f>
        <v/>
      </c>
      <c r="I304" s="18" t="n">
        <v>109</v>
      </c>
      <c r="J304" s="18">
        <f>H304*I304</f>
        <v/>
      </c>
      <c r="K304" s="18" t="n">
        <v/>
      </c>
      <c r="L304" s="8" t="inlineStr"/>
    </row>
    <row r="305" ht="22" customHeight="1">
      <c r="B305" s="15" t="inlineStr">
        <is>
          <t>其他小配件</t>
        </is>
      </c>
      <c r="C305" s="5" t="inlineStr">
        <is>
          <t>S-PARTS 其他小配件 棒棒糖锁踏</t>
        </is>
      </c>
      <c r="D305" s="15" t="inlineStr">
        <is>
          <t>S-PARTS</t>
        </is>
      </c>
      <c r="E305" s="15" t="inlineStr">
        <is>
          <t>配件</t>
        </is>
      </c>
      <c r="F305" s="16" t="n">
        <v>3</v>
      </c>
      <c r="G305" s="16" t="n">
        <v>0</v>
      </c>
      <c r="H305" s="16">
        <f>F305+G305</f>
        <v/>
      </c>
      <c r="I305" s="16" t="n">
        <v>178</v>
      </c>
      <c r="J305" s="16">
        <f>H305*I305</f>
        <v/>
      </c>
      <c r="K305" s="16" t="n">
        <v/>
      </c>
      <c r="L305" s="5" t="inlineStr"/>
    </row>
    <row r="306" ht="22" customHeight="1">
      <c r="B306" s="17" t="inlineStr">
        <is>
          <t>其他小配件</t>
        </is>
      </c>
      <c r="C306" s="8" t="inlineStr">
        <is>
          <t>S-PARTS 其他小配件 碟刹套装（SHIMANO R8170）</t>
        </is>
      </c>
      <c r="D306" s="17" t="inlineStr">
        <is>
          <t>S-PARTS</t>
        </is>
      </c>
      <c r="E306" s="17" t="inlineStr">
        <is>
          <t>配件</t>
        </is>
      </c>
      <c r="F306" s="18" t="n">
        <v>3</v>
      </c>
      <c r="G306" s="18" t="n">
        <v>0</v>
      </c>
      <c r="H306" s="18">
        <f>F306+G306</f>
        <v/>
      </c>
      <c r="I306" s="18" t="n">
        <v>278</v>
      </c>
      <c r="J306" s="18">
        <f>H306*I306</f>
        <v/>
      </c>
      <c r="K306" s="18" t="n">
        <v/>
      </c>
      <c r="L306" s="8" t="inlineStr"/>
    </row>
    <row r="307" ht="22" customHeight="1">
      <c r="B307" s="15" t="inlineStr">
        <is>
          <t>其他小配件</t>
        </is>
      </c>
      <c r="C307" s="5" t="inlineStr">
        <is>
          <t>S-PARTS 其他小配件 碟刹套装（SHIMANO R9270）</t>
        </is>
      </c>
      <c r="D307" s="15" t="inlineStr">
        <is>
          <t>S-PARTS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252</v>
      </c>
      <c r="J307" s="16">
        <f>H307*I307</f>
        <v/>
      </c>
      <c r="K307" s="16" t="n">
        <v/>
      </c>
      <c r="L307" s="5" t="inlineStr"/>
    </row>
    <row r="308" ht="22" customHeight="1">
      <c r="B308" s="17" t="inlineStr">
        <is>
          <t>其他小配件</t>
        </is>
      </c>
      <c r="C308" s="8" t="inlineStr">
        <is>
          <t>SRAM 其他小配件 充电器</t>
        </is>
      </c>
      <c r="D308" s="17" t="inlineStr">
        <is>
          <t>SRAM</t>
        </is>
      </c>
      <c r="E308" s="17" t="inlineStr">
        <is>
          <t>配件</t>
        </is>
      </c>
      <c r="F308" s="18" t="n">
        <v>20</v>
      </c>
      <c r="G308" s="18" t="n">
        <v>0</v>
      </c>
      <c r="H308" s="18">
        <f>F308+G308</f>
        <v/>
      </c>
      <c r="I308" s="18" t="n">
        <v>250</v>
      </c>
      <c r="J308" s="18">
        <f>H308*I308</f>
        <v/>
      </c>
      <c r="K308" s="18" t="n">
        <v/>
      </c>
      <c r="L308" s="8" t="inlineStr"/>
    </row>
    <row r="309" ht="22" customHeight="1">
      <c r="B309" s="15" t="inlineStr">
        <is>
          <t>其他小配件</t>
        </is>
      </c>
      <c r="C309" s="5" t="inlineStr">
        <is>
          <t>SRAM 其他小配件 电池</t>
        </is>
      </c>
      <c r="D309" s="15" t="inlineStr">
        <is>
          <t>SRAM</t>
        </is>
      </c>
      <c r="E309" s="15" t="inlineStr">
        <is>
          <t>配件</t>
        </is>
      </c>
      <c r="F309" s="16" t="n">
        <v>35</v>
      </c>
      <c r="G309" s="16" t="n">
        <v>0</v>
      </c>
      <c r="H309" s="16">
        <f>F309+G309</f>
        <v/>
      </c>
      <c r="I309" s="16" t="n">
        <v>220</v>
      </c>
      <c r="J309" s="16">
        <f>H309*I309</f>
        <v/>
      </c>
      <c r="K309" s="16" t="n">
        <v/>
      </c>
      <c r="L309" s="5" t="inlineStr"/>
    </row>
    <row r="310" ht="22" customHeight="1">
      <c r="B310" s="17" t="inlineStr">
        <is>
          <t>其他小配件</t>
        </is>
      </c>
      <c r="C310" s="8" t="inlineStr">
        <is>
          <t>VACUUM 其他小配件 VACUUM 自行车手机支架</t>
        </is>
      </c>
      <c r="D310" s="17" t="inlineStr">
        <is>
          <t>VACUUM</t>
        </is>
      </c>
      <c r="E310" s="17" t="inlineStr">
        <is>
          <t>配件</t>
        </is>
      </c>
      <c r="F310" s="18" t="n">
        <v>2</v>
      </c>
      <c r="G310" s="18" t="n">
        <v>0</v>
      </c>
      <c r="H310" s="18">
        <f>F310+G310</f>
        <v/>
      </c>
      <c r="I310" s="18" t="n">
        <v>31</v>
      </c>
      <c r="J310" s="18">
        <f>H310*I310</f>
        <v/>
      </c>
      <c r="K310" s="18" t="n">
        <v/>
      </c>
      <c r="L310" s="8" t="inlineStr"/>
    </row>
    <row r="311" ht="22" customHeight="1">
      <c r="B311" s="15" t="inlineStr">
        <is>
          <t>骑行服</t>
        </is>
      </c>
      <c r="C311" s="5" t="inlineStr">
        <is>
          <t>VB 骑行服 短袖上衣T恤 ¥2080</t>
        </is>
      </c>
      <c r="D311" s="15" t="inlineStr">
        <is>
          <t>VB</t>
        </is>
      </c>
      <c r="E311" s="15" t="inlineStr">
        <is>
          <t>配件</t>
        </is>
      </c>
      <c r="F311" s="16" t="n">
        <v>5</v>
      </c>
      <c r="G311" s="16" t="n">
        <v>0</v>
      </c>
      <c r="H311" s="16">
        <f>F311+G311</f>
        <v/>
      </c>
      <c r="I311" s="16" t="n">
        <v>1456</v>
      </c>
      <c r="J311" s="16">
        <f>H311*I311</f>
        <v/>
      </c>
      <c r="K311" s="16" t="n">
        <v/>
      </c>
      <c r="L311" s="5" t="inlineStr"/>
    </row>
    <row r="312" ht="22" customHeight="1">
      <c r="B312" s="17" t="inlineStr">
        <is>
          <t>骑行服</t>
        </is>
      </c>
      <c r="C312" s="8" t="inlineStr">
        <is>
          <t>VB 骑行服 连体骑行短裤 ¥2280</t>
        </is>
      </c>
      <c r="D312" s="17" t="inlineStr">
        <is>
          <t>VB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1596</v>
      </c>
      <c r="J312" s="18">
        <f>H312*I312</f>
        <v/>
      </c>
      <c r="K312" s="18" t="n">
        <v/>
      </c>
      <c r="L312" s="8" t="inlineStr"/>
    </row>
    <row r="313" ht="22" customHeight="1">
      <c r="B313" s="15" t="inlineStr">
        <is>
          <t>其他小配件</t>
        </is>
      </c>
      <c r="C313" s="5" t="inlineStr">
        <is>
          <t>VOSO 其他小配件 真空气嘴70L</t>
        </is>
      </c>
      <c r="D313" s="15" t="inlineStr">
        <is>
          <t>VOSO</t>
        </is>
      </c>
      <c r="E313" s="15" t="inlineStr">
        <is>
          <t>配件</t>
        </is>
      </c>
      <c r="F313" s="16" t="n">
        <v>10</v>
      </c>
      <c r="G313" s="16" t="n">
        <v>0</v>
      </c>
      <c r="H313" s="16">
        <f>F313+G313</f>
        <v/>
      </c>
      <c r="I313" s="16" t="n">
        <v>50</v>
      </c>
      <c r="J313" s="16">
        <f>H313*I313</f>
        <v/>
      </c>
      <c r="K313" s="16" t="n">
        <v/>
      </c>
      <c r="L313" s="5" t="inlineStr"/>
    </row>
    <row r="314" ht="22" customHeight="1">
      <c r="B314" s="17" t="inlineStr">
        <is>
          <t>其他小配件</t>
        </is>
      </c>
      <c r="C314" s="8" t="inlineStr">
        <is>
          <t>WAHOO 其他小配件 KICKR SNAP 142*12筒轴转接器</t>
        </is>
      </c>
      <c r="D314" s="17" t="inlineStr">
        <is>
          <t>WAHOO</t>
        </is>
      </c>
      <c r="E314" s="17" t="inlineStr">
        <is>
          <t>配件</t>
        </is>
      </c>
      <c r="F314" s="18" t="n">
        <v>1</v>
      </c>
      <c r="G314" s="18" t="n">
        <v>0</v>
      </c>
      <c r="H314" s="18">
        <f>F314+G314</f>
        <v/>
      </c>
      <c r="I314" s="18" t="n">
        <v>286</v>
      </c>
      <c r="J314" s="18">
        <f>H314*I314</f>
        <v/>
      </c>
      <c r="K314" s="18" t="n">
        <v/>
      </c>
      <c r="L314" s="8" t="inlineStr"/>
    </row>
    <row r="315" ht="22" customHeight="1">
      <c r="B315" s="15" t="inlineStr">
        <is>
          <t>骑行服</t>
        </is>
      </c>
      <c r="C315" s="5" t="inlineStr">
        <is>
          <t>其他 骑行服 断码外套 ¥888</t>
        </is>
      </c>
      <c r="D315" s="15" t="inlineStr">
        <is>
          <t>其他</t>
        </is>
      </c>
      <c r="E315" s="15" t="inlineStr">
        <is>
          <t>配件</t>
        </is>
      </c>
      <c r="F315" s="16" t="n">
        <v>1</v>
      </c>
      <c r="G315" s="16" t="n">
        <v>0</v>
      </c>
      <c r="H315" s="16">
        <f>F315+G315</f>
        <v/>
      </c>
      <c r="I315" s="16" t="n">
        <v>622</v>
      </c>
      <c r="J315" s="16">
        <f>H315*I315</f>
        <v/>
      </c>
      <c r="K315" s="16" t="n">
        <v/>
      </c>
      <c r="L315" s="5" t="inlineStr"/>
    </row>
    <row r="316" ht="22" customHeight="1">
      <c r="B316" s="17" t="inlineStr">
        <is>
          <t>骑行服</t>
        </is>
      </c>
      <c r="C316" s="8" t="inlineStr">
        <is>
          <t>其他 骑行服 断码风衣 ¥1650</t>
        </is>
      </c>
      <c r="D316" s="17" t="inlineStr">
        <is>
          <t>其他</t>
        </is>
      </c>
      <c r="E316" s="17" t="inlineStr">
        <is>
          <t>配件</t>
        </is>
      </c>
      <c r="F316" s="18" t="n">
        <v>1</v>
      </c>
      <c r="G316" s="18" t="n">
        <v>0</v>
      </c>
      <c r="H316" s="18">
        <f>F316+G316</f>
        <v/>
      </c>
      <c r="I316" s="18" t="n">
        <v>1155</v>
      </c>
      <c r="J316" s="18">
        <f>H316*I316</f>
        <v/>
      </c>
      <c r="K316" s="18" t="n">
        <v/>
      </c>
      <c r="L316" s="8" t="inlineStr"/>
    </row>
    <row r="317" ht="22" customHeight="1">
      <c r="B317" s="15" t="inlineStr">
        <is>
          <t>骑行服</t>
        </is>
      </c>
      <c r="C317" s="5" t="inlineStr">
        <is>
          <t>其他 骑行服 断码骑行短裤 ¥1298</t>
        </is>
      </c>
      <c r="D317" s="15" t="inlineStr">
        <is>
          <t>其他</t>
        </is>
      </c>
      <c r="E317" s="15" t="inlineStr">
        <is>
          <t>配件</t>
        </is>
      </c>
      <c r="F317" s="16" t="n">
        <v>18</v>
      </c>
      <c r="G317" s="16" t="n">
        <v>0</v>
      </c>
      <c r="H317" s="16">
        <f>F317+G317</f>
        <v/>
      </c>
      <c r="I317" s="16" t="n">
        <v>909</v>
      </c>
      <c r="J317" s="16">
        <f>H317*I317</f>
        <v/>
      </c>
      <c r="K317" s="16" t="n">
        <v/>
      </c>
      <c r="L317" s="5" t="inlineStr"/>
    </row>
    <row r="318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锁踏</t>
        </is>
      </c>
      <c r="C20" s="8" t="inlineStr">
        <is>
          <t>DA 锁踏 PDR 9100</t>
        </is>
      </c>
      <c r="D20" s="17" t="inlineStr">
        <is>
          <t>DA</t>
        </is>
      </c>
      <c r="E20" s="17" t="inlineStr">
        <is>
          <t>正常商品</t>
        </is>
      </c>
      <c r="F20" s="18" t="n">
        <v>103</v>
      </c>
      <c r="G20" s="18" t="n">
        <v>106090</v>
      </c>
      <c r="H20" s="18" t="n">
        <v>102</v>
      </c>
      <c r="I20" s="18" t="n">
        <v>105060</v>
      </c>
      <c r="J20" s="25">
        <f>H20-F20</f>
        <v/>
      </c>
      <c r="K20" s="25">
        <f>I20-G20</f>
        <v/>
      </c>
    </row>
    <row r="21" ht="22" customHeight="1">
      <c r="B21" s="15" t="inlineStr">
        <is>
          <t>链条</t>
        </is>
      </c>
      <c r="C21" s="5" t="inlineStr">
        <is>
          <t>RIVAL 链条 E1 链条</t>
        </is>
      </c>
      <c r="D21" s="15" t="inlineStr">
        <is>
          <t>RIVAL</t>
        </is>
      </c>
      <c r="E21" s="15" t="inlineStr">
        <is>
          <t>正常商品</t>
        </is>
      </c>
      <c r="F21" s="16" t="n">
        <v>30</v>
      </c>
      <c r="G21" s="16" t="n">
        <v>5550</v>
      </c>
      <c r="H21" s="16" t="n">
        <v>29</v>
      </c>
      <c r="I21" s="16" t="n">
        <v>5365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ht="22" customHeight="1">
      <c r="B30" s="19" t="inlineStr">
        <is>
          <t xml:space="preserve">  Pinarello 小计</t>
        </is>
      </c>
      <c r="C30" s="11" t="n"/>
      <c r="D30" s="12">
        <f>SUM(E9:E29)</f>
        <v/>
      </c>
      <c r="E30" s="12">
        <f>SUM(F9:F29)</f>
        <v/>
      </c>
      <c r="F30" s="12">
        <f>SUM(G9:G29)</f>
        <v/>
      </c>
      <c r="G30" s="12">
        <f>SUM(H9:H29)</f>
        <v/>
      </c>
      <c r="H30" s="12">
        <f>SUM(I9:I29)</f>
        <v/>
      </c>
      <c r="I30" s="12">
        <f>SUM(J9:J29)</f>
        <v/>
      </c>
      <c r="J30" s="12">
        <f>SUM(K9:K29)</f>
        <v/>
      </c>
      <c r="K30" s="12">
        <f>SUM(L9:L29)</f>
        <v/>
      </c>
      <c r="L30" s="12">
        <f>SUM(M9:M29)</f>
        <v/>
      </c>
      <c r="M30" s="12">
        <f>SUM(N9:N29)</f>
        <v/>
      </c>
      <c r="N30" s="11" t="n"/>
      <c r="O30" s="12">
        <f>SUM(P9:P29)</f>
        <v/>
      </c>
      <c r="P30" s="11" t="n"/>
      <c r="Q30" s="11" t="n"/>
    </row>
    <row r="31" ht="20" customHeight="1">
      <c r="B31" s="14" t="inlineStr">
        <is>
          <t xml:space="preserve">  ▸ 非 Pinarello</t>
        </is>
      </c>
    </row>
    <row r="3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ht="22" customHeight="1">
      <c r="B49" s="19" t="inlineStr">
        <is>
          <t xml:space="preserve">  非 Pinarello 小计</t>
        </is>
      </c>
      <c r="C49" s="11" t="n"/>
      <c r="D49" s="12">
        <f>SUM(E32:E48)</f>
        <v/>
      </c>
      <c r="E49" s="12">
        <f>SUM(F32:F48)</f>
        <v/>
      </c>
      <c r="F49" s="12">
        <f>SUM(G32:G48)</f>
        <v/>
      </c>
      <c r="G49" s="12">
        <f>SUM(H32:H48)</f>
        <v/>
      </c>
      <c r="H49" s="12">
        <f>SUM(I32:I48)</f>
        <v/>
      </c>
      <c r="I49" s="12">
        <f>SUM(J32:J48)</f>
        <v/>
      </c>
      <c r="J49" s="12">
        <f>SUM(K32:K48)</f>
        <v/>
      </c>
      <c r="K49" s="12">
        <f>SUM(L32:L48)</f>
        <v/>
      </c>
      <c r="L49" s="12">
        <f>SUM(M32:M48)</f>
        <v/>
      </c>
      <c r="M49" s="12">
        <f>SUM(N32:N48)</f>
        <v/>
      </c>
      <c r="N49" s="11" t="n"/>
      <c r="O49" s="12">
        <f>SUM(P32:P48)</f>
        <v/>
      </c>
      <c r="P49" s="11" t="n"/>
      <c r="Q49" s="11" t="n"/>
    </row>
    <row r="51" ht="26" customHeight="1">
      <c r="B51" s="27" t="inlineStr">
        <is>
          <t>▸  郭城</t>
        </is>
      </c>
    </row>
    <row r="52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11800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2">
        <f>SUM(E52:E64)</f>
        <v/>
      </c>
      <c r="E65" s="12">
        <f>SUM(F52:F64)</f>
        <v/>
      </c>
      <c r="F65" s="12">
        <f>SUM(G52:G64)</f>
        <v/>
      </c>
      <c r="G65" s="12">
        <f>SUM(H52:H64)</f>
        <v/>
      </c>
      <c r="H65" s="12">
        <f>SUM(I52:I64)</f>
        <v/>
      </c>
      <c r="I65" s="12">
        <f>SUM(J52:J64)</f>
        <v/>
      </c>
      <c r="J65" s="12">
        <f>SUM(K52:K64)</f>
        <v/>
      </c>
      <c r="K65" s="12">
        <f>SUM(L52:L64)</f>
        <v/>
      </c>
      <c r="L65" s="12">
        <f>SUM(M52:M64)</f>
        <v/>
      </c>
      <c r="M65" s="12">
        <f>SUM(N52:N64)</f>
        <v/>
      </c>
      <c r="N65" s="11" t="n"/>
      <c r="O65" s="12">
        <f>SUM(P52:P64)</f>
        <v/>
      </c>
      <c r="P65" s="11" t="n"/>
      <c r="Q65" s="11" t="n"/>
    </row>
    <row r="67" ht="26" customHeight="1">
      <c r="B67" s="27" t="inlineStr">
        <is>
          <t>▸  潘昊</t>
        </is>
      </c>
    </row>
    <row r="68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2">
        <f>SUM(E68:E83)</f>
        <v/>
      </c>
      <c r="E84" s="12">
        <f>SUM(F68:F83)</f>
        <v/>
      </c>
      <c r="F84" s="12">
        <f>SUM(G68:G83)</f>
        <v/>
      </c>
      <c r="G84" s="12">
        <f>SUM(H68:H83)</f>
        <v/>
      </c>
      <c r="H84" s="12">
        <f>SUM(I68:I83)</f>
        <v/>
      </c>
      <c r="I84" s="12">
        <f>SUM(J68:J83)</f>
        <v/>
      </c>
      <c r="J84" s="12">
        <f>SUM(K68:K83)</f>
        <v/>
      </c>
      <c r="K84" s="12">
        <f>SUM(L68:L83)</f>
        <v/>
      </c>
      <c r="L84" s="12">
        <f>SUM(M68:M83)</f>
        <v/>
      </c>
      <c r="M84" s="12">
        <f>SUM(N68:N83)</f>
        <v/>
      </c>
      <c r="N84" s="11" t="n"/>
      <c r="O84" s="12">
        <f>SUM(P68:P83)</f>
        <v/>
      </c>
      <c r="P84" s="11" t="n"/>
      <c r="Q84" s="11" t="n"/>
    </row>
    <row r="86" ht="26" customHeight="1">
      <c r="B86" s="27" t="inlineStr">
        <is>
          <t>▸  海尔</t>
        </is>
      </c>
    </row>
    <row r="87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2">
        <f>SUM(E87:E91)</f>
        <v/>
      </c>
      <c r="E92" s="12">
        <f>SUM(F87:F91)</f>
        <v/>
      </c>
      <c r="F92" s="12">
        <f>SUM(G87:G91)</f>
        <v/>
      </c>
      <c r="G92" s="12">
        <f>SUM(H87:H91)</f>
        <v/>
      </c>
      <c r="H92" s="12">
        <f>SUM(I87:I91)</f>
        <v/>
      </c>
      <c r="I92" s="12">
        <f>SUM(J87:J91)</f>
        <v/>
      </c>
      <c r="J92" s="12">
        <f>SUM(K87:K91)</f>
        <v/>
      </c>
      <c r="K92" s="12">
        <f>SUM(L87:L91)</f>
        <v/>
      </c>
      <c r="L92" s="12">
        <f>SUM(M87:M91)</f>
        <v/>
      </c>
      <c r="M92" s="12">
        <f>SUM(N87:N91)</f>
        <v/>
      </c>
      <c r="N92" s="11" t="n"/>
      <c r="O92" s="12">
        <f>SUM(P87:P91)</f>
        <v/>
      </c>
      <c r="P92" s="11" t="n"/>
      <c r="Q92" s="11" t="n"/>
    </row>
    <row r="94" ht="26" customHeight="1">
      <c r="B94" s="27" t="inlineStr">
        <is>
          <t>▸  程总</t>
        </is>
      </c>
    </row>
    <row r="95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2">
        <f>SUM(E95:E95)</f>
        <v/>
      </c>
      <c r="E96" s="12">
        <f>SUM(F95:F95)</f>
        <v/>
      </c>
      <c r="F96" s="12">
        <f>SUM(G95:G95)</f>
        <v/>
      </c>
      <c r="G96" s="12">
        <f>SUM(H95:H95)</f>
        <v/>
      </c>
      <c r="H96" s="12">
        <f>SUM(I95:I95)</f>
        <v/>
      </c>
      <c r="I96" s="12">
        <f>SUM(J95:J95)</f>
        <v/>
      </c>
      <c r="J96" s="12">
        <f>SUM(K95:K95)</f>
        <v/>
      </c>
      <c r="K96" s="12">
        <f>SUM(L95:L95)</f>
        <v/>
      </c>
      <c r="L96" s="12">
        <f>SUM(M95:M95)</f>
        <v/>
      </c>
      <c r="M96" s="12">
        <f>SUM(N95:N95)</f>
        <v/>
      </c>
      <c r="N96" s="11" t="n"/>
      <c r="O96" s="12">
        <f>SUM(P95:P95)</f>
        <v/>
      </c>
      <c r="P96" s="11" t="n"/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2026-03-13T09:00:34Z</dcterms:created>
  <dcterms:modified xsi:type="dcterms:W3CDTF">2026-03-13T09:00:34Z</dcterms:modified>
</cp:coreProperties>
</file>