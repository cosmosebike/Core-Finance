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库存SKU明细" sheetId="2" state="visible" r:id="rId4"/>
    <sheet name="库存清理跟踪" sheetId="3" state="visible" r:id="rId5"/>
    <sheet name="特殊出入库审计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<sst xmlns="http://schemas.openxmlformats.org/spreadsheetml/2006/main" count="3487" uniqueCount="838">
  <si>
    <t xml:space="preserve">公路车库存中心</t>
  </si>
  <si>
    <r>
      <rPr>
        <sz val="9"/>
        <color rgb="FF999999"/>
        <rFont val="DejaVu Sans"/>
        <family val="2"/>
      </rPr>
      <t xml:space="preserve">宇宙销售统计中心 </t>
    </r>
    <r>
      <rPr>
        <sz val="9"/>
        <color rgb="FF999999"/>
        <rFont val="Arial"/>
        <family val="0"/>
        <charset val="1"/>
      </rPr>
      <t xml:space="preserve">· 2026</t>
    </r>
    <r>
      <rPr>
        <sz val="9"/>
        <color rgb="FF999999"/>
        <rFont val="DejaVu Sans"/>
        <family val="2"/>
      </rPr>
      <t xml:space="preserve">年度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截至 </t>
    </r>
    <r>
      <rPr>
        <sz val="9"/>
        <color rgb="FF999999"/>
        <rFont val="Arial"/>
        <family val="0"/>
        <charset val="1"/>
      </rPr>
      <t xml:space="preserve">2026-03-11</t>
    </r>
  </si>
  <si>
    <r>
      <rPr>
        <b val="true"/>
        <sz val="11"/>
        <color rgb="FF111111"/>
        <rFont val="DejaVu Sans"/>
        <family val="2"/>
      </rPr>
      <t xml:space="preserve">库存总量 </t>
    </r>
    <r>
      <rPr>
        <b val="true"/>
        <sz val="11"/>
        <color rgb="FF111111"/>
        <rFont val="Times New Roman"/>
        <family val="0"/>
        <charset val="1"/>
      </rPr>
      <t xml:space="preserve">· </t>
    </r>
    <r>
      <rPr>
        <b val="true"/>
        <sz val="11"/>
        <color rgb="FF111111"/>
        <rFont val="DejaVu Sans"/>
        <family val="2"/>
      </rPr>
      <t xml:space="preserve">按级别</t>
    </r>
  </si>
  <si>
    <t xml:space="preserve">库存级别</t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</si>
  <si>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数</t>
    </r>
  </si>
  <si>
    <t xml:space="preserve">库存件数</t>
  </si>
  <si>
    <r>
      <rPr>
        <b val="true"/>
        <sz val="8"/>
        <color rgb="FF111111"/>
        <rFont val="DejaVu Sans"/>
        <family val="2"/>
      </rPr>
      <t xml:space="preserve">库存成本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元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</si>
  <si>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占比</t>
  </si>
  <si>
    <t xml:space="preserve">说明</t>
  </si>
  <si>
    <t xml:space="preserve">清理库存</t>
  </si>
  <si>
    <r>
      <rPr>
        <sz val="9"/>
        <color rgb="FF999999"/>
        <rFont val="DejaVu Sans"/>
        <family val="2"/>
      </rPr>
      <t xml:space="preserve">正在清理</t>
    </r>
    <r>
      <rPr>
        <sz val="9"/>
        <color rgb="FF999999"/>
        <rFont val="Arial"/>
        <family val="0"/>
        <charset val="1"/>
      </rPr>
      <t xml:space="preserve">·</t>
    </r>
    <r>
      <rPr>
        <sz val="9"/>
        <color rgb="FF999999"/>
        <rFont val="DejaVu Sans"/>
        <family val="2"/>
      </rPr>
      <t xml:space="preserve">见</t>
    </r>
    <r>
      <rPr>
        <sz val="9"/>
        <color rgb="FF999999"/>
        <rFont val="Arial"/>
        <family val="0"/>
        <charset val="1"/>
      </rPr>
      <t xml:space="preserve">Sheet3</t>
    </r>
    <r>
      <rPr>
        <sz val="9"/>
        <color rgb="FF999999"/>
        <rFont val="DejaVu Sans"/>
        <family val="2"/>
      </rPr>
      <t xml:space="preserve">跟踪</t>
    </r>
  </si>
  <si>
    <t xml:space="preserve">高价商品</t>
  </si>
  <si>
    <r>
      <rPr>
        <sz val="9"/>
        <color rgb="FF999999"/>
        <rFont val="DejaVu Sans"/>
        <family val="2"/>
      </rPr>
      <t xml:space="preserve">高单价</t>
    </r>
    <r>
      <rPr>
        <sz val="9"/>
        <color rgb="FF999999"/>
        <rFont val="Arial"/>
        <family val="0"/>
        <charset val="1"/>
      </rPr>
      <t xml:space="preserve">·</t>
    </r>
    <r>
      <rPr>
        <sz val="9"/>
        <color rgb="FF999999"/>
        <rFont val="DejaVu Sans"/>
        <family val="2"/>
      </rPr>
      <t xml:space="preserve">谨慎管理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</si>
  <si>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待处理库存</t>
    </r>
  </si>
  <si>
    <t xml:space="preserve">待定处理</t>
  </si>
  <si>
    <t xml:space="preserve">正常商品</t>
  </si>
  <si>
    <t xml:space="preserve">套件类</t>
  </si>
  <si>
    <t xml:space="preserve">自营产品</t>
  </si>
  <si>
    <t xml:space="preserve">配件</t>
  </si>
  <si>
    <t xml:space="preserve">铺货商品</t>
  </si>
  <si>
    <r>
      <rPr>
        <sz val="9"/>
        <color rgb="FF999999"/>
        <rFont val="DejaVu Sans"/>
        <family val="2"/>
      </rPr>
      <t xml:space="preserve">铺货给合作方</t>
    </r>
    <r>
      <rPr>
        <sz val="9"/>
        <color rgb="FF999999"/>
        <rFont val="Arial"/>
        <family val="0"/>
        <charset val="1"/>
      </rPr>
      <t xml:space="preserve">·</t>
    </r>
    <r>
      <rPr>
        <sz val="9"/>
        <color rgb="FF999999"/>
        <rFont val="DejaVu Sans"/>
        <family val="2"/>
      </rPr>
      <t xml:space="preserve">成本归零</t>
    </r>
  </si>
  <si>
    <t xml:space="preserve">合计</t>
  </si>
  <si>
    <t xml:space="preserve">需跟进的问题（按业务影响）</t>
  </si>
  <si>
    <t xml:space="preserve">#</t>
  </si>
  <si>
    <t xml:space="preserve">问题</t>
  </si>
  <si>
    <t xml:space="preserve">建议</t>
  </si>
  <si>
    <t xml:space="preserve">01</t>
  </si>
  <si>
    <r>
      <rPr>
        <sz val="9"/>
        <color rgb="FF111111"/>
        <rFont val="DejaVu Sans"/>
        <family val="2"/>
      </rPr>
      <t xml:space="preserve">差异调剂</t>
    </r>
    <r>
      <rPr>
        <sz val="9"/>
        <color rgb="FF111111"/>
        <rFont val="Arial"/>
        <family val="0"/>
        <charset val="1"/>
      </rPr>
      <t xml:space="preserve">7</t>
    </r>
    <r>
      <rPr>
        <sz val="9"/>
        <color rgb="FF111111"/>
        <rFont val="DejaVu Sans"/>
        <family val="2"/>
      </rPr>
      <t xml:space="preserve">件出库无关联订单（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/UT</t>
    </r>
    <r>
      <rPr>
        <sz val="9"/>
        <color rgb="FF111111"/>
        <rFont val="DejaVu Sans"/>
        <family val="2"/>
      </rPr>
      <t xml:space="preserve">碟片</t>
    </r>
    <r>
      <rPr>
        <sz val="9"/>
        <color rgb="FF111111"/>
        <rFont val="Arial"/>
        <family val="0"/>
        <charset val="1"/>
      </rPr>
      <t xml:space="preserve">/ILLUSION</t>
    </r>
    <r>
      <rPr>
        <sz val="9"/>
        <color rgb="FF111111"/>
        <rFont val="DejaVu Sans"/>
        <family val="2"/>
      </rPr>
      <t xml:space="preserve">轮组）—— 内审盲区，无法溯源</t>
    </r>
  </si>
  <si>
    <r>
      <rPr>
        <sz val="9"/>
        <color rgb="FF8B1A1A"/>
        <rFont val="Arial"/>
        <family val="0"/>
        <charset val="1"/>
      </rPr>
      <t xml:space="preserve">[</t>
    </r>
    <r>
      <rPr>
        <sz val="9"/>
        <color rgb="FF8B1A1A"/>
        <rFont val="DejaVu Sans"/>
        <family val="2"/>
      </rPr>
      <t xml:space="preserve">高</t>
    </r>
    <r>
      <rPr>
        <sz val="9"/>
        <color rgb="FF8B1A1A"/>
        <rFont val="Arial"/>
        <family val="0"/>
        <charset val="1"/>
      </rPr>
      <t xml:space="preserve">] </t>
    </r>
    <r>
      <rPr>
        <sz val="9"/>
        <color rgb="FF8B1A1A"/>
        <rFont val="DejaVu Sans"/>
        <family val="2"/>
      </rPr>
      <t xml:space="preserve">补录特殊订单关联，明确差异原因</t>
    </r>
  </si>
  <si>
    <t xml:space="preserve">02</t>
  </si>
  <si>
    <r>
      <rPr>
        <sz val="9"/>
        <color rgb="FF111111"/>
        <rFont val="Arial"/>
        <family val="0"/>
        <charset val="1"/>
      </rPr>
      <t xml:space="preserve">33</t>
    </r>
    <r>
      <rPr>
        <sz val="9"/>
        <color rgb="FF111111"/>
        <rFont val="DejaVu Sans"/>
        <family val="2"/>
      </rPr>
      <t xml:space="preserve">个</t>
    </r>
    <r>
      <rPr>
        <sz val="9"/>
        <color rgb="FF111111"/>
        <rFont val="Arial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有库存但成本为</t>
    </r>
    <r>
      <rPr>
        <sz val="9"/>
        <color rgb="FF111111"/>
        <rFont val="Arial"/>
        <family val="0"/>
        <charset val="1"/>
      </rPr>
      <t xml:space="preserve">0</t>
    </r>
    <r>
      <rPr>
        <sz val="9"/>
        <color rgb="FF111111"/>
        <rFont val="DejaVu Sans"/>
        <family val="2"/>
      </rPr>
      <t xml:space="preserve">，无法核算价差和绩效（含整车、车架等高价品）</t>
    </r>
  </si>
  <si>
    <r>
      <rPr>
        <sz val="9"/>
        <color rgb="FF8B1A1A"/>
        <rFont val="Arial"/>
        <family val="0"/>
        <charset val="1"/>
      </rPr>
      <t xml:space="preserve">[</t>
    </r>
    <r>
      <rPr>
        <sz val="9"/>
        <color rgb="FF8B1A1A"/>
        <rFont val="DejaVu Sans"/>
        <family val="2"/>
      </rPr>
      <t xml:space="preserve">高</t>
    </r>
    <r>
      <rPr>
        <sz val="9"/>
        <color rgb="FF8B1A1A"/>
        <rFont val="Arial"/>
        <family val="0"/>
        <charset val="1"/>
      </rPr>
      <t xml:space="preserve">] </t>
    </r>
    <r>
      <rPr>
        <sz val="9"/>
        <color rgb="FF8B1A1A"/>
        <rFont val="DejaVu Sans"/>
        <family val="2"/>
      </rPr>
      <t xml:space="preserve">补录成本价，或明确标注寄售，单独管理</t>
    </r>
  </si>
  <si>
    <t xml:space="preserve">03</t>
  </si>
  <si>
    <r>
      <rPr>
        <sz val="9"/>
        <color rgb="FF111111"/>
        <rFont val="Arial"/>
        <family val="0"/>
        <charset val="1"/>
      </rPr>
      <t xml:space="preserve">5</t>
    </r>
    <r>
      <rPr>
        <sz val="9"/>
        <color rgb="FF111111"/>
        <rFont val="DejaVu Sans"/>
        <family val="2"/>
      </rPr>
      <t xml:space="preserve">条负库存：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套件组</t>
    </r>
    <r>
      <rPr>
        <sz val="9"/>
        <color rgb="FF111111"/>
        <rFont val="Arial"/>
        <family val="0"/>
        <charset val="1"/>
      </rPr>
      <t xml:space="preserve">-13</t>
    </r>
    <r>
      <rPr>
        <sz val="9"/>
        <color rgb="FF111111"/>
        <rFont val="DejaVu Sans"/>
        <family val="2"/>
      </rPr>
      <t xml:space="preserve">件最严重，库存数量失真</t>
    </r>
  </si>
  <si>
    <r>
      <rPr>
        <sz val="9"/>
        <color rgb="FF8B1A1A"/>
        <rFont val="Arial"/>
        <family val="0"/>
        <charset val="1"/>
      </rPr>
      <t xml:space="preserve">[</t>
    </r>
    <r>
      <rPr>
        <sz val="9"/>
        <color rgb="FF8B1A1A"/>
        <rFont val="DejaVu Sans"/>
        <family val="2"/>
      </rPr>
      <t xml:space="preserve">高</t>
    </r>
    <r>
      <rPr>
        <sz val="9"/>
        <color rgb="FF8B1A1A"/>
        <rFont val="Arial"/>
        <family val="0"/>
        <charset val="1"/>
      </rPr>
      <t xml:space="preserve">] </t>
    </r>
    <r>
      <rPr>
        <sz val="9"/>
        <color rgb="FF8B1A1A"/>
        <rFont val="DejaVu Sans"/>
        <family val="2"/>
      </rPr>
      <t xml:space="preserve">核查超卖时间节点，补录入库或冲正</t>
    </r>
  </si>
  <si>
    <t xml:space="preserve">04</t>
  </si>
  <si>
    <r>
      <rPr>
        <sz val="9"/>
        <color rgb="FF111111"/>
        <rFont val="DejaVu Sans"/>
        <family val="2"/>
      </rPr>
      <t xml:space="preserve">出样装车</t>
    </r>
    <r>
      <rPr>
        <sz val="9"/>
        <color rgb="FF111111"/>
        <rFont val="Arial"/>
        <family val="0"/>
        <charset val="1"/>
      </rPr>
      <t xml:space="preserve">109</t>
    </r>
    <r>
      <rPr>
        <sz val="9"/>
        <color rgb="FF111111"/>
        <rFont val="DejaVu Sans"/>
        <family val="2"/>
      </rPr>
      <t xml:space="preserve">条（外胎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套件链条等）成本未归集</t>
    </r>
  </si>
  <si>
    <r>
      <rPr>
        <sz val="9"/>
        <color rgb="FFCC6600"/>
        <rFont val="Arial"/>
        <family val="0"/>
        <charset val="1"/>
      </rPr>
      <t xml:space="preserve">[</t>
    </r>
    <r>
      <rPr>
        <sz val="9"/>
        <color rgb="FFCC6600"/>
        <rFont val="DejaVu Sans"/>
        <family val="2"/>
      </rPr>
      <t xml:space="preserve">中</t>
    </r>
    <r>
      <rPr>
        <sz val="9"/>
        <color rgb="FFCC6600"/>
        <rFont val="Arial"/>
        <family val="0"/>
        <charset val="1"/>
      </rPr>
      <t xml:space="preserve">] </t>
    </r>
    <r>
      <rPr>
        <sz val="9"/>
        <color rgb="FFCC6600"/>
        <rFont val="DejaVu Sans"/>
        <family val="2"/>
      </rPr>
      <t xml:space="preserve">建立展示成本科目，定期计提</t>
    </r>
  </si>
  <si>
    <t xml:space="preserve">05</t>
  </si>
  <si>
    <r>
      <rPr>
        <sz val="9"/>
        <color rgb="FF111111"/>
        <rFont val="DejaVu Sans"/>
        <family val="2"/>
      </rPr>
      <t xml:space="preserve">萨玛仕座垫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</t>
    </r>
    <r>
      <rPr>
        <sz val="9"/>
        <color rgb="FF111111"/>
        <rFont val="Arial"/>
        <family val="0"/>
        <charset val="1"/>
      </rPr>
      <t xml:space="preserve">113</t>
    </r>
    <r>
      <rPr>
        <sz val="9"/>
        <color rgb="FF111111"/>
        <rFont val="DejaVu Sans"/>
        <family val="2"/>
      </rPr>
      <t xml:space="preserve">件（电助力用）在清理库存中，负责人未确认</t>
    </r>
  </si>
  <si>
    <r>
      <rPr>
        <sz val="9"/>
        <color rgb="FFCC6600"/>
        <rFont val="Arial"/>
        <family val="0"/>
        <charset val="1"/>
      </rPr>
      <t xml:space="preserve">[</t>
    </r>
    <r>
      <rPr>
        <sz val="9"/>
        <color rgb="FFCC6600"/>
        <rFont val="DejaVu Sans"/>
        <family val="2"/>
      </rPr>
      <t xml:space="preserve">中</t>
    </r>
    <r>
      <rPr>
        <sz val="9"/>
        <color rgb="FFCC6600"/>
        <rFont val="Arial"/>
        <family val="0"/>
        <charset val="1"/>
      </rPr>
      <t xml:space="preserve">] </t>
    </r>
    <r>
      <rPr>
        <sz val="9"/>
        <color rgb="FFCC6600"/>
        <rFont val="DejaVu Sans"/>
        <family val="2"/>
      </rPr>
      <t xml:space="preserve">确认责任归属，是否并入电助力清库或单独处理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</si>
  <si>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出库单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</si>
  <si>
    <r>
      <rPr>
        <b val="true"/>
        <sz val="17"/>
        <color rgb="FF111111"/>
        <rFont val="DejaVu Sans"/>
        <family val="2"/>
      </rPr>
      <t xml:space="preserve">库存</t>
    </r>
    <r>
      <rPr>
        <b val="true"/>
        <sz val="17"/>
        <color rgb="FF111111"/>
        <rFont val="Times New Roman"/>
        <family val="0"/>
        <charset val="1"/>
      </rPr>
      <t xml:space="preserve">SKU</t>
    </r>
    <r>
      <rPr>
        <b val="true"/>
        <sz val="17"/>
        <color rgb="FF111111"/>
        <rFont val="DejaVu Sans"/>
        <family val="2"/>
      </rPr>
      <t xml:space="preserve">明细</t>
    </r>
  </si>
  <si>
    <r>
      <rPr>
        <sz val="9"/>
        <color rgb="FF999999"/>
        <rFont val="Arial"/>
        <family val="0"/>
        <charset val="1"/>
      </rPr>
      <t xml:space="preserve">371</t>
    </r>
    <r>
      <rPr>
        <sz val="9"/>
        <color rgb="FF999999"/>
        <rFont val="DejaVu Sans"/>
        <family val="2"/>
      </rPr>
      <t xml:space="preserve">个</t>
    </r>
    <r>
      <rPr>
        <sz val="9"/>
        <color rgb="FF999999"/>
        <rFont val="Arial"/>
        <family val="0"/>
        <charset val="1"/>
      </rPr>
      <t xml:space="preserve">SKU · </t>
    </r>
    <r>
      <rPr>
        <sz val="9"/>
        <color rgb="FF999999"/>
        <rFont val="DejaVu Sans"/>
        <family val="2"/>
      </rPr>
      <t xml:space="preserve">排序：库存级别 → 品类 → 库存成本降序 </t>
    </r>
    <r>
      <rPr>
        <sz val="9"/>
        <color rgb="FF999999"/>
        <rFont val="Arial"/>
        <family val="0"/>
        <charset val="1"/>
      </rPr>
      <t xml:space="preserve">· *</t>
    </r>
    <r>
      <rPr>
        <sz val="9"/>
        <color rgb="FF999999"/>
        <rFont val="DejaVu Sans"/>
        <family val="2"/>
      </rPr>
      <t xml:space="preserve">仅清理库存有负责人</t>
    </r>
  </si>
  <si>
    <r>
      <rPr>
        <sz val="8"/>
        <color rgb="FF999999"/>
        <rFont val="DejaVu Sans"/>
        <family val="2"/>
      </rPr>
      <t xml:space="preserve">¹ 价差</t>
    </r>
    <r>
      <rPr>
        <sz val="8"/>
        <color rgb="FF999999"/>
        <rFont val="Arial"/>
        <family val="0"/>
        <charset val="1"/>
      </rPr>
      <t xml:space="preserve">=</t>
    </r>
    <r>
      <rPr>
        <sz val="8"/>
        <color rgb="FF999999"/>
        <rFont val="DejaVu Sans"/>
        <family val="2"/>
      </rPr>
      <t xml:space="preserve">售价</t>
    </r>
    <r>
      <rPr>
        <sz val="8"/>
        <color rgb="FF999999"/>
        <rFont val="Arial"/>
        <family val="0"/>
        <charset val="1"/>
      </rPr>
      <t xml:space="preserve">-</t>
    </r>
    <r>
      <rPr>
        <sz val="8"/>
        <color rgb="FF999999"/>
        <rFont val="DejaVu Sans"/>
        <family val="2"/>
      </rPr>
      <t xml:space="preserve">成本，通过关联销售订单计算，此列暂留空（以订单为准，不用</t>
    </r>
    <r>
      <rPr>
        <sz val="8"/>
        <color rgb="FF999999"/>
        <rFont val="Arial"/>
        <family val="0"/>
        <charset val="1"/>
      </rPr>
      <t xml:space="preserve">SKU</t>
    </r>
    <r>
      <rPr>
        <sz val="8"/>
        <color rgb="FF999999"/>
        <rFont val="DejaVu Sans"/>
        <family val="2"/>
      </rPr>
      <t xml:space="preserve">静态售价计算）</t>
    </r>
  </si>
  <si>
    <t xml:space="preserve">品类</t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</si>
  <si>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名称</t>
    </r>
  </si>
  <si>
    <t xml:space="preserve">系列</t>
  </si>
  <si>
    <r>
      <rPr>
        <b val="true"/>
        <sz val="8"/>
        <color rgb="FF111111"/>
        <rFont val="DejaVu Sans"/>
        <family val="2"/>
      </rPr>
      <t xml:space="preserve">负责人</t>
    </r>
    <r>
      <rPr>
        <b val="true"/>
        <sz val="8"/>
        <color rgb="FF111111"/>
        <rFont val="Arial"/>
        <family val="0"/>
        <charset val="1"/>
      </rPr>
      <t xml:space="preserve">*</t>
    </r>
  </si>
  <si>
    <t xml:space="preserve">当前</t>
  </si>
  <si>
    <t xml:space="preserve">期初</t>
  </si>
  <si>
    <t xml:space="preserve">入库</t>
  </si>
  <si>
    <t xml:space="preserve">出库</t>
  </si>
  <si>
    <t xml:space="preserve">成本价</t>
  </si>
  <si>
    <t xml:space="preserve">库存成本</t>
  </si>
  <si>
    <t xml:space="preserve">价差¹</t>
  </si>
  <si>
    <t xml:space="preserve">🔴 清理库存</t>
  </si>
  <si>
    <t xml:space="preserve">功率计</t>
  </si>
  <si>
    <r>
      <rPr>
        <sz val="9"/>
        <color rgb="FF111111"/>
        <rFont val="Arial"/>
        <family val="0"/>
        <charset val="1"/>
      </rPr>
      <t xml:space="preserve">SRM </t>
    </r>
    <r>
      <rPr>
        <sz val="9"/>
        <color rgb="FF111111"/>
        <rFont val="DejaVu Sans"/>
        <family val="2"/>
      </rPr>
      <t xml:space="preserve">功率计 适用 绿色（</t>
    </r>
    <r>
      <rPr>
        <sz val="9"/>
        <color rgb="FF111111"/>
        <rFont val="Arial"/>
        <family val="0"/>
        <charset val="1"/>
      </rPr>
      <t xml:space="preserve">DUB</t>
    </r>
    <r>
      <rPr>
        <sz val="9"/>
        <color rgb="FF111111"/>
        <rFont val="DejaVu Sans"/>
        <family val="2"/>
      </rPr>
      <t xml:space="preserve">中轴）</t>
    </r>
  </si>
  <si>
    <t xml:space="preserve">SRM</t>
  </si>
  <si>
    <t xml:space="preserve">张振</t>
  </si>
  <si>
    <t xml:space="preserve">—</t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</si>
  <si>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功率计 适用（</t>
    </r>
    <r>
      <rPr>
        <sz val="9"/>
        <color rgb="FF111111"/>
        <rFont val="Arial"/>
        <family val="0"/>
        <charset val="1"/>
      </rPr>
      <t xml:space="preserve">SHIMANO</t>
    </r>
    <r>
      <rPr>
        <sz val="9"/>
        <color rgb="FF111111"/>
        <rFont val="DejaVu Sans"/>
        <family val="2"/>
      </rPr>
      <t xml:space="preserve">）</t>
    </r>
  </si>
  <si>
    <t xml:space="preserve">POWER 2 MAX</t>
  </si>
  <si>
    <t xml:space="preserve">潘昊</t>
  </si>
  <si>
    <t xml:space="preserve">── 功率计 合计</t>
  </si>
  <si>
    <t xml:space="preserve">后拨导轮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</si>
  <si>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后拨导轮 银色</t>
    </r>
  </si>
  <si>
    <t xml:space="preserve">CS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</si>
  <si>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蓝色（适用于禧玛诺）</t>
    </r>
    <r>
      <rPr>
        <sz val="9"/>
        <color rgb="FF111111"/>
        <rFont val="Arial"/>
        <family val="0"/>
        <charset val="1"/>
      </rPr>
      <t xml:space="preserve">6</t>
    </r>
    <r>
      <rPr>
        <sz val="9"/>
        <color rgb="FF111111"/>
        <rFont val="DejaVu Sans"/>
        <family val="2"/>
      </rPr>
      <t xml:space="preserve">年质保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</si>
  <si>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</t>
    </r>
    <r>
      <rPr>
        <sz val="9"/>
        <color rgb="FF111111"/>
        <rFont val="Arial"/>
        <family val="0"/>
        <charset val="1"/>
      </rPr>
      <t xml:space="preserve">Alpha AXS </t>
    </r>
    <r>
      <rPr>
        <sz val="9"/>
        <color rgb="FF111111"/>
        <rFont val="DejaVu Sans"/>
        <family val="2"/>
      </rPr>
      <t xml:space="preserve">队版（适用于速联）终身质保</t>
    </r>
  </si>
  <si>
    <t xml:space="preserve">程总</t>
  </si>
  <si>
    <t xml:space="preserve">── 后拨导轮 合计</t>
  </si>
  <si>
    <t xml:space="preserve">座垫</t>
  </si>
  <si>
    <r>
      <rPr>
        <sz val="9"/>
        <color rgb="FF111111"/>
        <rFont val="DejaVu Sans"/>
        <family val="2"/>
      </rPr>
      <t xml:space="preserve">萨玛仕 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打印（电助力用）</t>
    </r>
  </si>
  <si>
    <t xml:space="preserve">萨玛仕</t>
  </si>
  <si>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待确认</t>
    </r>
    <r>
      <rPr>
        <sz val="9"/>
        <color rgb="FF999999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</si>
  <si>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CARBON RAIL</t>
    </r>
  </si>
  <si>
    <t xml:space="preserve">SMP</t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</si>
  <si>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30C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</si>
  <si>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PLUS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</si>
  <si>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TEST </t>
    </r>
    <r>
      <rPr>
        <sz val="9"/>
        <color rgb="FF111111"/>
        <rFont val="DejaVu Sans"/>
        <family val="2"/>
      </rPr>
      <t xml:space="preserve">红色黄色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</si>
  <si>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F30C SI TEST </t>
    </r>
    <r>
      <rPr>
        <sz val="9"/>
        <color rgb="FF111111"/>
        <rFont val="DejaVu Sans"/>
        <family val="2"/>
      </rPr>
      <t xml:space="preserve">红色黄色</t>
    </r>
  </si>
  <si>
    <t xml:space="preserve">── 座垫 合计</t>
  </si>
  <si>
    <t xml:space="preserve">整车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</si>
  <si>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Colnago V4 </t>
    </r>
    <r>
      <rPr>
        <sz val="9"/>
        <color rgb="FF111111"/>
        <rFont val="DejaVu Sans"/>
        <family val="2"/>
      </rPr>
      <t xml:space="preserve">红色 </t>
    </r>
    <r>
      <rPr>
        <sz val="9"/>
        <color rgb="FF111111"/>
        <rFont val="Arial"/>
        <family val="0"/>
        <charset val="1"/>
      </rPr>
      <t xml:space="preserve">420</t>
    </r>
  </si>
  <si>
    <t xml:space="preserve">Colnago</t>
  </si>
  <si>
    <t xml:space="preserve">郭城</t>
  </si>
  <si>
    <r>
      <rPr>
        <sz val="9"/>
        <color rgb="FF111111"/>
        <rFont val="Arial"/>
        <family val="0"/>
        <charset val="1"/>
      </rPr>
      <t xml:space="preserve">CANYON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Ultimate </t>
    </r>
    <r>
      <rPr>
        <sz val="9"/>
        <color rgb="FF111111"/>
        <rFont val="DejaVu Sans"/>
        <family val="2"/>
      </rPr>
      <t xml:space="preserve">爬坡架 </t>
    </r>
    <r>
      <rPr>
        <sz val="9"/>
        <color rgb="FF111111"/>
        <rFont val="Arial"/>
        <family val="0"/>
        <charset val="1"/>
      </rPr>
      <t xml:space="preserve">XS</t>
    </r>
  </si>
  <si>
    <t xml:space="preserve">CANYON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</si>
  <si>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530</t>
    </r>
  </si>
  <si>
    <t xml:space="preserve">Pinarello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</si>
  <si>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</si>
  <si>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黑绿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</si>
  <si>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</si>
  <si>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</si>
  <si>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465</t>
    </r>
  </si>
  <si>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48</t>
    </r>
  </si>
  <si>
    <t xml:space="preserve">Lykos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</si>
  <si>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白色蓝标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</si>
  <si>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黑色银标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</si>
  <si>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</si>
  <si>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整车 紫色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码（带车把）</t>
    </r>
  </si>
  <si>
    <t xml:space="preserve">RIDLEY</t>
  </si>
  <si>
    <t xml:space="preserve">—成本缺失</t>
  </si>
  <si>
    <t xml:space="preserve">── 整车 合计</t>
  </si>
  <si>
    <t xml:space="preserve">曲柄组</t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</si>
  <si>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170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</si>
  <si>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172.5</t>
    </r>
  </si>
  <si>
    <t xml:space="preserve">── 曲柄组 合计</t>
  </si>
  <si>
    <t xml:space="preserve">车把一体把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</si>
  <si>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40-100</t>
    </r>
  </si>
  <si>
    <t xml:space="preserve">DEDA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</si>
  <si>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40-110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</si>
  <si>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44-100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</si>
  <si>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400-110</t>
    </r>
  </si>
  <si>
    <t xml:space="preserve">THM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</si>
  <si>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44-120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</si>
  <si>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44-110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</si>
  <si>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</si>
  <si>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</si>
  <si>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42-110</t>
    </r>
  </si>
  <si>
    <r>
      <rPr>
        <sz val="9"/>
        <color rgb="FF111111"/>
        <rFont val="Arial"/>
        <family val="0"/>
        <charset val="1"/>
      </rPr>
      <t xml:space="preserve">EASTON </t>
    </r>
    <r>
      <rPr>
        <sz val="9"/>
        <color rgb="FF111111"/>
        <rFont val="DejaVu Sans"/>
        <family val="2"/>
      </rPr>
      <t xml:space="preserve">车把一体把 分体 </t>
    </r>
    <r>
      <rPr>
        <sz val="9"/>
        <color rgb="FF111111"/>
        <rFont val="Arial"/>
        <family val="0"/>
        <charset val="1"/>
      </rPr>
      <t xml:space="preserve">44-31.8</t>
    </r>
  </si>
  <si>
    <t xml:space="preserve">EASTON</t>
  </si>
  <si>
    <r>
      <rPr>
        <sz val="9"/>
        <color rgb="FF111111"/>
        <rFont val="Arial"/>
        <family val="0"/>
        <charset val="1"/>
      </rPr>
      <t xml:space="preserve">Rapantahi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420-100</t>
    </r>
  </si>
  <si>
    <t xml:space="preserve">Rapantahi</t>
  </si>
  <si>
    <t xml:space="preserve">── 车把一体把 合计</t>
  </si>
  <si>
    <t xml:space="preserve">车架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</si>
  <si>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</si>
  <si>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</si>
  <si>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</si>
  <si>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C68 </t>
    </r>
    <r>
      <rPr>
        <sz val="9"/>
        <color rgb="FF111111"/>
        <rFont val="DejaVu Sans"/>
        <family val="2"/>
      </rPr>
      <t xml:space="preserve">格雷金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</si>
  <si>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V2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58</t>
    </r>
    <r>
      <rPr>
        <sz val="9"/>
        <color rgb="FF111111"/>
        <rFont val="DejaVu Sans"/>
        <family val="2"/>
      </rPr>
      <t xml:space="preserve">（含座管）</t>
    </r>
  </si>
  <si>
    <t xml:space="preserve">AURUM  </t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</si>
  <si>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SL8 </t>
    </r>
    <r>
      <rPr>
        <sz val="9"/>
        <color rgb="FF111111"/>
        <rFont val="DejaVu Sans"/>
        <family val="2"/>
      </rPr>
      <t xml:space="preserve">玫瑰金 </t>
    </r>
    <r>
      <rPr>
        <sz val="9"/>
        <color rgb="FF111111"/>
        <rFont val="Arial"/>
        <family val="0"/>
        <charset val="1"/>
      </rPr>
      <t xml:space="preserve">54</t>
    </r>
  </si>
  <si>
    <t xml:space="preserve">SPECIALIZED</t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</si>
  <si>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白咖 </t>
    </r>
    <r>
      <rPr>
        <sz val="9"/>
        <color rgb="FF111111"/>
        <rFont val="Arial"/>
        <family val="0"/>
        <charset val="1"/>
      </rPr>
      <t xml:space="preserve">52</t>
    </r>
  </si>
  <si>
    <t xml:space="preserve">Standert</t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</si>
  <si>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V1 </t>
    </r>
    <r>
      <rPr>
        <sz val="9"/>
        <color rgb="FF111111"/>
        <rFont val="DejaVu Sans"/>
        <family val="2"/>
      </rPr>
      <t xml:space="preserve">玛瑙黑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</si>
  <si>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</si>
  <si>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575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</si>
  <si>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465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</si>
  <si>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</si>
  <si>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</si>
  <si>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</si>
  <si>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蓝黑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</si>
  <si>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ESSENTIA </t>
    </r>
    <r>
      <rPr>
        <sz val="9"/>
        <color rgb="FF111111"/>
        <rFont val="DejaVu Sans"/>
        <family val="2"/>
      </rPr>
      <t xml:space="preserve">岩石灰 </t>
    </r>
    <r>
      <rPr>
        <sz val="9"/>
        <color rgb="FF111111"/>
        <rFont val="Arial"/>
        <family val="0"/>
        <charset val="1"/>
      </rPr>
      <t xml:space="preserve">51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</si>
  <si>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</si>
  <si>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De Rosa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idol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53</t>
    </r>
  </si>
  <si>
    <t xml:space="preserve">De Rosa</t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</si>
  <si>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黑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</si>
  <si>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粉色 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码（带车把）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</si>
  <si>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黑白 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码（带车把）</t>
    </r>
  </si>
  <si>
    <t xml:space="preserve">── 车架 合计</t>
  </si>
  <si>
    <t xml:space="preserve">轮组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</si>
  <si>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353 (SH)</t>
    </r>
  </si>
  <si>
    <t xml:space="preserve">ZIPP</t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</si>
  <si>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 </t>
    </r>
    <r>
      <rPr>
        <sz val="9"/>
        <color rgb="FF111111"/>
        <rFont val="Arial"/>
        <family val="0"/>
        <charset val="1"/>
      </rPr>
      <t xml:space="preserve">4540 CK</t>
    </r>
    <r>
      <rPr>
        <sz val="9"/>
        <color rgb="FF111111"/>
        <rFont val="DejaVu Sans"/>
        <family val="2"/>
      </rPr>
      <t xml:space="preserve">花鼓 </t>
    </r>
    <r>
      <rPr>
        <sz val="9"/>
        <color rgb="FF111111"/>
        <rFont val="Arial"/>
        <family val="0"/>
        <charset val="1"/>
      </rPr>
      <t xml:space="preserve">(SH)</t>
    </r>
  </si>
  <si>
    <t xml:space="preserve">PCW</t>
  </si>
  <si>
    <t xml:space="preserve">海尔</t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</si>
  <si>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黑粉 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</si>
  <si>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水滴纹 </t>
    </r>
    <r>
      <rPr>
        <sz val="9"/>
        <color rgb="FF111111"/>
        <rFont val="Arial"/>
        <family val="0"/>
        <charset val="1"/>
      </rPr>
      <t xml:space="preserve">(SH)</t>
    </r>
  </si>
  <si>
    <t xml:space="preserve">Superteam</t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</si>
  <si>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鲨鱼纹 </t>
    </r>
    <r>
      <rPr>
        <sz val="9"/>
        <color rgb="FF111111"/>
        <rFont val="Arial"/>
        <family val="0"/>
        <charset val="1"/>
      </rPr>
      <t xml:space="preserve">(SH)</t>
    </r>
  </si>
  <si>
    <t xml:space="preserve">── 轮组 合计</t>
  </si>
  <si>
    <t xml:space="preserve">🔴 清理库存  小计</t>
  </si>
  <si>
    <t xml:space="preserve">🔵 高价商品</t>
  </si>
  <si>
    <t xml:space="preserve">外胎</t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</si>
  <si>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ARCHEType 30C</t>
    </r>
    <r>
      <rPr>
        <sz val="9"/>
        <color rgb="FF111111"/>
        <rFont val="DejaVu Sans"/>
        <family val="2"/>
      </rPr>
      <t xml:space="preserve">（限量版）</t>
    </r>
  </si>
  <si>
    <t xml:space="preserve">马牌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</si>
  <si>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AERO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26C </t>
    </r>
    <r>
      <rPr>
        <sz val="9"/>
        <color rgb="FF111111"/>
        <rFont val="DejaVu Sans"/>
        <family val="2"/>
      </rPr>
      <t xml:space="preserve">黑色 （盒装）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</si>
  <si>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AERO</t>
    </r>
  </si>
  <si>
    <t xml:space="preserve">── 外胎 合计</t>
  </si>
  <si>
    <r>
      <rPr>
        <sz val="9"/>
        <color rgb="FF111111"/>
        <rFont val="Arial"/>
        <family val="0"/>
        <charset val="1"/>
      </rPr>
      <t xml:space="preserve">ROTOR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165</t>
    </r>
  </si>
  <si>
    <t xml:space="preserve">ROTOR</t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</si>
  <si>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170  24Ti</t>
    </r>
    <r>
      <rPr>
        <sz val="9"/>
        <color rgb="FF111111"/>
        <rFont val="DejaVu Sans"/>
        <family val="2"/>
      </rPr>
      <t xml:space="preserve">（盒装）</t>
    </r>
  </si>
  <si>
    <t xml:space="preserve">CYBREI</t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</si>
  <si>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167.5 (</t>
    </r>
    <r>
      <rPr>
        <sz val="9"/>
        <color rgb="FF111111"/>
        <rFont val="DejaVu Sans"/>
        <family val="2"/>
      </rPr>
      <t xml:space="preserve">新款）</t>
    </r>
  </si>
  <si>
    <t xml:space="preserve">ELILEE</t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</si>
  <si>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165  24Ti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</si>
  <si>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GP3 167.5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</si>
  <si>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160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</si>
  <si>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167.5</t>
    </r>
  </si>
  <si>
    <t xml:space="preserve">盘片</t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</si>
  <si>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55-40</t>
    </r>
  </si>
  <si>
    <t xml:space="preserve">CARBON—TI</t>
  </si>
  <si>
    <t xml:space="preserve">── 盘片 合计</t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</si>
  <si>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</si>
  <si>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</si>
  <si>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</si>
  <si>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</si>
  <si>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黑金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（带普通车把）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</si>
  <si>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</si>
  <si>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465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</si>
  <si>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</si>
  <si>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</si>
  <si>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</si>
  <si>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</si>
  <si>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</si>
  <si>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</si>
  <si>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</si>
  <si>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英力士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</si>
  <si>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X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BOB 515</t>
    </r>
  </si>
  <si>
    <t xml:space="preserve">Dogma X</t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</si>
  <si>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黎明黄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</si>
  <si>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</si>
  <si>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威尼斯蓝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</si>
  <si>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</si>
  <si>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</si>
  <si>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</si>
  <si>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</si>
  <si>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404 (SH)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</si>
  <si>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C60 (SH)</t>
    </r>
  </si>
  <si>
    <t xml:space="preserve">DA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</si>
  <si>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</si>
  <si>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vision 45 RS</t>
    </r>
  </si>
  <si>
    <t xml:space="preserve">FSA</t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</si>
  <si>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38 (SH)</t>
    </r>
  </si>
  <si>
    <t xml:space="preserve">DT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</si>
  <si>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303 (SH)</t>
    </r>
  </si>
  <si>
    <t xml:space="preserve">🔵 高价商品  小计</t>
  </si>
  <si>
    <r>
      <rPr>
        <b val="true"/>
        <sz val="10"/>
        <color rgb="FF111111"/>
        <rFont val="Times New Roman"/>
        <family val="0"/>
        <charset val="1"/>
      </rPr>
      <t xml:space="preserve">⚠  FSA </t>
    </r>
    <r>
      <rPr>
        <b val="true"/>
        <sz val="10"/>
        <color rgb="FF111111"/>
        <rFont val="DejaVu Sans"/>
        <family val="2"/>
      </rPr>
      <t xml:space="preserve">待处理库存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</si>
  <si>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420-110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</si>
  <si>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400-100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</si>
  <si>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360-80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</si>
  <si>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380-90</t>
    </r>
  </si>
  <si>
    <r>
      <rPr>
        <b val="true"/>
        <sz val="9"/>
        <color rgb="FF111111"/>
        <rFont val="Times New Roman"/>
        <family val="0"/>
        <charset val="1"/>
      </rPr>
      <t xml:space="preserve">⚠  FSA </t>
    </r>
    <r>
      <rPr>
        <b val="true"/>
        <sz val="9"/>
        <color rgb="FF111111"/>
        <rFont val="DejaVu Sans"/>
        <family val="2"/>
      </rPr>
      <t xml:space="preserve">待处理库存  小计</t>
    </r>
  </si>
  <si>
    <t xml:space="preserve">   正常商品</t>
  </si>
  <si>
    <t xml:space="preserve">中轴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</si>
  <si>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中轴 黑色 </t>
    </r>
    <r>
      <rPr>
        <sz val="9"/>
        <color rgb="FF111111"/>
        <rFont val="Arial"/>
        <family val="0"/>
        <charset val="1"/>
      </rPr>
      <t xml:space="preserve">4</t>
    </r>
    <r>
      <rPr>
        <sz val="9"/>
        <color rgb="FF111111"/>
        <rFont val="DejaVu Sans"/>
        <family val="2"/>
      </rPr>
      <t xml:space="preserve">年（货号：</t>
    </r>
    <r>
      <rPr>
        <sz val="9"/>
        <color rgb="FF111111"/>
        <rFont val="Arial"/>
        <family val="0"/>
        <charset val="1"/>
      </rPr>
      <t xml:space="preserve">101331</t>
    </r>
    <r>
      <rPr>
        <sz val="9"/>
        <color rgb="FF111111"/>
        <rFont val="DejaVu Sans"/>
        <family val="2"/>
      </rPr>
      <t xml:space="preserve">）意规 </t>
    </r>
    <r>
      <rPr>
        <sz val="9"/>
        <color rgb="FF111111"/>
        <rFont val="Arial"/>
        <family val="0"/>
        <charset val="1"/>
      </rPr>
      <t xml:space="preserve">30</t>
    </r>
    <r>
      <rPr>
        <sz val="9"/>
        <color rgb="FF111111"/>
        <rFont val="DejaVu Sans"/>
        <family val="2"/>
      </rPr>
      <t xml:space="preserve">轴心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</si>
  <si>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中轴 钢球轴承 </t>
    </r>
    <r>
      <rPr>
        <sz val="9"/>
        <color rgb="FF111111"/>
        <rFont val="Arial"/>
        <family val="0"/>
        <charset val="1"/>
      </rPr>
      <t xml:space="preserve">T47-85.5-29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</si>
  <si>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</t>
    </r>
  </si>
  <si>
    <t xml:space="preserve">── 中轴 合计</t>
  </si>
  <si>
    <r>
      <rPr>
        <sz val="9"/>
        <color rgb="FF111111"/>
        <rFont val="Arial"/>
        <family val="0"/>
        <charset val="1"/>
      </rPr>
      <t xml:space="preserve">NEXGA </t>
    </r>
    <r>
      <rPr>
        <sz val="9"/>
        <color rgb="FF111111"/>
        <rFont val="DejaVu Sans"/>
        <family val="2"/>
      </rPr>
      <t xml:space="preserve">功率计 </t>
    </r>
    <r>
      <rPr>
        <sz val="9"/>
        <color rgb="FF111111"/>
        <rFont val="Arial"/>
        <family val="0"/>
        <charset val="1"/>
      </rPr>
      <t xml:space="preserve">S1 </t>
    </r>
    <r>
      <rPr>
        <sz val="9"/>
        <color rgb="FF111111"/>
        <rFont val="DejaVu Sans"/>
        <family val="2"/>
      </rPr>
      <t xml:space="preserve">适用（</t>
    </r>
    <r>
      <rPr>
        <sz val="9"/>
        <color rgb="FF111111"/>
        <rFont val="Arial"/>
        <family val="0"/>
        <charset val="1"/>
      </rPr>
      <t xml:space="preserve">EASTON)</t>
    </r>
  </si>
  <si>
    <t xml:space="preserve">NEXGA</t>
  </si>
  <si>
    <r>
      <rPr>
        <sz val="9"/>
        <color rgb="FF111111"/>
        <rFont val="Arial"/>
        <family val="0"/>
        <charset val="1"/>
      </rPr>
      <t xml:space="preserve">Sigeyi </t>
    </r>
    <r>
      <rPr>
        <sz val="9"/>
        <color rgb="FF111111"/>
        <rFont val="DejaVu Sans"/>
        <family val="2"/>
      </rPr>
      <t xml:space="preserve">功率计 新款 适用（</t>
    </r>
    <r>
      <rPr>
        <sz val="9"/>
        <color rgb="FF111111"/>
        <rFont val="Arial"/>
        <family val="0"/>
        <charset val="1"/>
      </rPr>
      <t xml:space="preserve">EASTON)</t>
    </r>
  </si>
  <si>
    <t xml:space="preserve">Sigeyi</t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</si>
  <si>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TERRA TRAIL(</t>
    </r>
    <r>
      <rPr>
        <sz val="9"/>
        <color rgb="FF111111"/>
        <rFont val="DejaVu Sans"/>
        <family val="2"/>
      </rPr>
      <t xml:space="preserve">瓜胎）</t>
    </r>
    <r>
      <rPr>
        <sz val="9"/>
        <color rgb="FF111111"/>
        <rFont val="Arial"/>
        <family val="0"/>
        <charset val="1"/>
      </rPr>
      <t xml:space="preserve">35C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</si>
  <si>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32C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</si>
  <si>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</si>
  <si>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</si>
  <si>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真空黑边边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</si>
  <si>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</si>
  <si>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</t>
    </r>
  </si>
  <si>
    <r>
      <rPr>
        <sz val="9"/>
        <color rgb="FF111111"/>
        <rFont val="DejaVu Sans"/>
        <family val="2"/>
      </rPr>
      <t xml:space="preserve">马牌 外胎 钢圈 瓜车胎 </t>
    </r>
    <r>
      <rPr>
        <sz val="9"/>
        <color rgb="FF111111"/>
        <rFont val="Arial"/>
        <family val="0"/>
        <charset val="1"/>
      </rPr>
      <t xml:space="preserve">40C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</si>
  <si>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</si>
  <si>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</si>
  <si>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开口黑边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</si>
  <si>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倍耐力 外胎 </t>
    </r>
    <r>
      <rPr>
        <sz val="9"/>
        <color rgb="FF111111"/>
        <rFont val="Arial"/>
        <family val="0"/>
        <charset val="1"/>
      </rPr>
      <t xml:space="preserve">rs</t>
    </r>
    <r>
      <rPr>
        <sz val="9"/>
        <color rgb="FF111111"/>
        <rFont val="DejaVu Sans"/>
        <family val="2"/>
      </rPr>
      <t xml:space="preserve">真空 </t>
    </r>
    <r>
      <rPr>
        <sz val="9"/>
        <color rgb="FF111111"/>
        <rFont val="Arial"/>
        <family val="0"/>
        <charset val="1"/>
      </rPr>
      <t xml:space="preserve">28C</t>
    </r>
    <r>
      <rPr>
        <sz val="9"/>
        <color rgb="FF111111"/>
        <rFont val="DejaVu Sans"/>
        <family val="2"/>
      </rPr>
      <t xml:space="preserve">黑边</t>
    </r>
  </si>
  <si>
    <t xml:space="preserve">倍耐力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</si>
  <si>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黑色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</si>
  <si>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</si>
  <si>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Ultra Sport III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</si>
  <si>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棕色</t>
    </r>
  </si>
  <si>
    <r>
      <rPr>
        <sz val="9"/>
        <color rgb="FF111111"/>
        <rFont val="DejaVu Sans"/>
        <family val="2"/>
      </rPr>
      <t xml:space="preserve">松下 外胎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开口胎（盒装）</t>
    </r>
  </si>
  <si>
    <t xml:space="preserve">松下</t>
  </si>
  <si>
    <r>
      <rPr>
        <sz val="9"/>
        <color rgb="FF111111"/>
        <rFont val="DejaVu Sans"/>
        <family val="2"/>
      </rPr>
      <t xml:space="preserve">维多利亚 外胎 </t>
    </r>
    <r>
      <rPr>
        <sz val="9"/>
        <color rgb="FF111111"/>
        <rFont val="Arial"/>
        <family val="0"/>
        <charset val="1"/>
      </rPr>
      <t xml:space="preserve">Corsa pro</t>
    </r>
    <r>
      <rPr>
        <sz val="9"/>
        <color rgb="FF111111"/>
        <rFont val="DejaVu Sans"/>
        <family val="2"/>
      </rPr>
      <t xml:space="preserve">黄边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（盒装）</t>
    </r>
  </si>
  <si>
    <t xml:space="preserve">维多利亚</t>
  </si>
  <si>
    <r>
      <rPr>
        <sz val="9"/>
        <color rgb="FF111111"/>
        <rFont val="DejaVu Sans"/>
        <family val="2"/>
      </rPr>
      <t xml:space="preserve">倍耐力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蓝字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</si>
  <si>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TTTR </t>
    </r>
    <r>
      <rPr>
        <sz val="9"/>
        <color rgb="FF111111"/>
        <rFont val="DejaVu Sans"/>
        <family val="2"/>
      </rPr>
      <t xml:space="preserve">黑边</t>
    </r>
    <r>
      <rPr>
        <sz val="9"/>
        <color rgb="FF111111"/>
        <rFont val="Arial"/>
        <family val="0"/>
        <charset val="1"/>
      </rPr>
      <t xml:space="preserve">28C</t>
    </r>
  </si>
  <si>
    <r>
      <rPr>
        <sz val="9"/>
        <color rgb="FF111111"/>
        <rFont val="DejaVu Sans"/>
        <family val="2"/>
      </rPr>
      <t xml:space="preserve">朝阳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粉边</t>
    </r>
  </si>
  <si>
    <t xml:space="preserve">朝阳</t>
  </si>
  <si>
    <r>
      <rPr>
        <sz val="9"/>
        <color rgb="FF111111"/>
        <rFont val="DejaVu Sans"/>
        <family val="2"/>
      </rPr>
      <t xml:space="preserve">米其林 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黄边（盒装）</t>
    </r>
  </si>
  <si>
    <t xml:space="preserve">米其林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</si>
  <si>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棕边</t>
    </r>
  </si>
  <si>
    <t xml:space="preserve">头盔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</si>
  <si>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Rapido </t>
    </r>
    <r>
      <rPr>
        <sz val="9"/>
        <color rgb="FF111111"/>
        <rFont val="DejaVu Sans"/>
        <family val="2"/>
      </rPr>
      <t xml:space="preserve">橙色 </t>
    </r>
    <r>
      <rPr>
        <sz val="9"/>
        <color rgb="FF111111"/>
        <rFont val="Arial"/>
        <family val="0"/>
        <charset val="1"/>
      </rPr>
      <t xml:space="preserve">M</t>
    </r>
  </si>
  <si>
    <t xml:space="preserve">KASK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</si>
  <si>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</si>
  <si>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M</t>
    </r>
  </si>
  <si>
    <t xml:space="preserve">── 头盔 合计</t>
  </si>
  <si>
    <t xml:space="preserve">套件散装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</si>
  <si>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右手变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</si>
  <si>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手变按钮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</si>
  <si>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套件散装 后拨</t>
    </r>
  </si>
  <si>
    <t xml:space="preserve">UT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</si>
  <si>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Y</t>
    </r>
    <r>
      <rPr>
        <sz val="9"/>
        <color rgb="FF111111"/>
        <rFont val="DejaVu Sans"/>
        <family val="2"/>
      </rPr>
      <t xml:space="preserve">型电线组 </t>
    </r>
    <r>
      <rPr>
        <sz val="9"/>
        <color rgb="FF111111"/>
        <rFont val="Arial"/>
        <family val="0"/>
        <charset val="1"/>
      </rPr>
      <t xml:space="preserve">EW-JC130-MM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</si>
  <si>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SM-JC41)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</si>
  <si>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EW-AD305)</t>
    </r>
  </si>
  <si>
    <t xml:space="preserve">── 套件散装 合计</t>
  </si>
  <si>
    <t xml:space="preserve">套件组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</si>
  <si>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按钮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电线）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</si>
  <si>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套件组 基础配置无前拨（</t>
    </r>
    <r>
      <rPr>
        <sz val="9"/>
        <color rgb="FF111111"/>
        <rFont val="Arial"/>
        <family val="0"/>
        <charset val="1"/>
      </rPr>
      <t xml:space="preserve">13</t>
    </r>
    <r>
      <rPr>
        <sz val="9"/>
        <color rgb="FF111111"/>
        <rFont val="DejaVu Sans"/>
        <family val="2"/>
      </rPr>
      <t xml:space="preserve">速）</t>
    </r>
  </si>
  <si>
    <t xml:space="preserve">RIVAL</t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</si>
  <si>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</si>
  <si>
    <t xml:space="preserve">── 套件组 合计</t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</si>
  <si>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黑色（散装）</t>
    </r>
  </si>
  <si>
    <t xml:space="preserve">Selle Italia 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</si>
  <si>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打印（原电助力用）</t>
    </r>
  </si>
  <si>
    <t xml:space="preserve">FIZIK</t>
  </si>
  <si>
    <r>
      <rPr>
        <sz val="9"/>
        <color rgb="FF111111"/>
        <rFont val="Arial"/>
        <family val="0"/>
        <charset val="1"/>
      </rPr>
      <t xml:space="preserve">Selle Italia   </t>
    </r>
    <r>
      <rPr>
        <sz val="9"/>
        <color rgb="FF111111"/>
        <rFont val="DejaVu Sans"/>
        <family val="2"/>
      </rPr>
      <t xml:space="preserve">座垫 钢轨 黑色（散装）</t>
    </r>
  </si>
  <si>
    <t xml:space="preserve">Selle Italia  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</si>
  <si>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碳轨（原电助力用）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</si>
  <si>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黑色（盒装）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</si>
  <si>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打印（盒装）</t>
    </r>
  </si>
  <si>
    <r>
      <rPr>
        <sz val="9"/>
        <color rgb="FF111111"/>
        <rFont val="DejaVu Sans"/>
        <family val="2"/>
      </rPr>
      <t xml:space="preserve">闪电 座垫 （新款</t>
    </r>
    <r>
      <rPr>
        <sz val="9"/>
        <color rgb="FF111111"/>
        <rFont val="Arial"/>
        <family val="0"/>
        <charset val="1"/>
      </rPr>
      <t xml:space="preserve">143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Sworks power </t>
    </r>
    <r>
      <rPr>
        <sz val="9"/>
        <color rgb="FF111111"/>
        <rFont val="DejaVu Sans"/>
        <family val="2"/>
      </rPr>
      <t xml:space="preserve">碳弓碳底坐垫</t>
    </r>
  </si>
  <si>
    <t xml:space="preserve">闪电</t>
  </si>
  <si>
    <r>
      <rPr>
        <sz val="9"/>
        <color rgb="FF111111"/>
        <rFont val="DejaVu Sans"/>
        <family val="2"/>
      </rPr>
      <t xml:space="preserve">闪电 座垫 </t>
    </r>
    <r>
      <rPr>
        <sz val="9"/>
        <color rgb="FF111111"/>
        <rFont val="Arial"/>
        <family val="0"/>
        <charset val="1"/>
      </rPr>
      <t xml:space="preserve">Power Comp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155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</si>
  <si>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钢轨 </t>
    </r>
    <r>
      <rPr>
        <sz val="9"/>
        <color rgb="FF111111"/>
        <rFont val="Arial"/>
        <family val="0"/>
        <charset val="1"/>
      </rPr>
      <t xml:space="preserve">ARGO R5</t>
    </r>
    <r>
      <rPr>
        <sz val="9"/>
        <color rgb="FF111111"/>
        <rFont val="DejaVu Sans"/>
        <family val="2"/>
      </rPr>
      <t xml:space="preserve">（板装）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</si>
  <si>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新款钢轨黑色（散装）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</si>
  <si>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新款碳轨黑色（散装）</t>
    </r>
  </si>
  <si>
    <r>
      <rPr>
        <sz val="9"/>
        <color rgb="FF111111"/>
        <rFont val="Arial"/>
        <family val="0"/>
        <charset val="1"/>
      </rPr>
      <t xml:space="preserve">Cline </t>
    </r>
    <r>
      <rPr>
        <sz val="9"/>
        <color rgb="FF111111"/>
        <rFont val="DejaVu Sans"/>
        <family val="2"/>
      </rPr>
      <t xml:space="preserve">整车 火焰清漆</t>
    </r>
    <r>
      <rPr>
        <sz val="9"/>
        <color rgb="FF111111"/>
        <rFont val="Arial"/>
        <family val="0"/>
        <charset val="1"/>
      </rPr>
      <t xml:space="preserve">M2</t>
    </r>
  </si>
  <si>
    <t xml:space="preserve">Cline</t>
  </si>
  <si>
    <r>
      <rPr>
        <sz val="9"/>
        <color rgb="FF111111"/>
        <rFont val="Arial"/>
        <family val="0"/>
        <charset val="1"/>
      </rPr>
      <t xml:space="preserve">GUSTO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GTR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M</t>
    </r>
  </si>
  <si>
    <t xml:space="preserve">GUSTO</t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</si>
  <si>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165 (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</si>
  <si>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172.5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</si>
  <si>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170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</si>
  <si>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170(</t>
    </r>
    <r>
      <rPr>
        <sz val="9"/>
        <color rgb="FF111111"/>
        <rFont val="DejaVu Sans"/>
        <family val="2"/>
      </rPr>
      <t xml:space="preserve">新款）</t>
    </r>
  </si>
  <si>
    <t xml:space="preserve">牙盘组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</si>
  <si>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52-36T 170</t>
    </r>
  </si>
  <si>
    <t xml:space="preserve">── 牙盘组 合计</t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</si>
  <si>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52-36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</si>
  <si>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</si>
  <si>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t xml:space="preserve">DR </t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</si>
  <si>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54T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</si>
  <si>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（禧玛诺规格）</t>
    </r>
  </si>
  <si>
    <t xml:space="preserve">脚踏</t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</si>
  <si>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 黑</t>
    </r>
  </si>
  <si>
    <t xml:space="preserve">HT</t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</si>
  <si>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银</t>
    </r>
  </si>
  <si>
    <r>
      <rPr>
        <sz val="9"/>
        <color rgb="FF111111"/>
        <rFont val="Arial"/>
        <family val="0"/>
        <charset val="1"/>
      </rPr>
      <t xml:space="preserve">Gineyea </t>
    </r>
    <r>
      <rPr>
        <sz val="9"/>
        <color rgb="FF111111"/>
        <rFont val="DejaVu Sans"/>
        <family val="2"/>
      </rPr>
      <t xml:space="preserve">脚踏  黑</t>
    </r>
  </si>
  <si>
    <t xml:space="preserve">Gineyea</t>
  </si>
  <si>
    <t xml:space="preserve">── 脚踏 合计</t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</si>
  <si>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42-90</t>
    </r>
  </si>
  <si>
    <t xml:space="preserve">MOST</t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</si>
  <si>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42-100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</si>
  <si>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</si>
  <si>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CC01 410-80 </t>
    </r>
    <r>
      <rPr>
        <sz val="9"/>
        <color rgb="FF111111"/>
        <rFont val="DejaVu Sans"/>
        <family val="2"/>
      </rPr>
      <t xml:space="preserve">拆车</t>
    </r>
  </si>
  <si>
    <r>
      <rPr>
        <sz val="9"/>
        <color rgb="FF111111"/>
        <rFont val="DejaVu Sans"/>
        <family val="2"/>
      </rPr>
      <t xml:space="preserve">滚石 车把一体把 三代  滚石一体把 </t>
    </r>
    <r>
      <rPr>
        <sz val="9"/>
        <color rgb="FF111111"/>
        <rFont val="Arial"/>
        <family val="0"/>
        <charset val="1"/>
      </rPr>
      <t xml:space="preserve">420-100</t>
    </r>
  </si>
  <si>
    <t xml:space="preserve">滚石</t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</si>
  <si>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44-100</t>
    </r>
  </si>
  <si>
    <r>
      <rPr>
        <sz val="9"/>
        <color rgb="FF111111"/>
        <rFont val="DejaVu Sans"/>
        <family val="2"/>
      </rPr>
      <t xml:space="preserve">闪电 车把一体把 </t>
    </r>
    <r>
      <rPr>
        <sz val="9"/>
        <color rgb="FF111111"/>
        <rFont val="Arial"/>
        <family val="0"/>
        <charset val="1"/>
      </rPr>
      <t xml:space="preserve">roval</t>
    </r>
    <r>
      <rPr>
        <sz val="9"/>
        <color rgb="FF111111"/>
        <rFont val="DejaVu Sans"/>
        <family val="2"/>
      </rPr>
      <t xml:space="preserve">一体把</t>
    </r>
    <r>
      <rPr>
        <sz val="9"/>
        <color rgb="FF111111"/>
        <rFont val="Arial"/>
        <family val="0"/>
        <charset val="1"/>
      </rPr>
      <t xml:space="preserve">420-100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</si>
  <si>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42-110</t>
    </r>
  </si>
  <si>
    <r>
      <rPr>
        <sz val="9"/>
        <color rgb="FF111111"/>
        <rFont val="Arial"/>
        <family val="0"/>
        <charset val="1"/>
      </rPr>
      <t xml:space="preserve">Cervelo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R5</t>
    </r>
    <r>
      <rPr>
        <sz val="9"/>
        <color rgb="FF111111"/>
        <rFont val="DejaVu Sans"/>
        <family val="2"/>
      </rPr>
      <t xml:space="preserve">队版 </t>
    </r>
    <r>
      <rPr>
        <sz val="9"/>
        <color rgb="FF111111"/>
        <rFont val="Arial"/>
        <family val="0"/>
        <charset val="1"/>
      </rPr>
      <t xml:space="preserve">56</t>
    </r>
    <r>
      <rPr>
        <sz val="9"/>
        <color rgb="FF111111"/>
        <rFont val="DejaVu Sans"/>
        <family val="2"/>
      </rPr>
      <t xml:space="preserve">（带分体把把横</t>
    </r>
    <r>
      <rPr>
        <sz val="9"/>
        <color rgb="FF111111"/>
        <rFont val="Arial"/>
        <family val="0"/>
        <charset val="1"/>
      </rPr>
      <t xml:space="preserve">400</t>
    </r>
    <r>
      <rPr>
        <sz val="9"/>
        <color rgb="FF111111"/>
        <rFont val="DejaVu Sans"/>
        <family val="2"/>
      </rPr>
      <t xml:space="preserve">把立</t>
    </r>
    <r>
      <rPr>
        <sz val="9"/>
        <color rgb="FF111111"/>
        <rFont val="Arial"/>
        <family val="0"/>
        <charset val="1"/>
      </rPr>
      <t xml:space="preserve">100</t>
    </r>
    <r>
      <rPr>
        <sz val="9"/>
        <color rgb="FF111111"/>
        <rFont val="DejaVu Sans"/>
        <family val="2"/>
      </rPr>
      <t xml:space="preserve">）</t>
    </r>
  </si>
  <si>
    <t xml:space="preserve">Cervelo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</si>
  <si>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454(25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</si>
  <si>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</si>
  <si>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r>
      <rPr>
        <sz val="9"/>
        <color rgb="FF111111"/>
        <rFont val="Arial"/>
        <family val="0"/>
        <charset val="1"/>
      </rPr>
      <t xml:space="preserve">syncros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60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XDR</t>
    </r>
    <r>
      <rPr>
        <sz val="9"/>
        <color rgb="FF111111"/>
        <rFont val="DejaVu Sans"/>
        <family val="2"/>
      </rPr>
      <t xml:space="preserve">）</t>
    </r>
  </si>
  <si>
    <t xml:space="preserve">syncros</t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</si>
  <si>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65</t>
    </r>
    <r>
      <rPr>
        <sz val="9"/>
        <color rgb="FF111111"/>
        <rFont val="DejaVu Sans"/>
        <family val="2"/>
      </rPr>
      <t xml:space="preserve">暗标</t>
    </r>
  </si>
  <si>
    <t xml:space="preserve">scope</t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</si>
  <si>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</t>
    </r>
    <r>
      <rPr>
        <sz val="9"/>
        <color rgb="FF111111"/>
        <rFont val="DejaVu Sans"/>
        <family val="2"/>
      </rPr>
      <t xml:space="preserve">暗标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</si>
  <si>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PX5</t>
    </r>
  </si>
  <si>
    <t xml:space="preserve">Natwin</t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</si>
  <si>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黑标 碟刹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</si>
  <si>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</si>
  <si>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PFX5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</si>
  <si>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银标 碟刹</t>
    </r>
  </si>
  <si>
    <r>
      <rPr>
        <sz val="9"/>
        <color rgb="FF111111"/>
        <rFont val="DejaVu Sans"/>
        <family val="2"/>
      </rPr>
      <t xml:space="preserve">静藤 轮组 </t>
    </r>
    <r>
      <rPr>
        <sz val="9"/>
        <color rgb="FF111111"/>
        <rFont val="Arial"/>
        <family val="0"/>
        <charset val="1"/>
      </rPr>
      <t xml:space="preserve">LIGHT  D50</t>
    </r>
  </si>
  <si>
    <t xml:space="preserve">静藤</t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</si>
  <si>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55</t>
    </r>
    <r>
      <rPr>
        <sz val="9"/>
        <color rgb="FF111111"/>
        <rFont val="DejaVu Sans"/>
        <family val="2"/>
      </rPr>
      <t xml:space="preserve">（第三代）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</si>
  <si>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古铜金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</si>
  <si>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轮组 新款风刃</t>
    </r>
    <r>
      <rPr>
        <sz val="9"/>
        <color rgb="FF111111"/>
        <rFont val="Arial"/>
        <family val="0"/>
        <charset val="1"/>
      </rPr>
      <t xml:space="preserve">62</t>
    </r>
    <r>
      <rPr>
        <sz val="9"/>
        <color rgb="FF111111"/>
        <rFont val="DejaVu Sans"/>
        <family val="2"/>
      </rPr>
      <t xml:space="preserve">（白标）</t>
    </r>
  </si>
  <si>
    <t xml:space="preserve">scom</t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</si>
  <si>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65</t>
    </r>
    <r>
      <rPr>
        <sz val="9"/>
        <color rgb="FF111111"/>
        <rFont val="DejaVu Sans"/>
        <family val="2"/>
      </rPr>
      <t xml:space="preserve">（第三代）</t>
    </r>
  </si>
  <si>
    <t xml:space="preserve">链条</t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</si>
  <si>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链条 </t>
    </r>
    <r>
      <rPr>
        <sz val="9"/>
        <color rgb="FF111111"/>
        <rFont val="Arial"/>
        <family val="0"/>
        <charset val="1"/>
      </rPr>
      <t xml:space="preserve">E1 </t>
    </r>
    <r>
      <rPr>
        <sz val="9"/>
        <color rgb="FF111111"/>
        <rFont val="DejaVu Sans"/>
        <family val="2"/>
      </rPr>
      <t xml:space="preserve">链条</t>
    </r>
  </si>
  <si>
    <t xml:space="preserve">── 链条 合计</t>
  </si>
  <si>
    <t xml:space="preserve">锁踏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</si>
  <si>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锁踏 </t>
    </r>
    <r>
      <rPr>
        <sz val="9"/>
        <color rgb="FF111111"/>
        <rFont val="Arial"/>
        <family val="0"/>
        <charset val="1"/>
      </rPr>
      <t xml:space="preserve">PDR 9100</t>
    </r>
  </si>
  <si>
    <t xml:space="preserve">── 锁踏 合计</t>
  </si>
  <si>
    <t xml:space="preserve">骑行台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</si>
  <si>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SNAP</t>
    </r>
  </si>
  <si>
    <t xml:space="preserve">WAHOO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</si>
  <si>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Rollr</t>
    </r>
  </si>
  <si>
    <t xml:space="preserve">── 骑行台 合计</t>
  </si>
  <si>
    <t xml:space="preserve">   正常商品  小计</t>
  </si>
  <si>
    <t xml:space="preserve">   套件类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</si>
  <si>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</si>
  <si>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</si>
  <si>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基础配置</t>
    </r>
  </si>
  <si>
    <t xml:space="preserve">105</t>
  </si>
  <si>
    <r>
      <rPr>
        <sz val="9"/>
        <color rgb="FF111111"/>
        <rFont val="Arial"/>
        <family val="0"/>
        <charset val="1"/>
      </rPr>
      <t xml:space="preserve">APEX </t>
    </r>
    <r>
      <rPr>
        <sz val="9"/>
        <color rgb="FF111111"/>
        <rFont val="DejaVu Sans"/>
        <family val="2"/>
      </rPr>
      <t xml:space="preserve">套件组 基本配置</t>
    </r>
  </si>
  <si>
    <t xml:space="preserve">APEX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</si>
  <si>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基础配置无飞轮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</si>
  <si>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基础配置无飞轮</t>
    </r>
  </si>
  <si>
    <t xml:space="preserve">套件链条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</si>
  <si>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8100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</si>
  <si>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M7100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</si>
  <si>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9100</t>
    </r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</si>
  <si>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E1</t>
    </r>
  </si>
  <si>
    <t xml:space="preserve">RED</t>
  </si>
  <si>
    <t xml:space="preserve">── 套件链条 合计</t>
  </si>
  <si>
    <t xml:space="preserve">套件飞轮</t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</si>
  <si>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10-36T</t>
    </r>
  </si>
  <si>
    <t xml:space="preserve">── 套件飞轮 合计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</si>
  <si>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</si>
  <si>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</si>
  <si>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 165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</si>
  <si>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</si>
  <si>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</si>
  <si>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</si>
  <si>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172.5</t>
    </r>
  </si>
  <si>
    <t xml:space="preserve">碟片组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</si>
  <si>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</si>
  <si>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（对）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</si>
  <si>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</si>
  <si>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</si>
  <si>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 </t>
    </r>
    <r>
      <rPr>
        <sz val="9"/>
        <color rgb="FF111111"/>
        <rFont val="Arial"/>
        <family val="0"/>
        <charset val="1"/>
      </rPr>
      <t xml:space="preserve">MT900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</si>
  <si>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CL900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</si>
  <si>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MT 900</t>
    </r>
    <r>
      <rPr>
        <sz val="9"/>
        <color rgb="FF111111"/>
        <rFont val="DejaVu Sans"/>
        <family val="2"/>
      </rPr>
      <t xml:space="preserve">（对）</t>
    </r>
  </si>
  <si>
    <t xml:space="preserve">── 碟片组 合计</t>
  </si>
  <si>
    <t xml:space="preserve">   套件类  小计</t>
  </si>
  <si>
    <t xml:space="preserve">   自营产品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</si>
  <si>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40</t>
    </r>
  </si>
  <si>
    <t xml:space="preserve">ILLUSION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</si>
  <si>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</si>
  <si>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</si>
  <si>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</si>
  <si>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</si>
  <si>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【暗标】钢条 </t>
    </r>
    <r>
      <rPr>
        <sz val="9"/>
        <color rgb="FF111111"/>
        <rFont val="Arial"/>
        <family val="0"/>
        <charset val="1"/>
      </rPr>
      <t xml:space="preserve">40</t>
    </r>
  </si>
  <si>
    <t xml:space="preserve">   自营产品  小计</t>
  </si>
  <si>
    <t xml:space="preserve">   配件</t>
  </si>
  <si>
    <r>
      <rPr>
        <sz val="9"/>
        <color rgb="FF111111"/>
        <rFont val="Arial"/>
        <family val="0"/>
        <charset val="1"/>
      </rPr>
      <t xml:space="preserve">SHIMANO </t>
    </r>
    <r>
      <rPr>
        <sz val="9"/>
        <color rgb="FF111111"/>
        <rFont val="DejaVu Sans"/>
        <family val="2"/>
      </rPr>
      <t xml:space="preserve">中轴 中轴</t>
    </r>
  </si>
  <si>
    <t xml:space="preserve">SHIMANO</t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</si>
  <si>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T47-68-24R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</si>
  <si>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</si>
  <si>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T47-85.5-24</t>
    </r>
  </si>
  <si>
    <r>
      <rPr>
        <sz val="9"/>
        <color rgb="FF111111"/>
        <rFont val="Arial"/>
        <family val="0"/>
        <charset val="1"/>
      </rPr>
      <t xml:space="preserve">BSA </t>
    </r>
    <r>
      <rPr>
        <sz val="9"/>
        <color rgb="FF111111"/>
        <rFont val="DejaVu Sans"/>
        <family val="2"/>
      </rPr>
      <t xml:space="preserve">中轴 </t>
    </r>
    <r>
      <rPr>
        <sz val="9"/>
        <color rgb="FF111111"/>
        <rFont val="Arial"/>
        <family val="0"/>
        <charset val="1"/>
      </rPr>
      <t xml:space="preserve">BSA</t>
    </r>
    <r>
      <rPr>
        <sz val="9"/>
        <color rgb="FF111111"/>
        <rFont val="DejaVu Sans"/>
        <family val="2"/>
      </rPr>
      <t xml:space="preserve">转</t>
    </r>
    <r>
      <rPr>
        <sz val="9"/>
        <color rgb="FF111111"/>
        <rFont val="Arial"/>
        <family val="0"/>
        <charset val="1"/>
      </rPr>
      <t xml:space="preserve">DUB </t>
    </r>
    <r>
      <rPr>
        <sz val="9"/>
        <color rgb="FF111111"/>
        <rFont val="DejaVu Sans"/>
        <family val="2"/>
      </rPr>
      <t xml:space="preserve">黑色 </t>
    </r>
    <r>
      <rPr>
        <sz val="9"/>
        <color rgb="FF111111"/>
        <rFont val="Arial"/>
        <family val="0"/>
        <charset val="1"/>
      </rPr>
      <t xml:space="preserve">68/73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BSA 386 DB</t>
    </r>
    <r>
      <rPr>
        <sz val="9"/>
        <color rgb="FF111111"/>
        <rFont val="DejaVu Sans"/>
        <family val="2"/>
      </rPr>
      <t xml:space="preserve">）</t>
    </r>
  </si>
  <si>
    <t xml:space="preserve">BSA</t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</si>
  <si>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</t>
    </r>
    <r>
      <rPr>
        <sz val="9"/>
        <color rgb="FF111111"/>
        <rFont val="Arial"/>
        <family val="0"/>
        <charset val="1"/>
      </rPr>
      <t xml:space="preserve">ITA  24</t>
    </r>
  </si>
  <si>
    <r>
      <rPr>
        <sz val="9"/>
        <color rgb="FF111111"/>
        <rFont val="Arial"/>
        <family val="0"/>
        <charset val="1"/>
      </rPr>
      <t xml:space="preserve">TTBICYCLE </t>
    </r>
    <r>
      <rPr>
        <sz val="9"/>
        <color rgb="FF111111"/>
        <rFont val="DejaVu Sans"/>
        <family val="2"/>
      </rPr>
      <t xml:space="preserve">中轴 意大利规格</t>
    </r>
  </si>
  <si>
    <t xml:space="preserve">TTBICYCLE</t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</si>
  <si>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 </t>
    </r>
    <r>
      <rPr>
        <sz val="9"/>
        <color rgb="FF111111"/>
        <rFont val="Arial"/>
        <family val="0"/>
        <charset val="1"/>
      </rPr>
      <t xml:space="preserve">ITA 29</t>
    </r>
  </si>
  <si>
    <t xml:space="preserve">其他小配件</t>
  </si>
  <si>
    <r>
      <rPr>
        <sz val="9"/>
        <color rgb="FF111111"/>
        <rFont val="Arial"/>
        <family val="0"/>
        <charset val="1"/>
      </rPr>
      <t xml:space="preserve">AB </t>
    </r>
    <r>
      <rPr>
        <sz val="9"/>
        <color rgb="FF111111"/>
        <rFont val="DejaVu Sans"/>
        <family val="2"/>
      </rPr>
      <t xml:space="preserve">其他小配件 蓝鳞片</t>
    </r>
  </si>
  <si>
    <t xml:space="preserve">AB</t>
  </si>
  <si>
    <r>
      <rPr>
        <sz val="9"/>
        <color rgb="FF111111"/>
        <rFont val="Arial"/>
        <family val="0"/>
        <charset val="1"/>
      </rPr>
      <t xml:space="preserve">RC </t>
    </r>
    <r>
      <rPr>
        <sz val="9"/>
        <color rgb="FF111111"/>
        <rFont val="DejaVu Sans"/>
        <family val="2"/>
      </rPr>
      <t xml:space="preserve">其他小配件 会员礼盒</t>
    </r>
  </si>
  <si>
    <t xml:space="preserve">RC</t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</si>
  <si>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PINA  </t>
    </r>
    <r>
      <rPr>
        <sz val="9"/>
        <color rgb="FF111111"/>
        <rFont val="DejaVu Sans"/>
        <family val="2"/>
      </rPr>
      <t xml:space="preserve">筒轴杆</t>
    </r>
  </si>
  <si>
    <t xml:space="preserve">S-PARTS</t>
  </si>
  <si>
    <t xml:space="preserve">麦急炫 其他小配件 前车灯</t>
  </si>
  <si>
    <t xml:space="preserve">麦急炫</t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</si>
  <si>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中锁碟片压盖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</si>
  <si>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R8150 </t>
    </r>
    <r>
      <rPr>
        <sz val="9"/>
        <color rgb="FF111111"/>
        <rFont val="DejaVu Sans"/>
        <family val="2"/>
      </rPr>
      <t xml:space="preserve">变速传动套装</t>
    </r>
  </si>
  <si>
    <t xml:space="preserve">S- PARTS</t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</si>
  <si>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R8170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</si>
  <si>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棒棒糖锁踏</t>
    </r>
  </si>
  <si>
    <r>
      <rPr>
        <sz val="9"/>
        <color rgb="FF111111"/>
        <rFont val="Arial"/>
        <family val="0"/>
        <charset val="1"/>
      </rPr>
      <t xml:space="preserve">VOSO </t>
    </r>
    <r>
      <rPr>
        <sz val="9"/>
        <color rgb="FF111111"/>
        <rFont val="DejaVu Sans"/>
        <family val="2"/>
      </rPr>
      <t xml:space="preserve">其他小配件 真空气嘴</t>
    </r>
    <r>
      <rPr>
        <sz val="9"/>
        <color rgb="FF111111"/>
        <rFont val="Arial"/>
        <family val="0"/>
        <charset val="1"/>
      </rPr>
      <t xml:space="preserve">70L</t>
    </r>
  </si>
  <si>
    <t xml:space="preserve">VOSO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</si>
  <si>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KICKR SNAP 142*12</t>
    </r>
    <r>
      <rPr>
        <sz val="9"/>
        <color rgb="FF111111"/>
        <rFont val="DejaVu Sans"/>
        <family val="2"/>
      </rPr>
      <t xml:space="preserve">筒轴转接器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</si>
  <si>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R9270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</si>
  <si>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R9250 </t>
    </r>
    <r>
      <rPr>
        <sz val="9"/>
        <color rgb="FF111111"/>
        <rFont val="DejaVu Sans"/>
        <family val="2"/>
      </rPr>
      <t xml:space="preserve">变速传动套装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</si>
  <si>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其他小配件 水壶架螺丝</t>
    </r>
  </si>
  <si>
    <r>
      <rPr>
        <sz val="9"/>
        <color rgb="FF111111"/>
        <rFont val="DejaVu Sans"/>
        <family val="2"/>
      </rPr>
      <t xml:space="preserve">麦急炫 其他小配件 </t>
    </r>
    <r>
      <rPr>
        <sz val="9"/>
        <color rgb="FF111111"/>
        <rFont val="Arial"/>
        <family val="0"/>
        <charset val="1"/>
      </rPr>
      <t xml:space="preserve">MAGICSHINE </t>
    </r>
    <r>
      <rPr>
        <sz val="9"/>
        <color rgb="FF111111"/>
        <rFont val="DejaVu Sans"/>
        <family val="2"/>
      </rPr>
      <t xml:space="preserve">自行车灯</t>
    </r>
  </si>
  <si>
    <t xml:space="preserve">梅花 其他小配件 码表架</t>
  </si>
  <si>
    <t xml:space="preserve">梅花</t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</si>
  <si>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其他小配件 盘钉</t>
    </r>
  </si>
  <si>
    <t xml:space="preserve">Cybrei</t>
  </si>
  <si>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自行车手机支架</t>
    </r>
  </si>
  <si>
    <t xml:space="preserve">VACUUM</t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</si>
  <si>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充电器</t>
    </r>
  </si>
  <si>
    <t xml:space="preserve">SRAM</t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</si>
  <si>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电池</t>
    </r>
  </si>
  <si>
    <t xml:space="preserve">── 其他小配件 合计</t>
  </si>
  <si>
    <t xml:space="preserve">内胎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</si>
  <si>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25/32C  80mm</t>
    </r>
    <r>
      <rPr>
        <sz val="9"/>
        <color rgb="FF111111"/>
        <rFont val="DejaVu Sans"/>
        <family val="2"/>
      </rPr>
      <t xml:space="preserve">气嘴</t>
    </r>
  </si>
  <si>
    <t xml:space="preserve">正新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</si>
  <si>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60mm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</si>
  <si>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35/43C  80mm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</si>
  <si>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29*1.9/2.35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</si>
  <si>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80mm</t>
    </r>
    <r>
      <rPr>
        <sz val="9"/>
        <color rgb="FF111111"/>
        <rFont val="DejaVu Sans"/>
        <family val="2"/>
      </rPr>
      <t xml:space="preserve">气嘴</t>
    </r>
  </si>
  <si>
    <t xml:space="preserve">── 内胎 合计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</si>
  <si>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</si>
  <si>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MISTRAL </t>
    </r>
    <r>
      <rPr>
        <sz val="9"/>
        <color rgb="FF111111"/>
        <rFont val="DejaVu Sans"/>
        <family val="2"/>
      </rPr>
      <t xml:space="preserve">黑红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</si>
  <si>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</si>
  <si>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咖啡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</si>
  <si>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</si>
  <si>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</si>
  <si>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</si>
  <si>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火爆樱桃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</si>
  <si>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哑光灰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</si>
  <si>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</si>
  <si>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紫色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</si>
  <si>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</si>
  <si>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</si>
  <si>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</si>
  <si>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亮光黑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</si>
  <si>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哑黑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</si>
  <si>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哑灰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</si>
  <si>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橙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</si>
  <si>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</si>
  <si>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磨砂绿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</si>
  <si>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熔岩红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</si>
  <si>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消光白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</si>
  <si>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LEM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Cipressa Af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</si>
  <si>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t xml:space="preserve">LEM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</si>
  <si>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淡莓蓝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</si>
  <si>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Paul Smith*VALEGRO</t>
    </r>
    <r>
      <rPr>
        <sz val="9"/>
        <color rgb="FF111111"/>
        <rFont val="DejaVu Sans"/>
        <family val="2"/>
      </rPr>
      <t xml:space="preserve">星空紫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</si>
  <si>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哑光黑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</si>
  <si>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M</t>
    </r>
  </si>
  <si>
    <t xml:space="preserve">把带</t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</si>
  <si>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黑白</t>
    </r>
  </si>
  <si>
    <t xml:space="preserve">GUEE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</si>
  <si>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把带 黑色 塑料袋包装</t>
    </r>
  </si>
  <si>
    <r>
      <rPr>
        <sz val="9"/>
        <color rgb="FF111111"/>
        <rFont val="Arial"/>
        <family val="0"/>
        <charset val="1"/>
      </rPr>
      <t xml:space="preserve">BURGH </t>
    </r>
    <r>
      <rPr>
        <sz val="9"/>
        <color rgb="FF111111"/>
        <rFont val="DejaVu Sans"/>
        <family val="2"/>
      </rPr>
      <t xml:space="preserve">把带 黑底白色花纹款</t>
    </r>
  </si>
  <si>
    <t xml:space="preserve">BURGH</t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</si>
  <si>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白色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</si>
  <si>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金色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</si>
  <si>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粉色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</si>
  <si>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塑料盒包装</t>
    </r>
  </si>
  <si>
    <t xml:space="preserve">NPY</t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</si>
  <si>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塑料板塑封包装（白色）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</si>
  <si>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塑料板塑封包装（黑色）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</si>
  <si>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灰色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</si>
  <si>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银色花纹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</si>
  <si>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红色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</si>
  <si>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塑料袋包装</t>
    </r>
  </si>
  <si>
    <t xml:space="preserve">── 把带 合计</t>
  </si>
  <si>
    <t xml:space="preserve">眼镜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</si>
  <si>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RCC PT </t>
    </r>
    <r>
      <rPr>
        <sz val="9"/>
        <color rgb="FF111111"/>
        <rFont val="DejaVu Sans"/>
        <family val="2"/>
      </rPr>
      <t xml:space="preserve">黑</t>
    </r>
  </si>
  <si>
    <t xml:space="preserve">Rapha</t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</si>
  <si>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黄白</t>
    </r>
  </si>
  <si>
    <t xml:space="preserve">KOO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</si>
  <si>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海军蓝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</si>
  <si>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</si>
  <si>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白色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</si>
  <si>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</t>
    </r>
    <r>
      <rPr>
        <sz val="9"/>
        <color rgb="FF111111"/>
        <rFont val="Arial"/>
        <family val="0"/>
        <charset val="1"/>
      </rPr>
      <t xml:space="preserve">1800</t>
    </r>
    <r>
      <rPr>
        <sz val="9"/>
        <color rgb="FF111111"/>
        <rFont val="DejaVu Sans"/>
        <family val="2"/>
      </rPr>
      <t xml:space="preserve">元无边框有原盒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</si>
  <si>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在</t>
    </r>
    <r>
      <rPr>
        <sz val="9"/>
        <color rgb="FF111111"/>
        <rFont val="Arial"/>
        <family val="0"/>
        <charset val="1"/>
      </rPr>
      <t xml:space="preserve">ROO</t>
    </r>
    <r>
      <rPr>
        <sz val="9"/>
        <color rgb="FF111111"/>
        <rFont val="DejaVu Sans"/>
        <family val="2"/>
      </rPr>
      <t xml:space="preserve">盒子里面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</si>
  <si>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果冻白</t>
    </r>
  </si>
  <si>
    <t xml:space="preserve">Kplus</t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</si>
  <si>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</t>
    </r>
    <r>
      <rPr>
        <sz val="9"/>
        <color rgb="FF111111"/>
        <rFont val="DejaVu Sans"/>
        <family val="2"/>
      </rPr>
      <t xml:space="preserve">白腿无框蓝片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</si>
  <si>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松柏红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</si>
  <si>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烟熏灰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</si>
  <si>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白框透明片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</si>
  <si>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t xml:space="preserve">GRC</t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</si>
  <si>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藏蓝色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</si>
  <si>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黑框红片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</si>
  <si>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灰框透明片 </t>
    </r>
    <r>
      <rPr>
        <sz val="9"/>
        <color rgb="FF111111"/>
        <rFont val="Arial"/>
        <family val="0"/>
        <charset val="1"/>
      </rPr>
      <t xml:space="preserve">THCH</t>
    </r>
    <r>
      <rPr>
        <sz val="9"/>
        <color rgb="FF111111"/>
        <rFont val="DejaVu Sans"/>
        <family val="2"/>
      </rPr>
      <t xml:space="preserve">系列</t>
    </r>
  </si>
  <si>
    <t xml:space="preserve">── 眼镜 合计</t>
  </si>
  <si>
    <t xml:space="preserve">骑行服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</si>
  <si>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¥888</t>
    </r>
  </si>
  <si>
    <t xml:space="preserve">RAPHA</t>
  </si>
  <si>
    <r>
      <rPr>
        <sz val="9"/>
        <color rgb="FF111111"/>
        <rFont val="DejaVu Sans"/>
        <family val="2"/>
      </rPr>
      <t xml:space="preserve">其他 骑行服 断码骑行短裤 </t>
    </r>
    <r>
      <rPr>
        <sz val="9"/>
        <color rgb="FF111111"/>
        <rFont val="Arial"/>
        <family val="0"/>
        <charset val="1"/>
      </rPr>
      <t xml:space="preserve">¥1298</t>
    </r>
  </si>
  <si>
    <t xml:space="preserve">其他</t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</si>
  <si>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短袖上衣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¥2080</t>
    </r>
  </si>
  <si>
    <t xml:space="preserve">VB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</si>
  <si>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短袖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</si>
  <si>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七分骑行裤 </t>
    </r>
    <r>
      <rPr>
        <sz val="9"/>
        <color rgb="FF111111"/>
        <rFont val="Arial"/>
        <family val="0"/>
        <charset val="1"/>
      </rPr>
      <t xml:space="preserve">BSL ¥2360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</si>
  <si>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拖鞋</t>
    </r>
  </si>
  <si>
    <t xml:space="preserve">RCC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</si>
  <si>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BIG ¥1720</t>
    </r>
    <r>
      <rPr>
        <sz val="9"/>
        <color rgb="FF111111"/>
        <rFont val="DejaVu Sans"/>
        <family val="2"/>
      </rPr>
      <t xml:space="preserve">（厚）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</si>
  <si>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连体骑行裤 </t>
    </r>
    <r>
      <rPr>
        <sz val="9"/>
        <color rgb="FF111111"/>
        <rFont val="Arial"/>
        <family val="0"/>
        <charset val="1"/>
      </rPr>
      <t xml:space="preserve">¥2450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</si>
  <si>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风衣 </t>
    </r>
    <r>
      <rPr>
        <sz val="9"/>
        <color rgb="FF111111"/>
        <rFont val="Arial"/>
        <family val="0"/>
        <charset val="1"/>
      </rPr>
      <t xml:space="preserve">CRR ¥1430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</si>
  <si>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长裤 </t>
    </r>
    <r>
      <rPr>
        <sz val="9"/>
        <color rgb="FF111111"/>
        <rFont val="Arial"/>
        <family val="0"/>
        <charset val="1"/>
      </rPr>
      <t xml:space="preserve">AHO ¥1560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</si>
  <si>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骑行裤 </t>
    </r>
    <r>
      <rPr>
        <sz val="9"/>
        <color rgb="FF111111"/>
        <rFont val="Arial"/>
        <family val="0"/>
        <charset val="1"/>
      </rPr>
      <t xml:space="preserve">¥2900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</si>
  <si>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</si>
  <si>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t xml:space="preserve">PISSEI</t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</si>
  <si>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</si>
  <si>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连体服（</t>
    </r>
    <r>
      <rPr>
        <sz val="9"/>
        <color rgb="FF111111"/>
        <rFont val="Arial"/>
        <family val="0"/>
        <charset val="1"/>
      </rPr>
      <t xml:space="preserve">UAEM012PR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</si>
  <si>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BGL ¥1220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</si>
  <si>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短袖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¥1220</t>
    </r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</si>
  <si>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连体骑行短裤 </t>
    </r>
    <r>
      <rPr>
        <sz val="9"/>
        <color rgb="FF111111"/>
        <rFont val="Arial"/>
        <family val="0"/>
        <charset val="1"/>
      </rPr>
      <t xml:space="preserve">¥2280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</si>
  <si>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BJR ¥1850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</si>
  <si>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卫衣 </t>
    </r>
    <r>
      <rPr>
        <sz val="9"/>
        <color rgb="FF111111"/>
        <rFont val="Arial"/>
        <family val="0"/>
        <charset val="1"/>
      </rPr>
      <t xml:space="preserve">LPH ¥868</t>
    </r>
  </si>
  <si>
    <r>
      <rPr>
        <sz val="9"/>
        <color rgb="FF111111"/>
        <rFont val="DejaVu Sans"/>
        <family val="2"/>
      </rPr>
      <t xml:space="preserve">其他 骑行服 断码风衣 </t>
    </r>
    <r>
      <rPr>
        <sz val="9"/>
        <color rgb="FF111111"/>
        <rFont val="Arial"/>
        <family val="0"/>
        <charset val="1"/>
      </rPr>
      <t xml:space="preserve">¥1650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</si>
  <si>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断码风衣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</si>
  <si>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CLL ¥1560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</si>
  <si>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袜子 </t>
    </r>
    <r>
      <rPr>
        <sz val="9"/>
        <color rgb="FF111111"/>
        <rFont val="Arial"/>
        <family val="0"/>
        <charset val="1"/>
      </rPr>
      <t xml:space="preserve">¥199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</si>
  <si>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</si>
  <si>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</si>
  <si>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</si>
  <si>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</si>
  <si>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短袖上衣（</t>
    </r>
    <r>
      <rPr>
        <sz val="9"/>
        <color rgb="FF111111"/>
        <rFont val="Arial"/>
        <family val="0"/>
        <charset val="1"/>
      </rPr>
      <t xml:space="preserve">UAEM01P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</si>
  <si>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¥1000</t>
    </r>
  </si>
  <si>
    <r>
      <rPr>
        <sz val="9"/>
        <color rgb="FF111111"/>
        <rFont val="DejaVu Sans"/>
        <family val="2"/>
      </rPr>
      <t xml:space="preserve">其他 骑行服 断码外套 </t>
    </r>
    <r>
      <rPr>
        <sz val="9"/>
        <color rgb="FF111111"/>
        <rFont val="Arial"/>
        <family val="0"/>
        <charset val="1"/>
      </rPr>
      <t xml:space="preserve">¥888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</si>
  <si>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粉色短袖 </t>
    </r>
    <r>
      <rPr>
        <sz val="9"/>
        <color rgb="FF111111"/>
        <rFont val="Arial"/>
        <family val="0"/>
        <charset val="1"/>
      </rPr>
      <t xml:space="preserve">¥830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</si>
  <si>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手套黑色带光条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</si>
  <si>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</si>
  <si>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</si>
  <si>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</si>
  <si>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HIRZL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GRIPPP TOUR 2.0 </t>
    </r>
    <r>
      <rPr>
        <sz val="9"/>
        <color rgb="FF111111"/>
        <rFont val="DejaVu Sans"/>
        <family val="2"/>
      </rPr>
      <t xml:space="preserve">手套</t>
    </r>
  </si>
  <si>
    <t xml:space="preserve">HIRZL</t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</si>
  <si>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队版夏季骑行手套 </t>
    </r>
    <r>
      <rPr>
        <sz val="9"/>
        <color rgb="FF111111"/>
        <rFont val="Arial"/>
        <family val="0"/>
        <charset val="1"/>
      </rPr>
      <t xml:space="preserve">XS</t>
    </r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</si>
  <si>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骑行上衣 男款 短袖 </t>
    </r>
    <r>
      <rPr>
        <sz val="9"/>
        <color rgb="FF111111"/>
        <rFont val="Arial"/>
        <family val="0"/>
        <charset val="1"/>
      </rPr>
      <t xml:space="preserve">¥589</t>
    </r>
  </si>
  <si>
    <t xml:space="preserve">Turtle Rabbit</t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</si>
  <si>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骑行裤 男款 短裤 </t>
    </r>
    <r>
      <rPr>
        <sz val="9"/>
        <color rgb="FF111111"/>
        <rFont val="Arial"/>
        <family val="0"/>
        <charset val="1"/>
      </rPr>
      <t xml:space="preserve">¥739</t>
    </r>
  </si>
  <si>
    <t xml:space="preserve">── 骑行服 合计</t>
  </si>
  <si>
    <t xml:space="preserve">   配件  小计</t>
  </si>
  <si>
    <t xml:space="preserve">   铺货商品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</si>
  <si>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黄色 </t>
    </r>
    <r>
      <rPr>
        <sz val="9"/>
        <color rgb="FF111111"/>
        <rFont val="Arial"/>
        <family val="0"/>
        <charset val="1"/>
      </rPr>
      <t xml:space="preserve">455</t>
    </r>
    <r>
      <rPr>
        <sz val="9"/>
        <color rgb="FF111111"/>
        <rFont val="DejaVu Sans"/>
        <family val="2"/>
      </rPr>
      <t xml:space="preserve">（环法）</t>
    </r>
  </si>
  <si>
    <r>
      <rPr>
        <sz val="9"/>
        <color rgb="FF111111"/>
        <rFont val="Arial"/>
        <family val="0"/>
        <charset val="1"/>
      </rPr>
      <t xml:space="preserve">Specialised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SL7 </t>
    </r>
    <r>
      <rPr>
        <sz val="9"/>
        <color rgb="FF111111"/>
        <rFont val="DejaVu Sans"/>
        <family val="2"/>
      </rPr>
      <t xml:space="preserve">冲刺王 绿</t>
    </r>
  </si>
  <si>
    <t xml:space="preserve">Specialised</t>
  </si>
  <si>
    <r>
      <rPr>
        <sz val="9"/>
        <color rgb="FF111111"/>
        <rFont val="Arial"/>
        <family val="0"/>
        <charset val="1"/>
      </rPr>
      <t xml:space="preserve">BMC </t>
    </r>
    <r>
      <rPr>
        <sz val="9"/>
        <color rgb="FF111111"/>
        <rFont val="DejaVu Sans"/>
        <family val="2"/>
      </rPr>
      <t xml:space="preserve">车架 蓝红色 </t>
    </r>
    <r>
      <rPr>
        <sz val="9"/>
        <color rgb="FF111111"/>
        <rFont val="Arial"/>
        <family val="0"/>
        <charset val="1"/>
      </rPr>
      <t xml:space="preserve">47</t>
    </r>
  </si>
  <si>
    <t xml:space="preserve">BMC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</si>
  <si>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彩虹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</si>
  <si>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L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</si>
  <si>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</si>
  <si>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黑色彩虹（带把）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</si>
  <si>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ZWIFT 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</si>
  <si>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变色龙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</si>
  <si>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白色车标 </t>
    </r>
    <r>
      <rPr>
        <sz val="9"/>
        <color rgb="FF111111"/>
        <rFont val="Arial"/>
        <family val="0"/>
        <charset val="1"/>
      </rPr>
      <t xml:space="preserve">540</t>
    </r>
    <r>
      <rPr>
        <sz val="9"/>
        <color rgb="FF111111"/>
        <rFont val="DejaVu Sans"/>
        <family val="2"/>
      </rPr>
      <t xml:space="preserve">（带白把））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</si>
  <si>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金色车标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（带粉白把））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</si>
  <si>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530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42-100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</si>
  <si>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全金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42-120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</si>
  <si>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队版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</si>
  <si>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t xml:space="preserve">LOOK</t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</si>
  <si>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红色 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</si>
  <si>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SL7  </t>
    </r>
    <r>
      <rPr>
        <sz val="9"/>
        <color rgb="FF111111"/>
        <rFont val="DejaVu Sans"/>
        <family val="2"/>
      </rPr>
      <t xml:space="preserve">彩虹冰裂纹 （签名版）</t>
    </r>
    <r>
      <rPr>
        <sz val="9"/>
        <color rgb="FF111111"/>
        <rFont val="Arial"/>
        <family val="0"/>
        <charset val="1"/>
      </rPr>
      <t xml:space="preserve">54</t>
    </r>
  </si>
  <si>
    <r>
      <rPr>
        <sz val="9"/>
        <color rgb="FF111111"/>
        <rFont val="DejaVu Sans"/>
        <family val="2"/>
      </rPr>
      <t xml:space="preserve">帕索尼 车架 虎纹 </t>
    </r>
    <r>
      <rPr>
        <sz val="9"/>
        <color rgb="FF111111"/>
        <rFont val="Arial"/>
        <family val="0"/>
        <charset val="1"/>
      </rPr>
      <t xml:space="preserve">54</t>
    </r>
  </si>
  <si>
    <t xml:space="preserve">帕索尼</t>
  </si>
  <si>
    <t xml:space="preserve">帕索尼 轮组 五福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</si>
  <si>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CORE </t>
    </r>
    <r>
      <rPr>
        <sz val="9"/>
        <color rgb="FF111111"/>
        <rFont val="DejaVu Sans"/>
        <family val="2"/>
      </rPr>
      <t xml:space="preserve">自行车骑行台（</t>
    </r>
    <r>
      <rPr>
        <sz val="9"/>
        <color rgb="FF111111"/>
        <rFont val="Arial"/>
        <family val="0"/>
        <charset val="1"/>
      </rPr>
      <t xml:space="preserve">CLIMB</t>
    </r>
    <r>
      <rPr>
        <sz val="9"/>
        <color rgb="FF111111"/>
        <rFont val="DejaVu Sans"/>
        <family val="2"/>
      </rPr>
      <t xml:space="preserve">通用）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</si>
  <si>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</t>
    </r>
    <r>
      <rPr>
        <sz val="9"/>
        <color rgb="FF111111"/>
        <rFont val="DejaVu Sans"/>
        <family val="2"/>
      </rPr>
      <t xml:space="preserve">自行车智能骑行台 </t>
    </r>
    <r>
      <rPr>
        <sz val="9"/>
        <color rgb="FF111111"/>
        <rFont val="Arial"/>
        <family val="0"/>
        <charset val="1"/>
      </rPr>
      <t xml:space="preserve">WI-FI</t>
    </r>
    <r>
      <rPr>
        <sz val="9"/>
        <color rgb="FF111111"/>
        <rFont val="DejaVu Sans"/>
        <family val="2"/>
      </rPr>
      <t xml:space="preserve">版本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</si>
  <si>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KIKCR CLIMB</t>
    </r>
    <r>
      <rPr>
        <sz val="9"/>
        <color rgb="FF111111"/>
        <rFont val="DejaVu Sans"/>
        <family val="2"/>
      </rPr>
      <t xml:space="preserve">爬坡模拟器</t>
    </r>
  </si>
  <si>
    <t xml:space="preserve">   铺货商品  小计</t>
  </si>
  <si>
    <t xml:space="preserve">   未标注</t>
  </si>
  <si>
    <t xml:space="preserve">滨江仓库</t>
  </si>
  <si>
    <r>
      <rPr>
        <sz val="9"/>
        <color rgb="FF111111"/>
        <rFont val="Arial"/>
        <family val="0"/>
        <charset val="1"/>
      </rPr>
      <t xml:space="preserve">BONTRAGER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RSL 62</t>
    </r>
  </si>
  <si>
    <t xml:space="preserve">BONTRAGER</t>
  </si>
  <si>
    <t xml:space="preserve">未标注  小计</t>
  </si>
  <si>
    <t xml:space="preserve">   电助力相关</t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</si>
  <si>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🚲无前拨</t>
    </r>
  </si>
  <si>
    <t xml:space="preserve">电助力相关</t>
  </si>
  <si>
    <t xml:space="preserve">电助力相关  小计</t>
  </si>
  <si>
    <t xml:space="preserve">全部合计</t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</si>
  <si>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 · *</t>
    </r>
    <r>
      <rPr>
        <sz val="8"/>
        <color rgb="FF999999"/>
        <rFont val="DejaVu Sans"/>
        <family val="2"/>
      </rPr>
      <t xml:space="preserve">负责人依据</t>
    </r>
    <r>
      <rPr>
        <sz val="8"/>
        <color rgb="FF999999"/>
        <rFont val="Arial"/>
        <family val="0"/>
        <charset val="1"/>
      </rPr>
      <t xml:space="preserve">2026</t>
    </r>
    <r>
      <rPr>
        <sz val="8"/>
        <color rgb="FF999999"/>
        <rFont val="DejaVu Sans"/>
        <family val="2"/>
      </rPr>
      <t xml:space="preserve">年初清库分配截图</t>
    </r>
  </si>
  <si>
    <t xml:space="preserve">库存清理跟踪</t>
  </si>
  <si>
    <r>
      <rPr>
        <sz val="9"/>
        <color rgb="FF999999"/>
        <rFont val="DejaVu Sans"/>
        <family val="2"/>
      </rPr>
      <t xml:space="preserve">数据基准：</t>
    </r>
    <r>
      <rPr>
        <sz val="9"/>
        <color rgb="FF999999"/>
        <rFont val="Arial"/>
        <family val="0"/>
        <charset val="1"/>
      </rPr>
      <t xml:space="preserve">2026-03-11 · </t>
    </r>
    <r>
      <rPr>
        <sz val="9"/>
        <color rgb="FF999999"/>
        <rFont val="DejaVu Sans"/>
        <family val="2"/>
      </rPr>
      <t xml:space="preserve">每两周更新「下次更新」列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黄色</t>
    </r>
    <r>
      <rPr>
        <sz val="9"/>
        <color rgb="FF999999"/>
        <rFont val="Arial"/>
        <family val="0"/>
        <charset val="1"/>
      </rPr>
      <t xml:space="preserve">=</t>
    </r>
    <r>
      <rPr>
        <sz val="9"/>
        <color rgb="FF999999"/>
        <rFont val="DejaVu Sans"/>
        <family val="2"/>
      </rPr>
      <t xml:space="preserve">手动填写目标值 </t>
    </r>
    <r>
      <rPr>
        <sz val="9"/>
        <color rgb="FF999999"/>
        <rFont val="Arial"/>
        <family val="0"/>
        <charset val="1"/>
      </rPr>
      <t xml:space="preserve">· G~J</t>
    </r>
    <r>
      <rPr>
        <sz val="9"/>
        <color rgb="FF999999"/>
        <rFont val="DejaVu Sans"/>
        <family val="2"/>
      </rPr>
      <t xml:space="preserve">列由新数据更新后自动对比</t>
    </r>
  </si>
  <si>
    <r>
      <rPr>
        <sz val="9"/>
        <color rgb="FF999999"/>
        <rFont val="DejaVu Sans"/>
        <family val="2"/>
      </rPr>
      <t xml:space="preserve">使用方式：</t>
    </r>
    <r>
      <rPr>
        <sz val="9"/>
        <color rgb="FF999999"/>
        <rFont val="Arial"/>
        <family val="0"/>
        <charset val="1"/>
      </rPr>
      <t xml:space="preserve">Mia </t>
    </r>
    <r>
      <rPr>
        <sz val="9"/>
        <color rgb="FF999999"/>
        <rFont val="DejaVu Sans"/>
        <family val="2"/>
      </rPr>
      <t xml:space="preserve">每次发送最新数据导出 → 更新</t>
    </r>
    <r>
      <rPr>
        <sz val="9"/>
        <color rgb="FF999999"/>
        <rFont val="Arial"/>
        <family val="0"/>
        <charset val="1"/>
      </rPr>
      <t xml:space="preserve">G</t>
    </r>
    <r>
      <rPr>
        <sz val="9"/>
        <color rgb="FF999999"/>
        <rFont val="DejaVu Sans"/>
        <family val="2"/>
      </rPr>
      <t xml:space="preserve">列</t>
    </r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件数</t>
    </r>
    <r>
      <rPr>
        <sz val="9"/>
        <color rgb="FF999999"/>
        <rFont val="Arial"/>
        <family val="0"/>
        <charset val="1"/>
      </rPr>
      <t xml:space="preserve">)</t>
    </r>
    <r>
      <rPr>
        <sz val="9"/>
        <color rgb="FF999999"/>
        <rFont val="DejaVu Sans"/>
        <family val="2"/>
      </rPr>
      <t xml:space="preserve">和</t>
    </r>
    <r>
      <rPr>
        <sz val="9"/>
        <color rgb="FF999999"/>
        <rFont val="Arial"/>
        <family val="0"/>
        <charset val="1"/>
      </rPr>
      <t xml:space="preserve">H</t>
    </r>
    <r>
      <rPr>
        <sz val="9"/>
        <color rgb="FF999999"/>
        <rFont val="DejaVu Sans"/>
        <family val="2"/>
      </rPr>
      <t xml:space="preserve">列</t>
    </r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成本</t>
    </r>
    <r>
      <rPr>
        <sz val="9"/>
        <color rgb="FF999999"/>
        <rFont val="Arial"/>
        <family val="0"/>
        <charset val="1"/>
      </rPr>
      <t xml:space="preserve">) → I/J</t>
    </r>
    <r>
      <rPr>
        <sz val="9"/>
        <color rgb="FF999999"/>
        <rFont val="DejaVu Sans"/>
        <family val="2"/>
      </rPr>
      <t xml:space="preserve">列自动算已清数量 → </t>
    </r>
    <r>
      <rPr>
        <sz val="9"/>
        <color rgb="FF999999"/>
        <rFont val="Arial"/>
        <family val="0"/>
        <charset val="1"/>
      </rPr>
      <t xml:space="preserve">K/N</t>
    </r>
    <r>
      <rPr>
        <sz val="9"/>
        <color rgb="FF999999"/>
        <rFont val="DejaVu Sans"/>
        <family val="2"/>
      </rPr>
      <t xml:space="preserve">列填写目标</t>
    </r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万元</t>
    </r>
    <r>
      <rPr>
        <sz val="9"/>
        <color rgb="FF999999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</si>
  <si>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名称
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同库存</t>
    </r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明细</t>
    </r>
    <r>
      <rPr>
        <b val="true"/>
        <sz val="8"/>
        <color rgb="FF111111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</si>
  <si>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3/11
</t>
    </r>
    <r>
      <rPr>
        <b val="true"/>
        <sz val="8"/>
        <color rgb="FF111111"/>
        <rFont val="DejaVu Sans"/>
        <family val="2"/>
      </rPr>
      <t xml:space="preserve">件数</t>
    </r>
  </si>
  <si>
    <r>
      <rPr>
        <b val="true"/>
        <sz val="8"/>
        <color rgb="FF111111"/>
        <rFont val="Arial"/>
        <family val="0"/>
        <charset val="1"/>
      </rPr>
      <t xml:space="preserve">3/11
</t>
    </r>
    <r>
      <rPr>
        <b val="true"/>
        <sz val="8"/>
        <color rgb="FF111111"/>
        <rFont val="DejaVu Sans"/>
        <family val="2"/>
      </rPr>
      <t xml:space="preserve">成本</t>
    </r>
  </si>
  <si>
    <t xml:space="preserve">下次更新
件数</t>
  </si>
  <si>
    <t xml:space="preserve">下次
成本</t>
  </si>
  <si>
    <t xml:space="preserve">已清
件数</t>
  </si>
  <si>
    <t xml:space="preserve">已清
成本</t>
  </si>
  <si>
    <r>
      <rPr>
        <b val="true"/>
        <sz val="8"/>
        <color rgb="FF111111"/>
        <rFont val="Arial"/>
        <family val="0"/>
        <charset val="1"/>
      </rPr>
      <t xml:space="preserve">4</t>
    </r>
    <r>
      <rPr>
        <b val="true"/>
        <sz val="8"/>
        <color rgb="FF111111"/>
        <rFont val="DejaVu Sans"/>
        <family val="2"/>
      </rPr>
      <t xml:space="preserve">月</t>
    </r>
    <r>
      <rPr>
        <b val="true"/>
        <sz val="8"/>
        <color rgb="FF111111"/>
        <rFont val="Arial"/>
        <family val="0"/>
        <charset val="1"/>
      </rPr>
      <t xml:space="preserve">15</t>
    </r>
    <r>
      <rPr>
        <b val="true"/>
        <sz val="8"/>
        <color rgb="FF111111"/>
        <rFont val="DejaVu Sans"/>
        <family val="2"/>
      </rPr>
      <t xml:space="preserve">日
目标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万</t>
    </r>
    <r>
      <rPr>
        <b val="true"/>
        <sz val="8"/>
        <color rgb="FF111111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</si>
  <si>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4</t>
    </r>
    <r>
      <rPr>
        <b val="true"/>
        <sz val="8"/>
        <color rgb="FF111111"/>
        <rFont val="DejaVu Sans"/>
        <family val="2"/>
      </rPr>
      <t xml:space="preserve">月</t>
    </r>
    <r>
      <rPr>
        <b val="true"/>
        <sz val="8"/>
        <color rgb="FF111111"/>
        <rFont val="Arial"/>
        <family val="0"/>
        <charset val="1"/>
      </rPr>
      <t xml:space="preserve">15</t>
    </r>
    <r>
      <rPr>
        <b val="true"/>
        <sz val="8"/>
        <color rgb="FF111111"/>
        <rFont val="DejaVu Sans"/>
        <family val="2"/>
      </rPr>
      <t xml:space="preserve">日
实际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万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</si>
  <si>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完成率</t>
  </si>
  <si>
    <r>
      <rPr>
        <b val="true"/>
        <sz val="8"/>
        <color rgb="FF111111"/>
        <rFont val="Arial"/>
        <family val="0"/>
        <charset val="1"/>
      </rPr>
      <t xml:space="preserve">6</t>
    </r>
    <r>
      <rPr>
        <b val="true"/>
        <sz val="8"/>
        <color rgb="FF111111"/>
        <rFont val="DejaVu Sans"/>
        <family val="2"/>
      </rPr>
      <t xml:space="preserve">月</t>
    </r>
    <r>
      <rPr>
        <b val="true"/>
        <sz val="8"/>
        <color rgb="FF111111"/>
        <rFont val="Arial"/>
        <family val="0"/>
        <charset val="1"/>
      </rPr>
      <t xml:space="preserve">15</t>
    </r>
    <r>
      <rPr>
        <b val="true"/>
        <sz val="8"/>
        <color rgb="FF111111"/>
        <rFont val="DejaVu Sans"/>
        <family val="2"/>
      </rPr>
      <t xml:space="preserve">日
目标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万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</si>
  <si>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备注</t>
  </si>
  <si>
    <r>
      <rPr>
        <b val="true"/>
        <sz val="10"/>
        <color rgb="FF8B1A1A"/>
        <rFont val="DejaVu Sans"/>
        <family val="2"/>
      </rPr>
      <t xml:space="preserve">▸  张振  —  </t>
    </r>
    <r>
      <rPr>
        <b val="true"/>
        <sz val="10"/>
        <color rgb="FF8B1A1A"/>
        <rFont val="Times New Roman"/>
        <family val="0"/>
        <charset val="1"/>
      </rPr>
      <t xml:space="preserve">93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¥95.4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</si>
  <si>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郭城  —  </t>
    </r>
    <r>
      <rPr>
        <b val="true"/>
        <sz val="10"/>
        <color rgb="FF8B1A1A"/>
        <rFont val="Times New Roman"/>
        <family val="0"/>
        <charset val="1"/>
      </rPr>
      <t xml:space="preserve">20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¥29.9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</si>
  <si>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潘昊  —  </t>
    </r>
    <r>
      <rPr>
        <b val="true"/>
        <sz val="10"/>
        <color rgb="FF8B1A1A"/>
        <rFont val="Times New Roman"/>
        <family val="0"/>
        <charset val="1"/>
      </rPr>
      <t xml:space="preserve">18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¥8.6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</si>
  <si>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海尔  —  </t>
    </r>
    <r>
      <rPr>
        <b val="true"/>
        <sz val="10"/>
        <color rgb="FF8B1A1A"/>
        <rFont val="Times New Roman"/>
        <family val="0"/>
        <charset val="1"/>
      </rPr>
      <t xml:space="preserve">3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¥7.0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</si>
  <si>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程总  —  </t>
    </r>
    <r>
      <rPr>
        <b val="true"/>
        <sz val="10"/>
        <color rgb="FF8B1A1A"/>
        <rFont val="Times New Roman"/>
        <family val="0"/>
        <charset val="1"/>
      </rPr>
      <t xml:space="preserve">1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¥0.2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</si>
  <si>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CC6600"/>
        <rFont val="Times New Roman"/>
        <family val="0"/>
        <charset val="1"/>
      </rPr>
      <t xml:space="preserve">▸  (</t>
    </r>
    <r>
      <rPr>
        <b val="true"/>
        <sz val="10"/>
        <color rgb="FFCC6600"/>
        <rFont val="DejaVu Sans"/>
        <family val="2"/>
      </rPr>
      <t xml:space="preserve">待确认</t>
    </r>
    <r>
      <rPr>
        <b val="true"/>
        <sz val="10"/>
        <color rgb="FFCC6600"/>
        <rFont val="Times New Roman"/>
        <family val="0"/>
        <charset val="1"/>
      </rPr>
      <t xml:space="preserve">)  —  113</t>
    </r>
    <r>
      <rPr>
        <b val="true"/>
        <sz val="10"/>
        <color rgb="FFCC6600"/>
        <rFont val="DejaVu Sans"/>
        <family val="2"/>
      </rPr>
      <t xml:space="preserve">件  </t>
    </r>
    <r>
      <rPr>
        <b val="true"/>
        <sz val="10"/>
        <color rgb="FFCC6600"/>
        <rFont val="Times New Roman"/>
        <family val="0"/>
        <charset val="1"/>
      </rPr>
      <t xml:space="preserve">/  ¥2.3</t>
    </r>
    <r>
      <rPr>
        <b val="true"/>
        <sz val="10"/>
        <color rgb="FFCC6600"/>
        <rFont val="DejaVu Sans"/>
        <family val="2"/>
      </rPr>
      <t xml:space="preserve">万</t>
    </r>
  </si>
  <si>
    <r>
      <rPr>
        <sz val="8"/>
        <color rgb="FF8B1A1A"/>
        <rFont val="DejaVu Sans"/>
        <family val="2"/>
      </rPr>
      <t xml:space="preserve">⚠  萨玛仕座垫</t>
    </r>
    <r>
      <rPr>
        <sz val="8"/>
        <color rgb="FF8B1A1A"/>
        <rFont val="Arial"/>
        <family val="0"/>
        <charset val="1"/>
      </rPr>
      <t xml:space="preserve">3D</t>
    </r>
    <r>
      <rPr>
        <sz val="8"/>
        <color rgb="FF8B1A1A"/>
        <rFont val="DejaVu Sans"/>
        <family val="2"/>
      </rPr>
      <t xml:space="preserve">打印（电助力用）</t>
    </r>
    <r>
      <rPr>
        <sz val="8"/>
        <color rgb="FF8B1A1A"/>
        <rFont val="Arial"/>
        <family val="0"/>
        <charset val="1"/>
      </rPr>
      <t xml:space="preserve">113</t>
    </r>
    <r>
      <rPr>
        <sz val="8"/>
        <color rgb="FF8B1A1A"/>
        <rFont val="DejaVu Sans"/>
        <family val="2"/>
      </rPr>
      <t xml:space="preserve">件</t>
    </r>
    <r>
      <rPr>
        <sz val="8"/>
        <color rgb="FF8B1A1A"/>
        <rFont val="Arial"/>
        <family val="0"/>
        <charset val="1"/>
      </rPr>
      <t xml:space="preserve">/¥2.3</t>
    </r>
    <r>
      <rPr>
        <sz val="8"/>
        <color rgb="FF8B1A1A"/>
        <rFont val="DejaVu Sans"/>
        <family val="2"/>
      </rPr>
      <t xml:space="preserve">万 标注为</t>
    </r>
    <r>
      <rPr>
        <sz val="8"/>
        <color rgb="FF8B1A1A"/>
        <rFont val="Arial"/>
        <family val="0"/>
        <charset val="1"/>
      </rPr>
      <t xml:space="preserve">(</t>
    </r>
    <r>
      <rPr>
        <sz val="8"/>
        <color rgb="FF8B1A1A"/>
        <rFont val="DejaVu Sans"/>
        <family val="2"/>
      </rPr>
      <t xml:space="preserve">待确认</t>
    </r>
    <r>
      <rPr>
        <sz val="8"/>
        <color rgb="FF8B1A1A"/>
        <rFont val="Arial"/>
        <family val="0"/>
        <charset val="1"/>
      </rPr>
      <t xml:space="preserve">)</t>
    </r>
    <r>
      <rPr>
        <sz val="8"/>
        <color rgb="FF8B1A1A"/>
        <rFont val="DejaVu Sans"/>
        <family val="2"/>
      </rPr>
      <t xml:space="preserve">，请确认是否归入公路车清库或另行处理</t>
    </r>
  </si>
  <si>
    <r>
      <rPr>
        <sz val="8"/>
        <color rgb="FF8B1A1A"/>
        <rFont val="DejaVu Sans"/>
        <family val="2"/>
      </rPr>
      <t xml:space="preserve">⚠  郭城负责的</t>
    </r>
    <r>
      <rPr>
        <sz val="8"/>
        <color rgb="FF8B1A1A"/>
        <rFont val="Arial"/>
        <family val="0"/>
        <charset val="1"/>
      </rPr>
      <t xml:space="preserve">ZIPP</t>
    </r>
    <r>
      <rPr>
        <sz val="8"/>
        <color rgb="FF8B1A1A"/>
        <rFont val="DejaVu Sans"/>
        <family val="2"/>
      </rPr>
      <t xml:space="preserve">轮组</t>
    </r>
    <r>
      <rPr>
        <sz val="8"/>
        <color rgb="FF8B1A1A"/>
        <rFont val="Arial"/>
        <family val="0"/>
        <charset val="1"/>
      </rPr>
      <t xml:space="preserve">353</t>
    </r>
    <r>
      <rPr>
        <sz val="8"/>
        <color rgb="FF8B1A1A"/>
        <rFont val="DejaVu Sans"/>
        <family val="2"/>
      </rPr>
      <t xml:space="preserve">共</t>
    </r>
    <r>
      <rPr>
        <sz val="8"/>
        <color rgb="FF8B1A1A"/>
        <rFont val="Arial"/>
        <family val="0"/>
        <charset val="1"/>
      </rPr>
      <t xml:space="preserve">17</t>
    </r>
    <r>
      <rPr>
        <sz val="8"/>
        <color rgb="FF8B1A1A"/>
        <rFont val="DejaVu Sans"/>
        <family val="2"/>
      </rPr>
      <t xml:space="preserve">件</t>
    </r>
    <r>
      <rPr>
        <sz val="8"/>
        <color rgb="FF8B1A1A"/>
        <rFont val="Arial"/>
        <family val="0"/>
        <charset val="1"/>
      </rPr>
      <t xml:space="preserve">/¥24.3</t>
    </r>
    <r>
      <rPr>
        <sz val="8"/>
        <color rgb="FF8B1A1A"/>
        <rFont val="DejaVu Sans"/>
        <family val="2"/>
      </rPr>
      <t xml:space="preserve">万，是最大单品风险敞口，已按售价出售的话仅亏</t>
    </r>
    <r>
      <rPr>
        <sz val="8"/>
        <color rgb="FF8B1A1A"/>
        <rFont val="Arial"/>
        <family val="0"/>
        <charset val="1"/>
      </rPr>
      <t xml:space="preserve">¥8,415</t>
    </r>
    <r>
      <rPr>
        <sz val="8"/>
        <color rgb="FF8B1A1A"/>
        <rFont val="DejaVu Sans"/>
        <family val="2"/>
      </rPr>
      <t xml:space="preserve">，建议优先集中谈</t>
    </r>
  </si>
  <si>
    <r>
      <rPr>
        <sz val="8"/>
        <color rgb="FF999999"/>
        <rFont val="DejaVu Sans"/>
        <family val="2"/>
      </rPr>
      <t xml:space="preserve">注：</t>
    </r>
    <r>
      <rPr>
        <sz val="8"/>
        <color rgb="FF999999"/>
        <rFont val="Arial"/>
        <family val="0"/>
        <charset val="1"/>
      </rPr>
      <t xml:space="preserve">G/H</t>
    </r>
    <r>
      <rPr>
        <sz val="8"/>
        <color rgb="FF999999"/>
        <rFont val="DejaVu Sans"/>
        <family val="2"/>
      </rPr>
      <t xml:space="preserve">列（下次更新数据）为空，待</t>
    </r>
    <r>
      <rPr>
        <sz val="8"/>
        <color rgb="FF999999"/>
        <rFont val="Arial"/>
        <family val="0"/>
        <charset val="1"/>
      </rPr>
      <t xml:space="preserve">Mia</t>
    </r>
    <r>
      <rPr>
        <sz val="8"/>
        <color rgb="FF999999"/>
        <rFont val="DejaVu Sans"/>
        <family val="2"/>
      </rPr>
      <t xml:space="preserve">提供下一时间点数据后填入；</t>
    </r>
    <r>
      <rPr>
        <sz val="8"/>
        <color rgb="FF999999"/>
        <rFont val="Arial"/>
        <family val="0"/>
        <charset val="1"/>
      </rPr>
      <t xml:space="preserve">I/J</t>
    </r>
    <r>
      <rPr>
        <sz val="8"/>
        <color rgb="FF999999"/>
        <rFont val="DejaVu Sans"/>
        <family val="2"/>
      </rPr>
      <t xml:space="preserve">列（已清）自动计算差值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</si>
  <si>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 · </t>
    </r>
    <r>
      <rPr>
        <sz val="8"/>
        <color rgb="FF999999"/>
        <rFont val="DejaVu Sans"/>
        <family val="2"/>
      </rPr>
      <t xml:space="preserve">负责人依据</t>
    </r>
    <r>
      <rPr>
        <sz val="8"/>
        <color rgb="FF999999"/>
        <rFont val="Arial"/>
        <family val="0"/>
        <charset val="1"/>
      </rPr>
      <t xml:space="preserve">2026</t>
    </r>
    <r>
      <rPr>
        <sz val="8"/>
        <color rgb="FF999999"/>
        <rFont val="DejaVu Sans"/>
        <family val="2"/>
      </rPr>
      <t xml:space="preserve">年初清库分配截图</t>
    </r>
  </si>
  <si>
    <r>
      <rPr>
        <b val="true"/>
        <sz val="17"/>
        <color rgb="FF111111"/>
        <rFont val="DejaVu Sans"/>
        <family val="2"/>
      </rPr>
      <t xml:space="preserve">特殊出入库 </t>
    </r>
    <r>
      <rPr>
        <b val="true"/>
        <sz val="17"/>
        <color rgb="FF111111"/>
        <rFont val="Times New Roman"/>
        <family val="0"/>
        <charset val="1"/>
      </rPr>
      <t xml:space="preserve">· </t>
    </r>
    <r>
      <rPr>
        <b val="true"/>
        <sz val="17"/>
        <color rgb="FF111111"/>
        <rFont val="DejaVu Sans"/>
        <family val="2"/>
      </rPr>
      <t xml:space="preserve">内部审计</t>
    </r>
  </si>
  <si>
    <r>
      <rPr>
        <sz val="9"/>
        <color rgb="FF999999"/>
        <rFont val="DejaVu Sans"/>
        <family val="2"/>
      </rPr>
      <t xml:space="preserve">仅含非销售出库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核查每条记录是否有关联订单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无关联订单者排列在前</t>
    </r>
  </si>
  <si>
    <r>
      <rPr>
        <b val="true"/>
        <sz val="9"/>
        <color rgb="FF8B1A1A"/>
        <rFont val="DejaVu Sans"/>
        <family val="2"/>
      </rPr>
      <t xml:space="preserve">共 </t>
    </r>
    <r>
      <rPr>
        <b val="true"/>
        <sz val="9"/>
        <color rgb="FF8B1A1A"/>
        <rFont val="Arial"/>
        <family val="0"/>
        <charset val="1"/>
      </rPr>
      <t xml:space="preserve">196 </t>
    </r>
    <r>
      <rPr>
        <b val="true"/>
        <sz val="9"/>
        <color rgb="FF8B1A1A"/>
        <rFont val="DejaVu Sans"/>
        <family val="2"/>
      </rPr>
      <t xml:space="preserve">条特殊出库  </t>
    </r>
    <r>
      <rPr>
        <b val="true"/>
        <sz val="9"/>
        <color rgb="FF8B1A1A"/>
        <rFont val="Arial"/>
        <family val="0"/>
        <charset val="1"/>
      </rPr>
      <t xml:space="preserve">|  </t>
    </r>
    <r>
      <rPr>
        <b val="true"/>
        <sz val="9"/>
        <color rgb="FF8B1A1A"/>
        <rFont val="DejaVu Sans"/>
        <family val="2"/>
      </rPr>
      <t xml:space="preserve">差异调剂 </t>
    </r>
    <r>
      <rPr>
        <b val="true"/>
        <sz val="9"/>
        <color rgb="FF8B1A1A"/>
        <rFont val="Arial"/>
        <family val="0"/>
        <charset val="1"/>
      </rPr>
      <t xml:space="preserve">7</t>
    </r>
    <r>
      <rPr>
        <b val="true"/>
        <sz val="9"/>
        <color rgb="FF8B1A1A"/>
        <rFont val="DejaVu Sans"/>
        <family val="2"/>
      </rPr>
      <t xml:space="preserve">件 ❌ 无关联订单（需跟进）  </t>
    </r>
    <r>
      <rPr>
        <b val="true"/>
        <sz val="9"/>
        <color rgb="FF8B1A1A"/>
        <rFont val="Arial"/>
        <family val="0"/>
        <charset val="1"/>
      </rPr>
      <t xml:space="preserve">|  </t>
    </r>
    <r>
      <rPr>
        <b val="true"/>
        <sz val="9"/>
        <color rgb="FF8B1A1A"/>
        <rFont val="DejaVu Sans"/>
        <family val="2"/>
      </rPr>
      <t xml:space="preserve">其余 </t>
    </r>
    <r>
      <rPr>
        <b val="true"/>
        <sz val="9"/>
        <color rgb="FF8B1A1A"/>
        <rFont val="Arial"/>
        <family val="0"/>
        <charset val="1"/>
      </rPr>
      <t xml:space="preserve">189 </t>
    </r>
    <r>
      <rPr>
        <b val="true"/>
        <sz val="9"/>
        <color rgb="FF8B1A1A"/>
        <rFont val="DejaVu Sans"/>
        <family val="2"/>
      </rPr>
      <t xml:space="preserve">条均有关联 ✓</t>
    </r>
  </si>
  <si>
    <t xml:space="preserve">日期</t>
  </si>
  <si>
    <t xml:space="preserve">出库目的</t>
  </si>
  <si>
    <t xml:space="preserve">商品名称</t>
  </si>
  <si>
    <t xml:space="preserve">数量</t>
  </si>
  <si>
    <t xml:space="preserve">关联状态</t>
  </si>
  <si>
    <t xml:space="preserve">关联单据</t>
  </si>
  <si>
    <t xml:space="preserve">02/25</t>
  </si>
  <si>
    <t xml:space="preserve">差异调剂</t>
  </si>
  <si>
    <r>
      <rPr>
        <b val="true"/>
        <sz val="9"/>
        <color rgb="FF111111"/>
        <rFont val="Calibri"/>
        <family val="0"/>
        <charset val="1"/>
      </rPr>
      <t xml:space="preserve">DA </t>
    </r>
    <r>
      <rPr>
        <b val="true"/>
        <sz val="9"/>
        <color rgb="FF111111"/>
        <rFont val="DejaVu Sans"/>
        <family val="2"/>
      </rPr>
      <t xml:space="preserve">轮组 </t>
    </r>
    <r>
      <rPr>
        <b val="true"/>
        <sz val="9"/>
        <color rgb="FF111111"/>
        <rFont val="Calibri"/>
        <family val="0"/>
        <charset val="1"/>
      </rPr>
      <t xml:space="preserve">C50 (SH) </t>
    </r>
  </si>
  <si>
    <t xml:space="preserve">❌ 无关联</t>
  </si>
  <si>
    <r>
      <rPr>
        <sz val="9"/>
        <color rgb="FF111111"/>
        <rFont val="DejaVu Sans"/>
        <family val="2"/>
      </rPr>
      <t xml:space="preserve">产品外包装为</t>
    </r>
    <r>
      <rPr>
        <sz val="9"/>
        <color rgb="FF111111"/>
        <rFont val="Arial"/>
        <family val="0"/>
        <charset val="1"/>
      </rPr>
      <t xml:space="preserve">DAc50</t>
    </r>
    <r>
      <rPr>
        <sz val="9"/>
        <color rgb="FF111111"/>
        <rFont val="DejaVu Sans"/>
        <family val="2"/>
      </rPr>
      <t xml:space="preserve">，实际打开为</t>
    </r>
    <r>
      <rPr>
        <sz val="9"/>
        <color rgb="FF111111"/>
        <rFont val="Arial"/>
        <family val="0"/>
        <charset val="1"/>
      </rPr>
      <t xml:space="preserve">DAc60</t>
    </r>
    <r>
      <rPr>
        <sz val="9"/>
        <color rgb="FF111111"/>
        <rFont val="DejaVu Sans"/>
        <family val="2"/>
      </rPr>
      <t xml:space="preserve">，故</t>
    </r>
    <r>
      <rPr>
        <sz val="9"/>
        <color rgb="FF111111"/>
        <rFont val="Arial"/>
        <family val="0"/>
        <charset val="1"/>
      </rPr>
      <t xml:space="preserve">c50</t>
    </r>
    <r>
      <rPr>
        <sz val="9"/>
        <color rgb="FF111111"/>
        <rFont val="DejaVu Sans"/>
        <family val="2"/>
      </rPr>
      <t xml:space="preserve">出</t>
    </r>
  </si>
  <si>
    <t xml:space="preserve">02/28</t>
  </si>
  <si>
    <r>
      <rPr>
        <b val="true"/>
        <sz val="9"/>
        <color rgb="FF111111"/>
        <rFont val="Calibri"/>
        <family val="0"/>
        <charset val="1"/>
      </rPr>
      <t xml:space="preserve">UT </t>
    </r>
    <r>
      <rPr>
        <b val="true"/>
        <sz val="9"/>
        <color rgb="FF111111"/>
        <rFont val="DejaVu Sans"/>
        <family val="2"/>
      </rPr>
      <t xml:space="preserve">碟片组 </t>
    </r>
    <r>
      <rPr>
        <b val="true"/>
        <sz val="9"/>
        <color rgb="FF111111"/>
        <rFont val="Calibri"/>
        <family val="0"/>
        <charset val="1"/>
      </rPr>
      <t xml:space="preserve">CL800  (</t>
    </r>
    <r>
      <rPr>
        <b val="true"/>
        <sz val="9"/>
        <color rgb="FF111111"/>
        <rFont val="DejaVu Sans"/>
        <family val="2"/>
      </rPr>
      <t xml:space="preserve">对</t>
    </r>
    <r>
      <rPr>
        <b val="true"/>
        <sz val="9"/>
        <color rgb="FF111111"/>
        <rFont val="Calibri"/>
        <family val="0"/>
        <charset val="1"/>
      </rPr>
      <t xml:space="preserve">) </t>
    </r>
  </si>
  <si>
    <r>
      <rPr>
        <b val="true"/>
        <sz val="9"/>
        <color rgb="FF111111"/>
        <rFont val="Calibri"/>
        <family val="0"/>
        <charset val="1"/>
      </rPr>
      <t xml:space="preserve">ILLUSION </t>
    </r>
    <r>
      <rPr>
        <b val="true"/>
        <sz val="9"/>
        <color rgb="FF111111"/>
        <rFont val="DejaVu Sans"/>
        <family val="2"/>
      </rPr>
      <t xml:space="preserve">轮组 银标 钢条 </t>
    </r>
    <r>
      <rPr>
        <b val="true"/>
        <sz val="9"/>
        <color rgb="FF111111"/>
        <rFont val="Calibri"/>
        <family val="0"/>
        <charset val="1"/>
      </rPr>
      <t xml:space="preserve">4550 </t>
    </r>
  </si>
  <si>
    <r>
      <rPr>
        <sz val="9"/>
        <color rgb="FF111111"/>
        <rFont val="DejaVu Sans"/>
        <family val="2"/>
      </rPr>
      <t xml:space="preserve">之前</t>
    </r>
    <r>
      <rPr>
        <sz val="9"/>
        <color rgb="FF111111"/>
        <rFont val="Arial"/>
        <family val="0"/>
        <charset val="1"/>
      </rPr>
      <t xml:space="preserve">7</t>
    </r>
    <r>
      <rPr>
        <sz val="9"/>
        <color rgb="FF111111"/>
        <rFont val="DejaVu Sans"/>
        <family val="2"/>
      </rPr>
      <t xml:space="preserve">个铝车出库用</t>
    </r>
  </si>
  <si>
    <r>
      <rPr>
        <b val="true"/>
        <sz val="9"/>
        <color rgb="FF111111"/>
        <rFont val="Calibri"/>
        <family val="0"/>
        <charset val="1"/>
      </rPr>
      <t xml:space="preserve">Selle Italia   </t>
    </r>
    <r>
      <rPr>
        <b val="true"/>
        <sz val="9"/>
        <color rgb="FF111111"/>
        <rFont val="DejaVu Sans"/>
        <family val="2"/>
      </rPr>
      <t xml:space="preserve">座垫 钢轨 黑色（散装） </t>
    </r>
  </si>
  <si>
    <r>
      <rPr>
        <b val="true"/>
        <sz val="9"/>
        <color rgb="FF111111"/>
        <rFont val="DejaVu Sans"/>
        <family val="2"/>
      </rPr>
      <t xml:space="preserve">马牌 外胎 </t>
    </r>
    <r>
      <rPr>
        <b val="true"/>
        <sz val="9"/>
        <color rgb="FF111111"/>
        <rFont val="Calibri"/>
        <family val="0"/>
        <charset val="1"/>
      </rPr>
      <t xml:space="preserve">TERRA TRAIL(</t>
    </r>
    <r>
      <rPr>
        <b val="true"/>
        <sz val="9"/>
        <color rgb="FF111111"/>
        <rFont val="DejaVu Sans"/>
        <family val="2"/>
      </rPr>
      <t xml:space="preserve">瓜胎）</t>
    </r>
    <r>
      <rPr>
        <b val="true"/>
        <sz val="9"/>
        <color rgb="FF111111"/>
        <rFont val="Calibri"/>
        <family val="0"/>
        <charset val="1"/>
      </rPr>
      <t xml:space="preserve">35C </t>
    </r>
  </si>
  <si>
    <r>
      <rPr>
        <b val="true"/>
        <sz val="9"/>
        <color rgb="FF111111"/>
        <rFont val="DejaVu Sans"/>
        <family val="2"/>
      </rPr>
      <t xml:space="preserve">马牌 外胎 </t>
    </r>
    <r>
      <rPr>
        <b val="true"/>
        <sz val="9"/>
        <color rgb="FF111111"/>
        <rFont val="Calibri"/>
        <family val="0"/>
        <charset val="1"/>
      </rPr>
      <t xml:space="preserve">TR 32C </t>
    </r>
    <r>
      <rPr>
        <b val="true"/>
        <sz val="9"/>
        <color rgb="FF111111"/>
        <rFont val="DejaVu Sans"/>
        <family val="2"/>
      </rPr>
      <t xml:space="preserve">黑边  </t>
    </r>
  </si>
  <si>
    <r>
      <rPr>
        <b val="true"/>
        <sz val="9"/>
        <color rgb="FF111111"/>
        <rFont val="Calibri"/>
        <family val="0"/>
        <charset val="1"/>
      </rPr>
      <t xml:space="preserve">APEX </t>
    </r>
    <r>
      <rPr>
        <b val="true"/>
        <sz val="9"/>
        <color rgb="FF111111"/>
        <rFont val="DejaVu Sans"/>
        <family val="2"/>
      </rPr>
      <t xml:space="preserve">套件组 基本配置 </t>
    </r>
  </si>
  <si>
    <t xml:space="preserve">01/21</t>
  </si>
  <si>
    <t xml:space="preserve">借出</t>
  </si>
  <si>
    <r>
      <rPr>
        <sz val="9"/>
        <color rgb="FF111111"/>
        <rFont val="Calibri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 </t>
    </r>
  </si>
  <si>
    <t xml:space="preserve">✅ 有关联</t>
  </si>
  <si>
    <r>
      <rPr>
        <sz val="9"/>
        <color rgb="FF111111"/>
        <rFont val="Arial"/>
        <family val="0"/>
        <charset val="1"/>
      </rPr>
      <t xml:space="preserve">01/21 </t>
    </r>
    <r>
      <rPr>
        <sz val="9"/>
        <color rgb="FF111111"/>
        <rFont val="DejaVu Sans"/>
        <family val="2"/>
      </rPr>
      <t xml:space="preserve">郭城  套件组</t>
    </r>
  </si>
  <si>
    <r>
      <rPr>
        <sz val="9"/>
        <color rgb="FF111111"/>
        <rFont val="Calibri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Calibri"/>
        <family val="0"/>
        <charset val="1"/>
      </rPr>
      <t xml:space="preserve">CL800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Calibri"/>
        <family val="0"/>
        <charset val="1"/>
      </rPr>
      <t xml:space="preserve">) </t>
    </r>
  </si>
  <si>
    <r>
      <rPr>
        <sz val="9"/>
        <color rgb="FF111111"/>
        <rFont val="Calibri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Calibri"/>
        <family val="0"/>
        <charset val="1"/>
      </rPr>
      <t xml:space="preserve">8100 </t>
    </r>
  </si>
  <si>
    <t xml:space="preserve">02/03</t>
  </si>
  <si>
    <r>
      <rPr>
        <sz val="9"/>
        <color rgb="FF111111"/>
        <rFont val="Arial"/>
        <family val="0"/>
        <charset val="1"/>
      </rPr>
      <t xml:space="preserve">02/03 </t>
    </r>
    <r>
      <rPr>
        <sz val="9"/>
        <color rgb="FF111111"/>
        <rFont val="DejaVu Sans"/>
        <family val="2"/>
      </rPr>
      <t xml:space="preserve">张振  套件组</t>
    </r>
  </si>
  <si>
    <r>
      <rPr>
        <sz val="9"/>
        <color rgb="FF111111"/>
        <rFont val="Calibri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Calibri"/>
        <family val="0"/>
        <charset val="1"/>
      </rPr>
      <t xml:space="preserve">50-34T 172.5 </t>
    </r>
  </si>
  <si>
    <t xml:space="preserve">02/08</t>
  </si>
  <si>
    <r>
      <rPr>
        <sz val="9"/>
        <color rgb="FF111111"/>
        <rFont val="Calibri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 </t>
    </r>
  </si>
  <si>
    <r>
      <rPr>
        <sz val="9"/>
        <color rgb="FF111111"/>
        <rFont val="Arial"/>
        <family val="0"/>
        <charset val="1"/>
      </rPr>
      <t xml:space="preserve">02/08 </t>
    </r>
    <r>
      <rPr>
        <sz val="9"/>
        <color rgb="FF111111"/>
        <rFont val="DejaVu Sans"/>
        <family val="2"/>
      </rPr>
      <t xml:space="preserve">张振  套件组</t>
    </r>
  </si>
  <si>
    <r>
      <rPr>
        <sz val="9"/>
        <color rgb="FF111111"/>
        <rFont val="Calibri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Calibri"/>
        <family val="0"/>
        <charset val="1"/>
      </rPr>
      <t xml:space="preserve">MT 900</t>
    </r>
    <r>
      <rPr>
        <sz val="9"/>
        <color rgb="FF111111"/>
        <rFont val="DejaVu Sans"/>
        <family val="2"/>
      </rPr>
      <t xml:space="preserve">（对） </t>
    </r>
  </si>
  <si>
    <r>
      <rPr>
        <sz val="9"/>
        <color rgb="FF111111"/>
        <rFont val="Calibri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Calibri"/>
        <family val="0"/>
        <charset val="1"/>
      </rPr>
      <t xml:space="preserve">50-34T 170 </t>
    </r>
  </si>
  <si>
    <r>
      <rPr>
        <sz val="9"/>
        <color rgb="FF111111"/>
        <rFont val="Calibri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Calibri"/>
        <family val="0"/>
        <charset val="1"/>
      </rPr>
      <t xml:space="preserve">9100 </t>
    </r>
  </si>
  <si>
    <t xml:space="preserve">02/27</t>
  </si>
  <si>
    <r>
      <rPr>
        <sz val="9"/>
        <color rgb="FF111111"/>
        <rFont val="Arial"/>
        <family val="0"/>
        <charset val="1"/>
      </rPr>
      <t xml:space="preserve">02/26 </t>
    </r>
    <r>
      <rPr>
        <sz val="9"/>
        <color rgb="FF111111"/>
        <rFont val="DejaVu Sans"/>
        <family val="2"/>
      </rPr>
      <t xml:space="preserve">郭城  套件组</t>
    </r>
  </si>
  <si>
    <r>
      <rPr>
        <sz val="9"/>
        <color rgb="FF111111"/>
        <rFont val="Calibri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Calibri"/>
        <family val="0"/>
        <charset val="1"/>
      </rPr>
      <t xml:space="preserve">50-34T 170 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</si>
  <si>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郭城  套件组</t>
    </r>
  </si>
  <si>
    <t xml:space="preserve">03/09</t>
  </si>
  <si>
    <r>
      <rPr>
        <sz val="9"/>
        <color rgb="FF111111"/>
        <rFont val="Arial"/>
        <family val="0"/>
        <charset val="1"/>
      </rPr>
      <t xml:space="preserve">03/09 </t>
    </r>
    <r>
      <rPr>
        <sz val="9"/>
        <color rgb="FF111111"/>
        <rFont val="DejaVu Sans"/>
        <family val="2"/>
      </rPr>
      <t xml:space="preserve">张振  套件组</t>
    </r>
  </si>
  <si>
    <r>
      <rPr>
        <sz val="9"/>
        <color rgb="FF111111"/>
        <rFont val="Calibri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Calibri"/>
        <family val="0"/>
        <charset val="1"/>
      </rPr>
      <t xml:space="preserve">50-34T 165 </t>
    </r>
  </si>
  <si>
    <t xml:space="preserve">01/06</t>
  </si>
  <si>
    <r>
      <rPr>
        <sz val="9"/>
        <color rgb="FF111111"/>
        <rFont val="Arial"/>
        <family val="0"/>
        <charset val="1"/>
      </rPr>
      <t xml:space="preserve">01/06 </t>
    </r>
    <r>
      <rPr>
        <sz val="9"/>
        <color rgb="FF111111"/>
        <rFont val="DejaVu Sans"/>
        <family val="2"/>
      </rPr>
      <t xml:space="preserve">潘承昊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</si>
  <si>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t xml:space="preserve">01/07</t>
  </si>
  <si>
    <r>
      <rPr>
        <sz val="9"/>
        <color rgb="FF111111"/>
        <rFont val="Arial"/>
        <family val="0"/>
        <charset val="1"/>
      </rPr>
      <t xml:space="preserve">01/07 </t>
    </r>
    <r>
      <rPr>
        <sz val="9"/>
        <color rgb="FF111111"/>
        <rFont val="DejaVu Sans"/>
        <family val="2"/>
      </rPr>
      <t xml:space="preserve">潘承昊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</si>
  <si>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t xml:space="preserve">01/09</t>
  </si>
  <si>
    <r>
      <rPr>
        <sz val="9"/>
        <color rgb="FF111111"/>
        <rFont val="Arial"/>
        <family val="0"/>
        <charset val="1"/>
      </rPr>
      <t xml:space="preserve">01/09 </t>
    </r>
    <r>
      <rPr>
        <sz val="9"/>
        <color rgb="FF111111"/>
        <rFont val="DejaVu Sans"/>
        <family val="2"/>
      </rPr>
      <t xml:space="preserve">潘承昊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</si>
  <si>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t xml:space="preserve">01/10</t>
  </si>
  <si>
    <r>
      <rPr>
        <sz val="9"/>
        <color rgb="FF111111"/>
        <rFont val="Calibri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Calibri"/>
        <family val="0"/>
        <charset val="1"/>
      </rPr>
      <t xml:space="preserve">Alanera RS 44-120 </t>
    </r>
  </si>
  <si>
    <r>
      <rPr>
        <sz val="9"/>
        <color rgb="FF111111"/>
        <rFont val="Arial"/>
        <family val="0"/>
        <charset val="1"/>
      </rPr>
      <t xml:space="preserve">01/09 </t>
    </r>
    <r>
      <rPr>
        <sz val="9"/>
        <color rgb="FF111111"/>
        <rFont val="DejaVu Sans"/>
        <family val="2"/>
      </rPr>
      <t xml:space="preserve">程泓宁 </t>
    </r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</t>
    </r>
  </si>
  <si>
    <t xml:space="preserve">01/15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</si>
  <si>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Calibri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Calibri"/>
        <family val="0"/>
        <charset val="1"/>
      </rPr>
      <t xml:space="preserve">TTTR </t>
    </r>
    <r>
      <rPr>
        <sz val="9"/>
        <color rgb="FF111111"/>
        <rFont val="DejaVu Sans"/>
        <family val="2"/>
      </rPr>
      <t xml:space="preserve">黑边</t>
    </r>
    <r>
      <rPr>
        <sz val="9"/>
        <color rgb="FF111111"/>
        <rFont val="Calibri"/>
        <family val="0"/>
        <charset val="1"/>
      </rPr>
      <t xml:space="preserve">28C  </t>
    </r>
  </si>
  <si>
    <r>
      <rPr>
        <sz val="9"/>
        <color rgb="FF111111"/>
        <rFont val="Arial"/>
        <family val="0"/>
        <charset val="1"/>
      </rPr>
      <t xml:space="preserve">01/15 </t>
    </r>
    <r>
      <rPr>
        <sz val="9"/>
        <color rgb="FF111111"/>
        <rFont val="DejaVu Sans"/>
        <family val="2"/>
      </rPr>
      <t xml:space="preserve">潘承昊 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</t>
    </r>
  </si>
  <si>
    <t xml:space="preserve">01/19</t>
  </si>
  <si>
    <r>
      <rPr>
        <sz val="9"/>
        <color rgb="FF111111"/>
        <rFont val="Calibri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Calibri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Calibri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</si>
  <si>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01/19 </t>
    </r>
    <r>
      <rPr>
        <sz val="9"/>
        <color rgb="FF111111"/>
        <rFont val="DejaVu Sans"/>
        <family val="2"/>
      </rPr>
      <t xml:space="preserve">程泓宁 </t>
    </r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</t>
    </r>
  </si>
  <si>
    <r>
      <rPr>
        <sz val="9"/>
        <color rgb="FF111111"/>
        <rFont val="Arial"/>
        <family val="0"/>
        <charset val="1"/>
      </rPr>
      <t xml:space="preserve">01/19 </t>
    </r>
    <r>
      <rPr>
        <sz val="9"/>
        <color rgb="FF111111"/>
        <rFont val="DejaVu Sans"/>
        <family val="2"/>
      </rPr>
      <t xml:space="preserve">潘承昊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</si>
  <si>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t xml:space="preserve">01/20</t>
  </si>
  <si>
    <r>
      <rPr>
        <sz val="9"/>
        <color rgb="FF111111"/>
        <rFont val="Arial"/>
        <family val="0"/>
        <charset val="1"/>
      </rPr>
      <t xml:space="preserve">01/20 </t>
    </r>
    <r>
      <rPr>
        <sz val="9"/>
        <color rgb="FF111111"/>
        <rFont val="DejaVu Sans"/>
        <family val="2"/>
      </rPr>
      <t xml:space="preserve">潘承昊  套件组</t>
    </r>
  </si>
  <si>
    <t xml:space="preserve">01/23</t>
  </si>
  <si>
    <r>
      <rPr>
        <sz val="9"/>
        <color rgb="FF111111"/>
        <rFont val="Calibri"/>
        <family val="0"/>
        <charset val="1"/>
      </rPr>
      <t xml:space="preserve">Selle Italia   </t>
    </r>
    <r>
      <rPr>
        <sz val="9"/>
        <color rgb="FF111111"/>
        <rFont val="DejaVu Sans"/>
        <family val="2"/>
      </rPr>
      <t xml:space="preserve">座垫 钢轨 黑色（散装） </t>
    </r>
  </si>
  <si>
    <r>
      <rPr>
        <sz val="9"/>
        <color rgb="FF111111"/>
        <rFont val="Arial"/>
        <family val="0"/>
        <charset val="1"/>
      </rPr>
      <t xml:space="preserve">01/23 </t>
    </r>
    <r>
      <rPr>
        <sz val="9"/>
        <color rgb="FF111111"/>
        <rFont val="DejaVu Sans"/>
        <family val="2"/>
      </rPr>
      <t xml:space="preserve">沈弘杰  座垫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</si>
  <si>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Calibri"/>
        <family val="0"/>
        <charset val="1"/>
      </rPr>
      <t xml:space="preserve">TR 32C </t>
    </r>
    <r>
      <rPr>
        <sz val="9"/>
        <color rgb="FF111111"/>
        <rFont val="DejaVu Sans"/>
        <family val="2"/>
      </rPr>
      <t xml:space="preserve">黑边  </t>
    </r>
  </si>
  <si>
    <r>
      <rPr>
        <sz val="9"/>
        <color rgb="FF111111"/>
        <rFont val="Arial"/>
        <family val="0"/>
        <charset val="1"/>
      </rPr>
      <t xml:space="preserve">01/23 </t>
    </r>
    <r>
      <rPr>
        <sz val="9"/>
        <color rgb="FF111111"/>
        <rFont val="DejaVu Sans"/>
        <family val="2"/>
      </rPr>
      <t xml:space="preserve">沈弘杰  外胎</t>
    </r>
  </si>
  <si>
    <t xml:space="preserve">01/28</t>
  </si>
  <si>
    <r>
      <rPr>
        <sz val="9"/>
        <color rgb="FF111111"/>
        <rFont val="Arial"/>
        <family val="0"/>
        <charset val="1"/>
      </rPr>
      <t xml:space="preserve">01/28 </t>
    </r>
    <r>
      <rPr>
        <sz val="9"/>
        <color rgb="FF111111"/>
        <rFont val="DejaVu Sans"/>
        <family val="2"/>
      </rPr>
      <t xml:space="preserve">潘承昊  套件组</t>
    </r>
  </si>
  <si>
    <t xml:space="preserve">03/05</t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</si>
  <si>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海洋 </t>
    </r>
    <r>
      <rPr>
        <sz val="9"/>
        <color rgb="FF111111"/>
        <rFont val="Arial"/>
        <family val="0"/>
        <charset val="1"/>
      </rPr>
      <t xml:space="preserve">XL 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</si>
  <si>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夜空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</si>
  <si>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Calibri"/>
        <family val="0"/>
        <charset val="1"/>
      </rPr>
      <t xml:space="preserve">TERRA TRAIL(</t>
    </r>
    <r>
      <rPr>
        <sz val="9"/>
        <color rgb="FF111111"/>
        <rFont val="DejaVu Sans"/>
        <family val="2"/>
      </rPr>
      <t xml:space="preserve">瓜胎）</t>
    </r>
    <r>
      <rPr>
        <sz val="9"/>
        <color rgb="FF111111"/>
        <rFont val="Calibri"/>
        <family val="0"/>
        <charset val="1"/>
      </rPr>
      <t xml:space="preserve">35C </t>
    </r>
  </si>
  <si>
    <r>
      <rPr>
        <sz val="9"/>
        <color rgb="FF111111"/>
        <rFont val="Arial"/>
        <family val="0"/>
        <charset val="1"/>
      </rPr>
      <t xml:space="preserve">03/09 </t>
    </r>
    <r>
      <rPr>
        <sz val="9"/>
        <color rgb="FF111111"/>
        <rFont val="DejaVu Sans"/>
        <family val="2"/>
      </rPr>
      <t xml:space="preserve">潘承昊  套件组</t>
    </r>
  </si>
  <si>
    <t xml:space="preserve">01/04</t>
  </si>
  <si>
    <t xml:space="preserve">出样装车</t>
  </si>
  <si>
    <r>
      <rPr>
        <sz val="9"/>
        <color rgb="FF111111"/>
        <rFont val="Arial"/>
        <family val="0"/>
        <charset val="1"/>
      </rPr>
      <t xml:space="preserve">01/01 </t>
    </r>
    <r>
      <rPr>
        <sz val="9"/>
        <color rgb="FF111111"/>
        <rFont val="DejaVu Sans"/>
        <family val="2"/>
      </rPr>
      <t xml:space="preserve">张振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星尘 </t>
    </r>
    <r>
      <rPr>
        <sz val="9"/>
        <color rgb="FF111111"/>
        <rFont val="Arial"/>
        <family val="0"/>
        <charset val="1"/>
      </rPr>
      <t xml:space="preserve">M Len</t>
    </r>
  </si>
  <si>
    <r>
      <rPr>
        <sz val="9"/>
        <color rgb="FF111111"/>
        <rFont val="Calibri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Calibri"/>
        <family val="0"/>
        <charset val="1"/>
      </rPr>
      <t xml:space="preserve">CL800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Calibri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Calibri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 </t>
    </r>
  </si>
  <si>
    <r>
      <rPr>
        <sz val="9"/>
        <color rgb="FF111111"/>
        <rFont val="Calibri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Calibri"/>
        <family val="0"/>
        <charset val="1"/>
      </rPr>
      <t xml:space="preserve">4550 </t>
    </r>
  </si>
  <si>
    <r>
      <rPr>
        <sz val="9"/>
        <color rgb="FF111111"/>
        <rFont val="Calibri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Calibri"/>
        <family val="0"/>
        <charset val="1"/>
      </rPr>
      <t xml:space="preserve">4550 </t>
    </r>
  </si>
  <si>
    <r>
      <rPr>
        <sz val="9"/>
        <color rgb="FF111111"/>
        <rFont val="Arial"/>
        <family val="0"/>
        <charset val="1"/>
      </rPr>
      <t xml:space="preserve">01/02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XL aj</t>
    </r>
    <r>
      <rPr>
        <sz val="9"/>
        <color rgb="FF111111"/>
        <rFont val="DejaVu Sans"/>
        <family val="2"/>
      </rPr>
      <t xml:space="preserve">小外</t>
    </r>
  </si>
  <si>
    <r>
      <rPr>
        <sz val="9"/>
        <color rgb="FF111111"/>
        <rFont val="Calibri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基础配置 </t>
    </r>
  </si>
  <si>
    <r>
      <rPr>
        <sz val="9"/>
        <color rgb="FF111111"/>
        <rFont val="Calibri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Calibri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Calibri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Calibri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 </t>
    </r>
  </si>
  <si>
    <r>
      <rPr>
        <sz val="9"/>
        <color rgb="FF111111"/>
        <rFont val="Calibri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Calibri"/>
        <family val="0"/>
        <charset val="1"/>
      </rPr>
      <t xml:space="preserve">M7100 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</si>
  <si>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套件组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</si>
  <si>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</si>
  <si>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</t>
    </r>
  </si>
  <si>
    <r>
      <rPr>
        <sz val="9"/>
        <color rgb="FF111111"/>
        <rFont val="Calibri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Calibri"/>
        <family val="0"/>
        <charset val="1"/>
      </rPr>
      <t xml:space="preserve">C50 (SH) 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</si>
  <si>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</t>
    </r>
  </si>
  <si>
    <r>
      <rPr>
        <sz val="9"/>
        <color rgb="FF111111"/>
        <rFont val="Calibri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Calibri"/>
        <family val="0"/>
        <charset val="1"/>
      </rPr>
      <t xml:space="preserve">Alanera RS 44-100 </t>
    </r>
  </si>
  <si>
    <r>
      <rPr>
        <sz val="9"/>
        <color rgb="FF111111"/>
        <rFont val="Arial"/>
        <family val="0"/>
        <charset val="1"/>
      </rPr>
      <t xml:space="preserve">01/06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王师傅款 </t>
    </r>
    <r>
      <rPr>
        <sz val="9"/>
        <color rgb="FF111111"/>
        <rFont val="Arial"/>
        <family val="0"/>
        <charset val="1"/>
      </rPr>
      <t xml:space="preserve">M </t>
    </r>
    <r>
      <rPr>
        <sz val="9"/>
        <color rgb="FF111111"/>
        <rFont val="DejaVu Sans"/>
        <family val="2"/>
      </rPr>
      <t xml:space="preserve">王师傅</t>
    </r>
  </si>
  <si>
    <r>
      <rPr>
        <sz val="9"/>
        <color rgb="FF111111"/>
        <rFont val="Calibri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 </t>
    </r>
    <r>
      <rPr>
        <sz val="9"/>
        <color rgb="FF111111"/>
        <rFont val="Calibri"/>
        <family val="0"/>
        <charset val="1"/>
      </rPr>
      <t xml:space="preserve">MT900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Calibri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Calibri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 </t>
    </r>
  </si>
  <si>
    <r>
      <rPr>
        <sz val="9"/>
        <color rgb="FF111111"/>
        <rFont val="Arial"/>
        <family val="0"/>
        <charset val="1"/>
      </rPr>
      <t xml:space="preserve">12/30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月光 </t>
    </r>
    <r>
      <rPr>
        <sz val="9"/>
        <color rgb="FF111111"/>
        <rFont val="Arial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</si>
  <si>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01/07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M </t>
    </r>
    <r>
      <rPr>
        <sz val="9"/>
        <color rgb="FF111111"/>
        <rFont val="DejaVu Sans"/>
        <family val="2"/>
      </rPr>
      <t xml:space="preserve">金晨</t>
    </r>
  </si>
  <si>
    <r>
      <rPr>
        <sz val="9"/>
        <color rgb="FF111111"/>
        <rFont val="Arial"/>
        <family val="0"/>
        <charset val="1"/>
      </rPr>
      <t xml:space="preserve">12/06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月光 </t>
    </r>
    <r>
      <rPr>
        <sz val="9"/>
        <color rgb="FF111111"/>
        <rFont val="Arial"/>
        <family val="0"/>
        <charset val="1"/>
      </rPr>
      <t xml:space="preserve">S </t>
    </r>
    <r>
      <rPr>
        <sz val="9"/>
        <color rgb="FF111111"/>
        <rFont val="DejaVu Sans"/>
        <family val="2"/>
      </rPr>
      <t xml:space="preserve">周易玺</t>
    </r>
  </si>
  <si>
    <t xml:space="preserve">01/11</t>
  </si>
  <si>
    <r>
      <rPr>
        <sz val="9"/>
        <color rgb="FF111111"/>
        <rFont val="Calibri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【暗标】钢条 </t>
    </r>
    <r>
      <rPr>
        <sz val="9"/>
        <color rgb="FF111111"/>
        <rFont val="Calibri"/>
        <family val="0"/>
        <charset val="1"/>
      </rPr>
      <t xml:space="preserve">40 </t>
    </r>
  </si>
  <si>
    <r>
      <rPr>
        <sz val="9"/>
        <color rgb="FF111111"/>
        <rFont val="Arial"/>
        <family val="0"/>
        <charset val="1"/>
      </rPr>
      <t xml:space="preserve">01/08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S </t>
    </r>
    <r>
      <rPr>
        <sz val="9"/>
        <color rgb="FF111111"/>
        <rFont val="DejaVu Sans"/>
        <family val="2"/>
      </rPr>
      <t xml:space="preserve">王塔克</t>
    </r>
  </si>
  <si>
    <r>
      <rPr>
        <sz val="9"/>
        <color rgb="FF111111"/>
        <rFont val="Arial"/>
        <family val="0"/>
        <charset val="1"/>
      </rPr>
      <t xml:space="preserve">01/04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M </t>
    </r>
    <r>
      <rPr>
        <sz val="9"/>
        <color rgb="FF111111"/>
        <rFont val="DejaVu Sans"/>
        <family val="2"/>
      </rPr>
      <t xml:space="preserve">荷色迷人</t>
    </r>
  </si>
  <si>
    <r>
      <rPr>
        <sz val="9"/>
        <color rgb="FF111111"/>
        <rFont val="Calibri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🚲无前拨 </t>
    </r>
  </si>
  <si>
    <r>
      <rPr>
        <sz val="9"/>
        <color rgb="FF111111"/>
        <rFont val="Arial"/>
        <family val="0"/>
        <charset val="1"/>
      </rPr>
      <t xml:space="preserve">01/18 </t>
    </r>
    <r>
      <rPr>
        <sz val="9"/>
        <color rgb="FF111111"/>
        <rFont val="DejaVu Sans"/>
        <family val="2"/>
      </rPr>
      <t xml:space="preserve">张振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</si>
  <si>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01/18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M Su</t>
    </r>
  </si>
  <si>
    <r>
      <rPr>
        <sz val="9"/>
        <color rgb="FF111111"/>
        <rFont val="Arial"/>
        <family val="0"/>
        <charset val="1"/>
      </rPr>
      <t xml:space="preserve">01/20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L </t>
    </r>
    <r>
      <rPr>
        <sz val="9"/>
        <color rgb="FF111111"/>
        <rFont val="DejaVu Sans"/>
        <family val="2"/>
      </rPr>
      <t xml:space="preserve">老路</t>
    </r>
  </si>
  <si>
    <r>
      <rPr>
        <sz val="9"/>
        <color rgb="FF111111"/>
        <rFont val="Calibri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Calibri"/>
        <family val="0"/>
        <charset val="1"/>
      </rPr>
      <t xml:space="preserve">404 (SH) </t>
    </r>
  </si>
  <si>
    <r>
      <rPr>
        <sz val="9"/>
        <color rgb="FF111111"/>
        <rFont val="Arial"/>
        <family val="0"/>
        <charset val="1"/>
      </rPr>
      <t xml:space="preserve">01/19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S </t>
    </r>
    <r>
      <rPr>
        <sz val="9"/>
        <color rgb="FF111111"/>
        <rFont val="DejaVu Sans"/>
        <family val="2"/>
      </rPr>
      <t xml:space="preserve">豪车毒 老纪</t>
    </r>
  </si>
  <si>
    <t xml:space="preserve">01/22</t>
  </si>
  <si>
    <r>
      <rPr>
        <sz val="9"/>
        <color rgb="FF111111"/>
        <rFont val="Arial"/>
        <family val="0"/>
        <charset val="1"/>
      </rPr>
      <t xml:space="preserve">01/22 </t>
    </r>
    <r>
      <rPr>
        <sz val="9"/>
        <color rgb="FF111111"/>
        <rFont val="DejaVu Sans"/>
        <family val="2"/>
      </rPr>
      <t xml:space="preserve">沈弘杰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XL </t>
    </r>
    <r>
      <rPr>
        <sz val="9"/>
        <color rgb="FF111111"/>
        <rFont val="DejaVu Sans"/>
        <family val="2"/>
      </rPr>
      <t xml:space="preserve">拱墅徐先生</t>
    </r>
  </si>
  <si>
    <r>
      <rPr>
        <sz val="9"/>
        <color rgb="FF111111"/>
        <rFont val="Calibri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套件组 基础配置无前拨（</t>
    </r>
    <r>
      <rPr>
        <sz val="9"/>
        <color rgb="FF111111"/>
        <rFont val="Calibri"/>
        <family val="0"/>
        <charset val="1"/>
      </rPr>
      <t xml:space="preserve">13</t>
    </r>
    <r>
      <rPr>
        <sz val="9"/>
        <color rgb="FF111111"/>
        <rFont val="DejaVu Sans"/>
        <family val="2"/>
      </rPr>
      <t xml:space="preserve">速） </t>
    </r>
  </si>
  <si>
    <r>
      <rPr>
        <sz val="9"/>
        <color rgb="FF111111"/>
        <rFont val="Arial"/>
        <family val="0"/>
        <charset val="1"/>
      </rPr>
      <t xml:space="preserve">02/03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新星尘 </t>
    </r>
    <r>
      <rPr>
        <sz val="9"/>
        <color rgb="FF111111"/>
        <rFont val="Arial"/>
        <family val="0"/>
        <charset val="1"/>
      </rPr>
      <t xml:space="preserve">(</t>
    </r>
    <r>
      <rPr>
        <sz val="9"/>
        <color rgb="FF111111"/>
        <rFont val="DejaVu Sans"/>
        <family val="2"/>
      </rPr>
      <t xml:space="preserve">粉</t>
    </r>
    <r>
      <rPr>
        <sz val="9"/>
        <color rgb="FF111111"/>
        <rFont val="Arial"/>
        <family val="0"/>
        <charset val="1"/>
      </rPr>
      <t xml:space="preserve">) M </t>
    </r>
  </si>
  <si>
    <r>
      <rPr>
        <sz val="9"/>
        <color rgb="FF111111"/>
        <rFont val="Calibri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Calibri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Calibri"/>
        <family val="0"/>
        <charset val="1"/>
      </rPr>
      <t xml:space="preserve">160 </t>
    </r>
  </si>
  <si>
    <r>
      <rPr>
        <sz val="9"/>
        <color rgb="FF111111"/>
        <rFont val="Calibri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Calibri"/>
        <family val="0"/>
        <charset val="1"/>
      </rPr>
      <t xml:space="preserve">353 (SH) </t>
    </r>
  </si>
  <si>
    <r>
      <rPr>
        <sz val="9"/>
        <color rgb="FF111111"/>
        <rFont val="Arial"/>
        <family val="0"/>
        <charset val="1"/>
      </rPr>
      <t xml:space="preserve">02/05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冰川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</si>
  <si>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02/05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L </t>
    </r>
  </si>
  <si>
    <r>
      <rPr>
        <sz val="9"/>
        <color rgb="FF111111"/>
        <rFont val="Arial"/>
        <family val="0"/>
        <charset val="1"/>
      </rPr>
      <t xml:space="preserve">02/05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恒星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</si>
  <si>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02/05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月光 </t>
    </r>
    <r>
      <rPr>
        <sz val="9"/>
        <color rgb="FF111111"/>
        <rFont val="Arial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</si>
  <si>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02/08 </t>
    </r>
    <r>
      <rPr>
        <sz val="9"/>
        <color rgb="FF111111"/>
        <rFont val="DejaVu Sans"/>
        <family val="2"/>
      </rPr>
      <t xml:space="preserve">梁志炫 </t>
    </r>
    <r>
      <rPr>
        <sz val="9"/>
        <color rgb="FF111111"/>
        <rFont val="Arial"/>
        <family val="0"/>
        <charset val="1"/>
      </rPr>
      <t xml:space="preserve">VAPOR SL </t>
    </r>
    <r>
      <rPr>
        <sz val="9"/>
        <color rgb="FF111111"/>
        <rFont val="DejaVu Sans"/>
        <family val="2"/>
      </rPr>
      <t xml:space="preserve">月光 </t>
    </r>
    <r>
      <rPr>
        <sz val="9"/>
        <color rgb="FF111111"/>
        <rFont val="Arial"/>
        <family val="0"/>
        <charset val="1"/>
      </rPr>
      <t xml:space="preserve">L Bewin</t>
    </r>
  </si>
  <si>
    <t xml:space="preserve">02/24</t>
  </si>
  <si>
    <r>
      <rPr>
        <sz val="9"/>
        <color rgb="FF111111"/>
        <rFont val="Arial"/>
        <family val="0"/>
        <charset val="1"/>
      </rPr>
      <t xml:space="preserve">02/24 </t>
    </r>
    <r>
      <rPr>
        <sz val="9"/>
        <color rgb="FF111111"/>
        <rFont val="DejaVu Sans"/>
        <family val="2"/>
      </rPr>
      <t xml:space="preserve">张振  套件组</t>
    </r>
  </si>
  <si>
    <r>
      <rPr>
        <sz val="9"/>
        <color rgb="FF111111"/>
        <rFont val="Calibri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Calibri"/>
        <family val="0"/>
        <charset val="1"/>
      </rPr>
      <t xml:space="preserve">50-34T 170 </t>
    </r>
  </si>
  <si>
    <r>
      <rPr>
        <sz val="9"/>
        <color rgb="FF111111"/>
        <rFont val="Calibri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Calibri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（对） </t>
    </r>
  </si>
  <si>
    <t xml:space="preserve">02/26</t>
  </si>
  <si>
    <r>
      <rPr>
        <sz val="9"/>
        <color rgb="FF111111"/>
        <rFont val="Calibri"/>
        <family val="0"/>
        <charset val="1"/>
      </rPr>
      <t xml:space="preserve">APEX </t>
    </r>
    <r>
      <rPr>
        <sz val="9"/>
        <color rgb="FF111111"/>
        <rFont val="DejaVu Sans"/>
        <family val="2"/>
      </rPr>
      <t xml:space="preserve">套件组 基本配置 </t>
    </r>
  </si>
  <si>
    <r>
      <rPr>
        <sz val="9"/>
        <color rgb="FF111111"/>
        <rFont val="Arial"/>
        <family val="0"/>
        <charset val="1"/>
      </rPr>
      <t xml:space="preserve">02/26 </t>
    </r>
    <r>
      <rPr>
        <sz val="9"/>
        <color rgb="FF111111"/>
        <rFont val="DejaVu Sans"/>
        <family val="2"/>
      </rPr>
      <t xml:space="preserve">海尔  套件组</t>
    </r>
  </si>
  <si>
    <r>
      <rPr>
        <sz val="9"/>
        <color rgb="FF111111"/>
        <rFont val="Arial"/>
        <family val="0"/>
        <charset val="1"/>
      </rPr>
      <t xml:space="preserve">02/27 </t>
    </r>
    <r>
      <rPr>
        <sz val="9"/>
        <color rgb="FF111111"/>
        <rFont val="DejaVu Sans"/>
        <family val="2"/>
      </rPr>
      <t xml:space="preserve">海尔  座垫</t>
    </r>
  </si>
  <si>
    <r>
      <rPr>
        <sz val="9"/>
        <color rgb="FF111111"/>
        <rFont val="Calibri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中轴 钢球轴承 </t>
    </r>
    <r>
      <rPr>
        <sz val="9"/>
        <color rgb="FF111111"/>
        <rFont val="Calibri"/>
        <family val="0"/>
        <charset val="1"/>
      </rPr>
      <t xml:space="preserve">T47-85.5-29 </t>
    </r>
  </si>
  <si>
    <r>
      <rPr>
        <sz val="9"/>
        <color rgb="FF111111"/>
        <rFont val="Arial"/>
        <family val="0"/>
        <charset val="1"/>
      </rPr>
      <t xml:space="preserve">02/26 </t>
    </r>
    <r>
      <rPr>
        <sz val="9"/>
        <color rgb="FF111111"/>
        <rFont val="DejaVu Sans"/>
        <family val="2"/>
      </rPr>
      <t xml:space="preserve">海尔  中轴</t>
    </r>
  </si>
  <si>
    <r>
      <rPr>
        <sz val="9"/>
        <color rgb="FF111111"/>
        <rFont val="Calibri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 </t>
    </r>
    <r>
      <rPr>
        <sz val="9"/>
        <color rgb="FF111111"/>
        <rFont val="Calibri"/>
        <family val="0"/>
        <charset val="1"/>
      </rPr>
      <t xml:space="preserve">ITA 29 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</si>
  <si>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中轴</t>
    </r>
  </si>
  <si>
    <r>
      <rPr>
        <sz val="9"/>
        <color rgb="FF111111"/>
        <rFont val="Calibri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银 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</si>
  <si>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脚踏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</si>
  <si>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外胎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</si>
  <si>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碟片组</t>
    </r>
  </si>
  <si>
    <t xml:space="preserve">03/02</t>
  </si>
  <si>
    <r>
      <rPr>
        <sz val="9"/>
        <color rgb="FF111111"/>
        <rFont val="Arial"/>
        <family val="0"/>
        <charset val="1"/>
      </rPr>
      <t xml:space="preserve">03/02 </t>
    </r>
    <r>
      <rPr>
        <sz val="9"/>
        <color rgb="FF111111"/>
        <rFont val="DejaVu Sans"/>
        <family val="2"/>
      </rPr>
      <t xml:space="preserve">海尔  外胎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</si>
  <si>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 轮组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</si>
  <si>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 座垫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</si>
  <si>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 外胎</t>
    </r>
  </si>
  <si>
    <t xml:space="preserve">03/11</t>
  </si>
  <si>
    <r>
      <rPr>
        <sz val="9"/>
        <color rgb="FF111111"/>
        <rFont val="Arial"/>
        <family val="0"/>
        <charset val="1"/>
      </rPr>
      <t xml:space="preserve">03/11 </t>
    </r>
    <r>
      <rPr>
        <sz val="9"/>
        <color rgb="FF111111"/>
        <rFont val="DejaVu Sans"/>
        <family val="2"/>
      </rPr>
      <t xml:space="preserve">海尔  座垫</t>
    </r>
  </si>
  <si>
    <r>
      <rPr>
        <sz val="9"/>
        <color rgb="FF111111"/>
        <rFont val="Arial"/>
        <family val="0"/>
        <charset val="1"/>
      </rPr>
      <t xml:space="preserve">03/11 </t>
    </r>
    <r>
      <rPr>
        <sz val="9"/>
        <color rgb="FF111111"/>
        <rFont val="DejaVu Sans"/>
        <family val="2"/>
      </rPr>
      <t xml:space="preserve">海尔  轮组</t>
    </r>
  </si>
  <si>
    <r>
      <rPr>
        <sz val="9"/>
        <color rgb="FF111111"/>
        <rFont val="Arial"/>
        <family val="0"/>
        <charset val="1"/>
      </rPr>
      <t xml:space="preserve">03/11 </t>
    </r>
    <r>
      <rPr>
        <sz val="9"/>
        <color rgb="FF111111"/>
        <rFont val="DejaVu Sans"/>
        <family val="2"/>
      </rPr>
      <t xml:space="preserve">海尔  外胎</t>
    </r>
  </si>
  <si>
    <t xml:space="preserve">01/29</t>
  </si>
  <si>
    <t xml:space="preserve">售后换新</t>
  </si>
  <si>
    <r>
      <rPr>
        <sz val="9"/>
        <color rgb="FF111111"/>
        <rFont val="Calibri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Calibri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Calibri"/>
        <family val="0"/>
        <charset val="1"/>
      </rPr>
      <t xml:space="preserve">167.5 (</t>
    </r>
    <r>
      <rPr>
        <sz val="9"/>
        <color rgb="FF111111"/>
        <rFont val="DejaVu Sans"/>
        <family val="2"/>
      </rPr>
      <t xml:space="preserve">新款） </t>
    </r>
  </si>
  <si>
    <r>
      <rPr>
        <sz val="9"/>
        <color rgb="FF111111"/>
        <rFont val="Arial"/>
        <family val="0"/>
        <charset val="1"/>
      </rPr>
      <t xml:space="preserve">01/29 </t>
    </r>
    <r>
      <rPr>
        <sz val="9"/>
        <color rgb="FF111111"/>
        <rFont val="DejaVu Sans"/>
        <family val="2"/>
      </rPr>
      <t xml:space="preserve">郭城  曲柄组</t>
    </r>
  </si>
  <si>
    <r>
      <rPr>
        <sz val="9"/>
        <color rgb="FF111111"/>
        <rFont val="Arial"/>
        <family val="0"/>
        <charset val="1"/>
      </rPr>
      <t xml:space="preserve">02/27 </t>
    </r>
    <r>
      <rPr>
        <sz val="9"/>
        <color rgb="FF111111"/>
        <rFont val="DejaVu Sans"/>
        <family val="2"/>
      </rPr>
      <t xml:space="preserve">海尔  外胎</t>
    </r>
  </si>
  <si>
    <t xml:space="preserve">02/02</t>
  </si>
  <si>
    <t xml:space="preserve">换货</t>
  </si>
  <si>
    <r>
      <rPr>
        <sz val="9"/>
        <color rgb="FF111111"/>
        <rFont val="Arial"/>
        <family val="0"/>
        <charset val="1"/>
      </rPr>
      <t xml:space="preserve">02/02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</si>
  <si>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02/08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</si>
  <si>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Calibri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Calibri"/>
        <family val="0"/>
        <charset val="1"/>
      </rPr>
      <t xml:space="preserve">C60 (SH) </t>
    </r>
  </si>
  <si>
    <t xml:space="preserve">02/11</t>
  </si>
  <si>
    <r>
      <rPr>
        <sz val="9"/>
        <color rgb="FF111111"/>
        <rFont val="Arial"/>
        <family val="0"/>
        <charset val="1"/>
      </rPr>
      <t xml:space="preserve">02/11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</si>
  <si>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02/24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</si>
  <si>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02/25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</si>
  <si>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02/26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</si>
  <si>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潘承昊  轮组</t>
    </r>
  </si>
  <si>
    <t xml:space="preserve">03/01</t>
  </si>
  <si>
    <r>
      <rPr>
        <sz val="9"/>
        <color rgb="FF111111"/>
        <rFont val="Arial"/>
        <family val="0"/>
        <charset val="1"/>
      </rPr>
      <t xml:space="preserve">03/01 </t>
    </r>
    <r>
      <rPr>
        <sz val="9"/>
        <color rgb="FF111111"/>
        <rFont val="DejaVu Sans"/>
        <family val="2"/>
      </rPr>
      <t xml:space="preserve">潘承昊  轮组</t>
    </r>
  </si>
  <si>
    <t xml:space="preserve">03/03</t>
  </si>
  <si>
    <r>
      <rPr>
        <sz val="9"/>
        <color rgb="FF111111"/>
        <rFont val="Arial"/>
        <family val="0"/>
        <charset val="1"/>
      </rPr>
      <t xml:space="preserve">03/03 </t>
    </r>
    <r>
      <rPr>
        <sz val="9"/>
        <color rgb="FF111111"/>
        <rFont val="DejaVu Sans"/>
        <family val="2"/>
      </rPr>
      <t xml:space="preserve">郭城  轮组</t>
    </r>
  </si>
  <si>
    <r>
      <rPr>
        <sz val="9"/>
        <color rgb="FF111111"/>
        <rFont val="Arial"/>
        <family val="0"/>
        <charset val="1"/>
      </rPr>
      <t xml:space="preserve">03/03 </t>
    </r>
    <r>
      <rPr>
        <sz val="9"/>
        <color rgb="FF111111"/>
        <rFont val="DejaVu Sans"/>
        <family val="2"/>
      </rPr>
      <t xml:space="preserve">潘承昊  轮组</t>
    </r>
  </si>
  <si>
    <t xml:space="preserve">03/10</t>
  </si>
  <si>
    <t xml:space="preserve">调货到工厂</t>
  </si>
  <si>
    <r>
      <rPr>
        <sz val="9"/>
        <color rgb="FF111111"/>
        <rFont val="Arial"/>
        <family val="0"/>
        <charset val="1"/>
      </rPr>
      <t xml:space="preserve">01/11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</t>
    </r>
  </si>
  <si>
    <r>
      <rPr>
        <sz val="9"/>
        <color rgb="FF111111"/>
        <rFont val="Arial"/>
        <family val="0"/>
        <charset val="1"/>
      </rPr>
      <t xml:space="preserve">01/19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</t>
    </r>
  </si>
  <si>
    <r>
      <rPr>
        <sz val="9"/>
        <color rgb="FF111111"/>
        <rFont val="Calibri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Calibri"/>
        <family val="0"/>
        <charset val="1"/>
      </rPr>
      <t xml:space="preserve">50 </t>
    </r>
  </si>
  <si>
    <r>
      <rPr>
        <sz val="9"/>
        <color rgb="FF111111"/>
        <rFont val="Arial"/>
        <family val="0"/>
        <charset val="1"/>
      </rPr>
      <t xml:space="preserve">01/21 </t>
    </r>
    <r>
      <rPr>
        <sz val="9"/>
        <color rgb="FF111111"/>
        <rFont val="DejaVu Sans"/>
        <family val="2"/>
      </rPr>
      <t xml:space="preserve">沈弘杰  轮组</t>
    </r>
  </si>
  <si>
    <t xml:space="preserve">01/25</t>
  </si>
  <si>
    <r>
      <rPr>
        <sz val="9"/>
        <color rgb="FF111111"/>
        <rFont val="Arial"/>
        <family val="0"/>
        <charset val="1"/>
      </rPr>
      <t xml:space="preserve">01/25 </t>
    </r>
    <r>
      <rPr>
        <sz val="9"/>
        <color rgb="FF111111"/>
        <rFont val="DejaVu Sans"/>
        <family val="2"/>
      </rPr>
      <t xml:space="preserve">海尔  轮组</t>
    </r>
  </si>
  <si>
    <t xml:space="preserve">01/13</t>
  </si>
  <si>
    <t xml:space="preserve">赠送</t>
  </si>
  <si>
    <r>
      <rPr>
        <sz val="9"/>
        <color rgb="FF111111"/>
        <rFont val="Calibri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Calibri"/>
        <family val="0"/>
        <charset val="1"/>
      </rPr>
      <t xml:space="preserve">Rapido </t>
    </r>
    <r>
      <rPr>
        <sz val="9"/>
        <color rgb="FF111111"/>
        <rFont val="DejaVu Sans"/>
        <family val="2"/>
      </rPr>
      <t xml:space="preserve">橙色 </t>
    </r>
    <r>
      <rPr>
        <sz val="9"/>
        <color rgb="FF111111"/>
        <rFont val="Calibri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</si>
  <si>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01/13 </t>
    </r>
    <r>
      <rPr>
        <sz val="9"/>
        <color rgb="FF111111"/>
        <rFont val="DejaVu Sans"/>
        <family val="2"/>
      </rPr>
      <t xml:space="preserve">海尔 </t>
    </r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</t>
    </r>
  </si>
  <si>
    <r>
      <rPr>
        <sz val="9"/>
        <color rgb="FF111111"/>
        <rFont val="Calibri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Calibri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Calibri"/>
        <family val="0"/>
        <charset val="1"/>
      </rPr>
      <t xml:space="preserve">M </t>
    </r>
  </si>
  <si>
    <r>
      <rPr>
        <sz val="9"/>
        <color rgb="FF111111"/>
        <rFont val="Arial"/>
        <family val="0"/>
        <charset val="1"/>
      </rPr>
      <t xml:space="preserve">01/29 </t>
    </r>
    <r>
      <rPr>
        <sz val="9"/>
        <color rgb="FF111111"/>
        <rFont val="DejaVu Sans"/>
        <family val="2"/>
      </rPr>
      <t xml:space="preserve">潘承昊  头盔</t>
    </r>
  </si>
  <si>
    <r>
      <rPr>
        <sz val="9"/>
        <color rgb="FF111111"/>
        <rFont val="Calibri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Calibri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Calibri"/>
        <family val="0"/>
        <charset val="1"/>
      </rPr>
      <t xml:space="preserve">L </t>
    </r>
  </si>
  <si>
    <t xml:space="preserve">02/09</t>
  </si>
  <si>
    <r>
      <rPr>
        <sz val="9"/>
        <color rgb="FF111111"/>
        <rFont val="Arial"/>
        <family val="0"/>
        <charset val="1"/>
      </rPr>
      <t xml:space="preserve">02/04 </t>
    </r>
    <r>
      <rPr>
        <sz val="9"/>
        <color rgb="FF111111"/>
        <rFont val="DejaVu Sans"/>
        <family val="2"/>
      </rPr>
      <t xml:space="preserve">沈弘杰  外胎</t>
    </r>
  </si>
  <si>
    <t xml:space="preserve">02/12</t>
  </si>
  <si>
    <r>
      <rPr>
        <sz val="9"/>
        <color rgb="FF111111"/>
        <rFont val="Calibri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Calibri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哑光黑 </t>
    </r>
    <r>
      <rPr>
        <sz val="9"/>
        <color rgb="FF111111"/>
        <rFont val="Calibri"/>
        <family val="0"/>
        <charset val="1"/>
      </rPr>
      <t xml:space="preserve">S </t>
    </r>
  </si>
  <si>
    <r>
      <rPr>
        <sz val="9"/>
        <color rgb="FF111111"/>
        <rFont val="Arial"/>
        <family val="0"/>
        <charset val="1"/>
      </rPr>
      <t xml:space="preserve">02/12 </t>
    </r>
    <r>
      <rPr>
        <sz val="9"/>
        <color rgb="FF111111"/>
        <rFont val="DejaVu Sans"/>
        <family val="2"/>
      </rPr>
      <t xml:space="preserve">海尔  头盔</t>
    </r>
  </si>
  <si>
    <r>
      <rPr>
        <sz val="9"/>
        <color rgb="FF111111"/>
        <rFont val="Arial"/>
        <family val="0"/>
        <charset val="1"/>
      </rPr>
      <t xml:space="preserve">02/28 </t>
    </r>
    <r>
      <rPr>
        <sz val="9"/>
        <color rgb="FF111111"/>
        <rFont val="DejaVu Sans"/>
        <family val="2"/>
      </rPr>
      <t xml:space="preserve">海尔  外胎</t>
    </r>
  </si>
  <si>
    <r>
      <rPr>
        <sz val="9"/>
        <color rgb="FF111111"/>
        <rFont val="Arial"/>
        <family val="0"/>
        <charset val="1"/>
      </rPr>
      <t xml:space="preserve">03/05 </t>
    </r>
    <r>
      <rPr>
        <sz val="9"/>
        <color rgb="FF111111"/>
        <rFont val="DejaVu Sans"/>
        <family val="2"/>
      </rPr>
      <t xml:space="preserve">海尔  头盔</t>
    </r>
  </si>
  <si>
    <t xml:space="preserve">铺货</t>
  </si>
  <si>
    <r>
      <rPr>
        <sz val="9"/>
        <color rgb="FF111111"/>
        <rFont val="Calibri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Calibri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黄色 </t>
    </r>
    <r>
      <rPr>
        <sz val="9"/>
        <color rgb="FF111111"/>
        <rFont val="Calibri"/>
        <family val="0"/>
        <charset val="1"/>
      </rPr>
      <t xml:space="preserve">455</t>
    </r>
    <r>
      <rPr>
        <sz val="9"/>
        <color rgb="FF111111"/>
        <rFont val="DejaVu Sans"/>
        <family val="2"/>
      </rPr>
      <t xml:space="preserve">（环法） </t>
    </r>
  </si>
  <si>
    <r>
      <rPr>
        <sz val="9"/>
        <color rgb="FF111111"/>
        <rFont val="Arial"/>
        <family val="0"/>
        <charset val="1"/>
      </rPr>
      <t xml:space="preserve">01/29 </t>
    </r>
    <r>
      <rPr>
        <sz val="9"/>
        <color rgb="FF111111"/>
        <rFont val="DejaVu Sans"/>
        <family val="2"/>
      </rPr>
      <t xml:space="preserve">郭城  整车</t>
    </r>
  </si>
  <si>
    <t xml:space="preserve">铺货退回</t>
  </si>
  <si>
    <r>
      <rPr>
        <sz val="9"/>
        <color rgb="FF111111"/>
        <rFont val="Calibri"/>
        <family val="0"/>
        <charset val="1"/>
      </rPr>
      <t xml:space="preserve">NEXGA </t>
    </r>
    <r>
      <rPr>
        <sz val="9"/>
        <color rgb="FF111111"/>
        <rFont val="DejaVu Sans"/>
        <family val="2"/>
      </rPr>
      <t xml:space="preserve">功率计 </t>
    </r>
    <r>
      <rPr>
        <sz val="9"/>
        <color rgb="FF111111"/>
        <rFont val="Calibri"/>
        <family val="0"/>
        <charset val="1"/>
      </rPr>
      <t xml:space="preserve">S1 </t>
    </r>
    <r>
      <rPr>
        <sz val="9"/>
        <color rgb="FF111111"/>
        <rFont val="DejaVu Sans"/>
        <family val="2"/>
      </rPr>
      <t xml:space="preserve">适用（</t>
    </r>
    <r>
      <rPr>
        <sz val="9"/>
        <color rgb="FF111111"/>
        <rFont val="Calibri"/>
        <family val="0"/>
        <charset val="1"/>
      </rPr>
      <t xml:space="preserve">EASTON) </t>
    </r>
  </si>
  <si>
    <r>
      <rPr>
        <sz val="9"/>
        <color rgb="FF111111"/>
        <rFont val="Arial"/>
        <family val="0"/>
        <charset val="1"/>
      </rPr>
      <t xml:space="preserve">02/24 </t>
    </r>
    <r>
      <rPr>
        <sz val="9"/>
        <color rgb="FF111111"/>
        <rFont val="DejaVu Sans"/>
        <family val="2"/>
      </rPr>
      <t xml:space="preserve">郭城  功率计</t>
    </r>
  </si>
  <si>
    <r>
      <rPr>
        <sz val="9"/>
        <color rgb="FF111111"/>
        <rFont val="Calibri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Calibri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彩虹（带把） </t>
    </r>
  </si>
  <si>
    <r>
      <rPr>
        <sz val="9"/>
        <color rgb="FF111111"/>
        <rFont val="Arial"/>
        <family val="0"/>
        <charset val="1"/>
      </rPr>
      <t xml:space="preserve">02/24 </t>
    </r>
    <r>
      <rPr>
        <sz val="9"/>
        <color rgb="FF111111"/>
        <rFont val="DejaVu Sans"/>
        <family val="2"/>
      </rPr>
      <t xml:space="preserve">郭城  车架</t>
    </r>
  </si>
  <si>
    <r>
      <rPr>
        <sz val="9"/>
        <color rgb="FF111111"/>
        <rFont val="Calibri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Calibri"/>
        <family val="0"/>
        <charset val="1"/>
      </rPr>
      <t xml:space="preserve">ARC 1100 55</t>
    </r>
    <r>
      <rPr>
        <sz val="9"/>
        <color rgb="FF111111"/>
        <rFont val="DejaVu Sans"/>
        <family val="2"/>
      </rPr>
      <t xml:space="preserve">（第三代）  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</si>
  <si>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出库单（非销售目的）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</si>
</sst>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11111"/>
      <name val="DejaVu Sans"/>
      <family val="2"/>
    </font>
    <font>
      <sz val="9"/>
      <color rgb="FF999999"/>
      <name val="DejaVu Sans"/>
      <family val="2"/>
    </font>
    <font>
      <sz val="9"/>
      <color rgb="FF999999"/>
      <name val="Arial"/>
      <family val="0"/>
      <charset val="1"/>
    </font>
    <font>
      <b val="true"/>
      <sz val="11"/>
      <color rgb="FF111111"/>
      <name val="DejaVu Sans"/>
      <family val="2"/>
    </font>
    <font>
      <b val="true"/>
      <sz val="11"/>
      <color rgb="FF111111"/>
      <name val="Times New Roman"/>
      <family val="0"/>
      <charset val="1"/>
    </font>
    <font>
      <b val="true"/>
      <sz val="8"/>
      <color rgb="FF111111"/>
      <name val="DejaVu Sans"/>
      <family val="2"/>
    </font>
    <font>
      <b val="true"/>
      <sz val="8"/>
      <color rgb="FF111111"/>
      <name val="Arial"/>
      <family val="0"/>
      <charset val="1"/>
    </font>
    <font>
      <b val="true"/>
      <sz val="9"/>
      <color rgb="FF111111"/>
      <name val="DejaVu Sans"/>
      <family val="2"/>
    </font>
    <font>
      <b val="true"/>
      <sz val="9"/>
      <color rgb="FF111111"/>
      <name val="Calibri"/>
      <family val="0"/>
      <charset val="1"/>
    </font>
    <font>
      <sz val="9"/>
      <color rgb="FF111111"/>
      <name val="DejaVu Sans"/>
      <family val="2"/>
    </font>
    <font>
      <sz val="9"/>
      <color rgb="FF111111"/>
      <name val="Calibri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111111"/>
      <name val="Arial"/>
      <family val="0"/>
      <charset val="1"/>
    </font>
    <font>
      <sz val="9"/>
      <color rgb="FF8B1A1A"/>
      <name val="Arial"/>
      <family val="0"/>
      <charset val="1"/>
    </font>
    <font>
      <sz val="9"/>
      <color rgb="FF8B1A1A"/>
      <name val="DejaVu Sans"/>
      <family val="2"/>
    </font>
    <font>
      <sz val="9"/>
      <color rgb="FFCC6600"/>
      <name val="Arial"/>
      <family val="0"/>
      <charset val="1"/>
    </font>
    <font>
      <sz val="9"/>
      <color rgb="FFCC6600"/>
      <name val="DejaVu Sans"/>
      <family val="2"/>
    </font>
    <font>
      <sz val="8"/>
      <color rgb="FF999999"/>
      <name val="DejaVu Sans"/>
      <family val="2"/>
    </font>
    <font>
      <sz val="8"/>
      <color rgb="FF999999"/>
      <name val="Arial"/>
      <family val="0"/>
      <charset val="1"/>
    </font>
    <font>
      <b val="true"/>
      <sz val="17"/>
      <color rgb="FF111111"/>
      <name val="Times New Roman"/>
      <family val="0"/>
      <charset val="1"/>
    </font>
    <font>
      <b val="true"/>
      <sz val="10"/>
      <color rgb="FF8B1A1A"/>
      <name val="DejaVu Sans"/>
      <family val="2"/>
    </font>
    <font>
      <b val="true"/>
      <sz val="9"/>
      <color rgb="FF8B1A1A"/>
      <name val="DejaVu Sans"/>
      <family val="2"/>
    </font>
    <font>
      <b val="true"/>
      <sz val="10"/>
      <color rgb="FF111111"/>
      <name val="DejaVu Sans"/>
      <family val="2"/>
    </font>
    <font>
      <b val="true"/>
      <sz val="10"/>
      <color rgb="FF111111"/>
      <name val="Times New Roman"/>
      <family val="0"/>
      <charset val="1"/>
    </font>
    <font>
      <b val="true"/>
      <sz val="9"/>
      <color rgb="FF111111"/>
      <name val="Times New Roman"/>
      <family val="0"/>
      <charset val="1"/>
    </font>
    <font>
      <sz val="9"/>
      <color rgb="FF8B1A1A"/>
      <name val="Calibri"/>
      <family val="0"/>
      <charset val="1"/>
    </font>
    <font>
      <b val="true"/>
      <sz val="10"/>
      <color rgb="FF8B1A1A"/>
      <name val="Times New Roman"/>
      <family val="0"/>
      <charset val="1"/>
    </font>
    <font>
      <b val="true"/>
      <sz val="10"/>
      <color rgb="FFCC6600"/>
      <name val="Times New Roman"/>
      <family val="0"/>
      <charset val="1"/>
    </font>
    <font>
      <b val="true"/>
      <sz val="10"/>
      <color rgb="FFCC6600"/>
      <name val="DejaVu Sans"/>
      <family val="2"/>
    </font>
    <font>
      <sz val="8"/>
      <color rgb="FF8B1A1A"/>
      <name val="DejaVu Sans"/>
      <family val="2"/>
    </font>
    <font>
      <sz val="8"/>
      <color rgb="FF8B1A1A"/>
      <name val="Arial"/>
      <family val="0"/>
      <charset val="1"/>
    </font>
    <font>
      <b val="true"/>
      <sz val="9"/>
      <color rgb="FF8B1A1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0F0"/>
        <bgColor rgb="FFF5F5F5"/>
      </patternFill>
    </fill>
    <fill>
      <patternFill patternType="solid">
        <fgColor rgb="FFF0F4FF"/>
        <bgColor rgb="FFF5F5F5"/>
      </patternFill>
    </fill>
    <fill>
      <patternFill patternType="solid">
        <fgColor rgb="FFF5F5F5"/>
        <bgColor rgb="FFFAF9F6"/>
      </patternFill>
    </fill>
    <fill>
      <patternFill patternType="solid">
        <fgColor rgb="FFFAF9F6"/>
        <bgColor rgb="FFF5F5F5"/>
      </patternFill>
    </fill>
    <fill>
      <patternFill patternType="solid">
        <fgColor rgb="FFE8E8E8"/>
        <bgColor rgb="FFDDDDDD"/>
      </patternFill>
    </fill>
    <fill>
      <patternFill patternType="solid">
        <fgColor rgb="FFFFFF99"/>
        <bgColor rgb="FFFFF0F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111111"/>
      </bottom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medium">
        <color rgb="FF111111"/>
      </top>
      <bottom style="medium">
        <color rgb="FF111111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medium">
        <color rgb="FF111111"/>
      </top>
      <bottom style="thin">
        <color rgb="FF111111"/>
      </bottom>
      <diagonal/>
    </border>
    <border diagonalUp="false" diagonalDown="false">
      <left/>
      <right/>
      <top style="thin">
        <color rgb="FF111111"/>
      </top>
      <bottom style="medium">
        <color rgb="FF111111"/>
      </bottom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9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F0F4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FF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555555"/>
      <rgbColor rgb="FF999999"/>
      <rgbColor rgb="FF003366"/>
      <rgbColor rgb="FF339966"/>
      <rgbColor rgb="FF111111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B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24"/>
    <col collapsed="false" customWidth="true" hidden="false" outlineLevel="0" max="9" min="9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7.5" hidden="false" customHeight="true" outlineLevel="0" collapsed="false"/>
    <row r="5" customFormat="false" ht="16.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3.5" hidden="false" customHeight="true" outlineLevel="0" collapsed="false">
      <c r="B6" s="4" t="s">
        <v>3</v>
      </c>
      <c r="C6" s="5" t="s">
        <v>4</v>
      </c>
      <c r="D6" s="6" t="s">
        <v>5</v>
      </c>
      <c r="E6" s="6" t="s">
        <v>6</v>
      </c>
      <c r="F6" s="6" t="s">
        <v>7</v>
      </c>
      <c r="G6" s="4" t="s">
        <v>8</v>
      </c>
      <c r="H6" s="7"/>
    </row>
    <row r="7" customFormat="false" ht="12.75" hidden="false" customHeight="true" outlineLevel="0" collapsed="false">
      <c r="B7" s="8" t="s">
        <v>9</v>
      </c>
      <c r="C7" s="9" t="n">
        <v>63</v>
      </c>
      <c r="D7" s="9" t="n">
        <v>248</v>
      </c>
      <c r="E7" s="10" t="n">
        <v>1433909</v>
      </c>
      <c r="F7" s="11" t="n">
        <v>0.309311981416151</v>
      </c>
      <c r="G7" s="12" t="s">
        <v>10</v>
      </c>
      <c r="H7" s="12"/>
    </row>
    <row r="8" customFormat="false" ht="12.75" hidden="false" customHeight="true" outlineLevel="0" collapsed="false">
      <c r="B8" s="13" t="s">
        <v>11</v>
      </c>
      <c r="C8" s="14" t="n">
        <v>36</v>
      </c>
      <c r="D8" s="14" t="n">
        <v>97</v>
      </c>
      <c r="E8" s="15" t="n">
        <v>989118.11</v>
      </c>
      <c r="F8" s="16" t="n">
        <v>0.213365061840534</v>
      </c>
      <c r="G8" s="17" t="s">
        <v>12</v>
      </c>
      <c r="H8" s="17"/>
    </row>
    <row r="9" customFormat="false" ht="12.75" hidden="false" customHeight="true" outlineLevel="0" collapsed="false">
      <c r="B9" s="18" t="s">
        <v>13</v>
      </c>
      <c r="C9" s="19" t="n">
        <v>4</v>
      </c>
      <c r="D9" s="19" t="n">
        <v>20</v>
      </c>
      <c r="E9" s="20" t="n">
        <v>36176</v>
      </c>
      <c r="F9" s="21" t="n">
        <v>0.00780361253030051</v>
      </c>
      <c r="G9" s="12" t="s">
        <v>14</v>
      </c>
      <c r="H9" s="12"/>
    </row>
    <row r="10" customFormat="false" ht="12.75" hidden="false" customHeight="true" outlineLevel="0" collapsed="false">
      <c r="B10" s="22" t="s">
        <v>15</v>
      </c>
      <c r="C10" s="23" t="n">
        <v>88</v>
      </c>
      <c r="D10" s="23" t="n">
        <v>2146</v>
      </c>
      <c r="E10" s="24" t="n">
        <v>1149683.08</v>
      </c>
      <c r="F10" s="25" t="n">
        <v>0.248000920194673</v>
      </c>
      <c r="G10" s="26"/>
      <c r="H10" s="26"/>
    </row>
    <row r="11" customFormat="false" ht="12.75" hidden="false" customHeight="true" outlineLevel="0" collapsed="false">
      <c r="B11" s="27" t="s">
        <v>16</v>
      </c>
      <c r="C11" s="28" t="n">
        <v>25</v>
      </c>
      <c r="D11" s="28" t="n">
        <v>232</v>
      </c>
      <c r="E11" s="29" t="n">
        <v>360918</v>
      </c>
      <c r="F11" s="30" t="n">
        <v>0.0778544954447976</v>
      </c>
      <c r="G11" s="31"/>
      <c r="H11" s="31"/>
    </row>
    <row r="12" customFormat="false" ht="12.75" hidden="false" customHeight="true" outlineLevel="0" collapsed="false">
      <c r="B12" s="22" t="s">
        <v>17</v>
      </c>
      <c r="C12" s="23" t="n">
        <v>6</v>
      </c>
      <c r="D12" s="23" t="n">
        <v>137</v>
      </c>
      <c r="E12" s="24" t="n">
        <v>294758.6</v>
      </c>
      <c r="F12" s="25" t="n">
        <v>0.063583091120462</v>
      </c>
      <c r="G12" s="26"/>
      <c r="H12" s="26"/>
    </row>
    <row r="13" customFormat="false" ht="12.75" hidden="false" customHeight="true" outlineLevel="0" collapsed="false">
      <c r="B13" s="27" t="s">
        <v>18</v>
      </c>
      <c r="C13" s="28" t="n">
        <v>125</v>
      </c>
      <c r="D13" s="28" t="n">
        <v>767</v>
      </c>
      <c r="E13" s="29" t="n">
        <v>227615.08</v>
      </c>
      <c r="F13" s="30" t="n">
        <v>0.0490993998886928</v>
      </c>
      <c r="G13" s="31"/>
      <c r="H13" s="31"/>
    </row>
    <row r="14" customFormat="false" ht="12.75" hidden="false" customHeight="true" outlineLevel="0" collapsed="false">
      <c r="B14" s="22" t="s">
        <v>19</v>
      </c>
      <c r="C14" s="23" t="n">
        <v>21</v>
      </c>
      <c r="D14" s="23" t="n">
        <v>19</v>
      </c>
      <c r="E14" s="24" t="n">
        <v>0</v>
      </c>
      <c r="F14" s="25" t="n">
        <v>0</v>
      </c>
      <c r="G14" s="32" t="s">
        <v>20</v>
      </c>
      <c r="H14" s="32"/>
    </row>
    <row r="15" customFormat="false" ht="13.5" hidden="false" customHeight="true" outlineLevel="0" collapsed="false">
      <c r="B15" s="33" t="s">
        <v>21</v>
      </c>
      <c r="C15" s="34" t="n">
        <v>368</v>
      </c>
      <c r="D15" s="34" t="n">
        <v>3666</v>
      </c>
      <c r="E15" s="35" t="n">
        <v>4635801.67</v>
      </c>
      <c r="F15" s="36" t="n">
        <v>1</v>
      </c>
      <c r="G15" s="37"/>
      <c r="H15" s="37"/>
    </row>
    <row r="17" customFormat="false" ht="16.5" hidden="false" customHeight="true" outlineLevel="0" collapsed="false">
      <c r="B17" s="3" t="s">
        <v>22</v>
      </c>
      <c r="C17" s="3"/>
      <c r="D17" s="3"/>
      <c r="E17" s="3"/>
      <c r="F17" s="3"/>
      <c r="G17" s="3"/>
      <c r="H17" s="3"/>
    </row>
    <row r="18" customFormat="false" ht="13.5" hidden="false" customHeight="true" outlineLevel="0" collapsed="false">
      <c r="B18" s="38" t="s">
        <v>23</v>
      </c>
      <c r="C18" s="39" t="s">
        <v>24</v>
      </c>
      <c r="D18" s="39"/>
      <c r="E18" s="39"/>
      <c r="F18" s="39"/>
      <c r="G18" s="39" t="s">
        <v>25</v>
      </c>
      <c r="H18" s="39"/>
    </row>
    <row r="19" customFormat="false" ht="33.75" hidden="false" customHeight="true" outlineLevel="0" collapsed="false">
      <c r="B19" s="40" t="s">
        <v>26</v>
      </c>
      <c r="C19" s="41" t="s">
        <v>27</v>
      </c>
      <c r="D19" s="41"/>
      <c r="E19" s="41"/>
      <c r="F19" s="41"/>
      <c r="G19" s="42" t="s">
        <v>28</v>
      </c>
      <c r="H19" s="42"/>
    </row>
    <row r="20" customFormat="false" ht="33.75" hidden="false" customHeight="true" outlineLevel="0" collapsed="false">
      <c r="B20" s="40" t="s">
        <v>29</v>
      </c>
      <c r="C20" s="43" t="s">
        <v>30</v>
      </c>
      <c r="D20" s="43"/>
      <c r="E20" s="43"/>
      <c r="F20" s="43"/>
      <c r="G20" s="42" t="s">
        <v>31</v>
      </c>
      <c r="H20" s="42"/>
    </row>
    <row r="21" customFormat="false" ht="33.75" hidden="false" customHeight="true" outlineLevel="0" collapsed="false">
      <c r="B21" s="40" t="s">
        <v>32</v>
      </c>
      <c r="C21" s="43" t="s">
        <v>33</v>
      </c>
      <c r="D21" s="43"/>
      <c r="E21" s="43"/>
      <c r="F21" s="43"/>
      <c r="G21" s="42" t="s">
        <v>34</v>
      </c>
      <c r="H21" s="42"/>
    </row>
    <row r="22" customFormat="false" ht="33.75" hidden="false" customHeight="true" outlineLevel="0" collapsed="false">
      <c r="B22" s="44" t="s">
        <v>35</v>
      </c>
      <c r="C22" s="45" t="s">
        <v>36</v>
      </c>
      <c r="D22" s="45"/>
      <c r="E22" s="45"/>
      <c r="F22" s="45"/>
      <c r="G22" s="46" t="s">
        <v>37</v>
      </c>
      <c r="H22" s="46"/>
    </row>
    <row r="23" customFormat="false" ht="33.75" hidden="false" customHeight="true" outlineLevel="0" collapsed="false">
      <c r="B23" s="47" t="s">
        <v>38</v>
      </c>
      <c r="C23" s="48" t="s">
        <v>39</v>
      </c>
      <c r="D23" s="48"/>
      <c r="E23" s="48"/>
      <c r="F23" s="48"/>
      <c r="G23" s="49" t="s">
        <v>40</v>
      </c>
      <c r="H23" s="49"/>
    </row>
    <row r="26" customFormat="false" ht="15" hidden="false" customHeight="false" outlineLevel="0" collapsed="false">
      <c r="B26" s="50" t="s">
        <v>41</v>
      </c>
    </row>
  </sheetData>
  <mergeCells count="25">
    <mergeCell ref="B2:H2"/>
    <mergeCell ref="B3:H3"/>
    <mergeCell ref="B5:H5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B17:H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  <mergeCell ref="C23:F23"/>
    <mergeCell ref="G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B1:M4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10" min="7" style="0" width="6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5" hidden="false" customHeight="true" outlineLevel="0" collapsed="false">
      <c r="B3" s="51" t="s">
        <v>43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customFormat="false" ht="7.5" hidden="false" customHeight="true" outlineLevel="0" collapsed="false"/>
    <row r="5" customFormat="false" ht="12.75" hidden="false" customHeight="true" outlineLevel="0" collapsed="false">
      <c r="B5" s="52" t="s">
        <v>44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customFormat="false" ht="7.5" hidden="false" customHeight="true" outlineLevel="0" collapsed="false"/>
    <row r="7" customFormat="false" ht="13.5" hidden="false" customHeight="true" outlineLevel="0" collapsed="false">
      <c r="B7" s="53" t="s">
        <v>45</v>
      </c>
      <c r="C7" s="54" t="s">
        <v>46</v>
      </c>
      <c r="D7" s="53" t="s">
        <v>47</v>
      </c>
      <c r="E7" s="53" t="s">
        <v>3</v>
      </c>
      <c r="F7" s="55" t="s">
        <v>48</v>
      </c>
      <c r="G7" s="56" t="s">
        <v>49</v>
      </c>
      <c r="H7" s="56" t="s">
        <v>50</v>
      </c>
      <c r="I7" s="56" t="s">
        <v>51</v>
      </c>
      <c r="J7" s="56" t="s">
        <v>52</v>
      </c>
      <c r="K7" s="56" t="s">
        <v>53</v>
      </c>
      <c r="L7" s="56" t="s">
        <v>54</v>
      </c>
      <c r="M7" s="56" t="s">
        <v>55</v>
      </c>
    </row>
    <row r="8" customFormat="false" ht="15" hidden="false" customHeight="true" outlineLevel="0" collapsed="false">
      <c r="B8" s="57" t="s">
        <v>56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</row>
    <row r="9" customFormat="false" ht="12.75" hidden="false" customHeight="true" outlineLevel="0" collapsed="false">
      <c r="B9" s="58" t="s">
        <v>57</v>
      </c>
      <c r="C9" s="18" t="s">
        <v>58</v>
      </c>
      <c r="D9" s="18" t="s">
        <v>59</v>
      </c>
      <c r="E9" s="58" t="s">
        <v>9</v>
      </c>
      <c r="F9" s="59" t="s">
        <v>60</v>
      </c>
      <c r="G9" s="19" t="n">
        <v>1</v>
      </c>
      <c r="H9" s="19" t="n">
        <v>1</v>
      </c>
      <c r="I9" s="19" t="n">
        <v>0</v>
      </c>
      <c r="J9" s="19" t="n">
        <v>0</v>
      </c>
      <c r="K9" s="20" t="n">
        <v>12500</v>
      </c>
      <c r="L9" s="20" t="n">
        <v>12500</v>
      </c>
      <c r="M9" s="60" t="s">
        <v>61</v>
      </c>
    </row>
    <row r="10" customFormat="false" ht="12.75" hidden="false" customHeight="true" outlineLevel="0" collapsed="false">
      <c r="B10" s="58" t="s">
        <v>57</v>
      </c>
      <c r="C10" s="18" t="s">
        <v>62</v>
      </c>
      <c r="D10" s="18" t="s">
        <v>63</v>
      </c>
      <c r="E10" s="58" t="s">
        <v>9</v>
      </c>
      <c r="F10" s="59" t="s">
        <v>64</v>
      </c>
      <c r="G10" s="19" t="n">
        <v>1</v>
      </c>
      <c r="H10" s="19" t="n">
        <v>1</v>
      </c>
      <c r="I10" s="19" t="n">
        <v>0</v>
      </c>
      <c r="J10" s="19" t="n">
        <v>0</v>
      </c>
      <c r="K10" s="20" t="n">
        <v>2050</v>
      </c>
      <c r="L10" s="20" t="n">
        <v>2050</v>
      </c>
      <c r="M10" s="60" t="s">
        <v>61</v>
      </c>
    </row>
    <row r="11" customFormat="false" ht="12.75" hidden="false" customHeight="true" outlineLevel="0" collapsed="false">
      <c r="B11" s="61"/>
      <c r="C11" s="62" t="s">
        <v>65</v>
      </c>
      <c r="D11" s="62"/>
      <c r="E11" s="62"/>
      <c r="F11" s="62"/>
      <c r="G11" s="63" t="n">
        <v>2</v>
      </c>
      <c r="H11" s="61"/>
      <c r="I11" s="61"/>
      <c r="J11" s="61"/>
      <c r="K11" s="61"/>
      <c r="L11" s="63" t="n">
        <v>14550</v>
      </c>
      <c r="M11" s="61"/>
    </row>
    <row r="12" customFormat="false" ht="12.75" hidden="false" customHeight="true" outlineLevel="0" collapsed="false">
      <c r="B12" s="58" t="s">
        <v>66</v>
      </c>
      <c r="C12" s="18" t="s">
        <v>67</v>
      </c>
      <c r="D12" s="18" t="s">
        <v>68</v>
      </c>
      <c r="E12" s="58" t="s">
        <v>9</v>
      </c>
      <c r="F12" s="59" t="s">
        <v>60</v>
      </c>
      <c r="G12" s="19" t="n">
        <v>2</v>
      </c>
      <c r="H12" s="19" t="n">
        <v>3</v>
      </c>
      <c r="I12" s="19" t="n">
        <v>0</v>
      </c>
      <c r="J12" s="19" t="n">
        <v>1</v>
      </c>
      <c r="K12" s="20" t="n">
        <v>3300</v>
      </c>
      <c r="L12" s="20" t="n">
        <v>6600</v>
      </c>
      <c r="M12" s="60" t="s">
        <v>61</v>
      </c>
    </row>
    <row r="13" customFormat="false" ht="12.75" hidden="false" customHeight="true" outlineLevel="0" collapsed="false">
      <c r="B13" s="58" t="s">
        <v>66</v>
      </c>
      <c r="C13" s="18" t="s">
        <v>69</v>
      </c>
      <c r="D13" s="18" t="s">
        <v>68</v>
      </c>
      <c r="E13" s="58" t="s">
        <v>9</v>
      </c>
      <c r="F13" s="59" t="s">
        <v>60</v>
      </c>
      <c r="G13" s="19" t="n">
        <v>2</v>
      </c>
      <c r="H13" s="19" t="n">
        <v>3</v>
      </c>
      <c r="I13" s="19" t="n">
        <v>0</v>
      </c>
      <c r="J13" s="19" t="n">
        <v>1</v>
      </c>
      <c r="K13" s="20" t="n">
        <v>2000</v>
      </c>
      <c r="L13" s="20" t="n">
        <v>4000</v>
      </c>
      <c r="M13" s="60" t="s">
        <v>61</v>
      </c>
    </row>
    <row r="14" customFormat="false" ht="12.75" hidden="false" customHeight="true" outlineLevel="0" collapsed="false">
      <c r="B14" s="58" t="s">
        <v>66</v>
      </c>
      <c r="C14" s="18" t="s">
        <v>70</v>
      </c>
      <c r="D14" s="18" t="s">
        <v>68</v>
      </c>
      <c r="E14" s="58" t="s">
        <v>9</v>
      </c>
      <c r="F14" s="59" t="s">
        <v>71</v>
      </c>
      <c r="G14" s="19" t="n">
        <v>1</v>
      </c>
      <c r="H14" s="19" t="n">
        <v>1</v>
      </c>
      <c r="I14" s="19" t="n">
        <v>0</v>
      </c>
      <c r="J14" s="19" t="n">
        <v>0</v>
      </c>
      <c r="K14" s="20" t="n">
        <v>2200</v>
      </c>
      <c r="L14" s="20" t="n">
        <v>2200</v>
      </c>
      <c r="M14" s="60" t="s">
        <v>61</v>
      </c>
    </row>
    <row r="15" customFormat="false" ht="12.75" hidden="false" customHeight="true" outlineLevel="0" collapsed="false">
      <c r="B15" s="61"/>
      <c r="C15" s="62" t="s">
        <v>72</v>
      </c>
      <c r="D15" s="62"/>
      <c r="E15" s="62"/>
      <c r="F15" s="62"/>
      <c r="G15" s="63" t="n">
        <v>5</v>
      </c>
      <c r="H15" s="61"/>
      <c r="I15" s="61"/>
      <c r="J15" s="61"/>
      <c r="K15" s="61"/>
      <c r="L15" s="63" t="n">
        <v>12800</v>
      </c>
      <c r="M15" s="61"/>
    </row>
    <row r="16" customFormat="false" ht="12.75" hidden="false" customHeight="true" outlineLevel="0" collapsed="false">
      <c r="B16" s="58" t="s">
        <v>73</v>
      </c>
      <c r="C16" s="58" t="s">
        <v>74</v>
      </c>
      <c r="D16" s="58" t="s">
        <v>75</v>
      </c>
      <c r="E16" s="58" t="s">
        <v>9</v>
      </c>
      <c r="F16" s="64" t="s">
        <v>76</v>
      </c>
      <c r="G16" s="19" t="n">
        <v>113</v>
      </c>
      <c r="H16" s="19" t="n">
        <v>113</v>
      </c>
      <c r="I16" s="19" t="n">
        <v>0</v>
      </c>
      <c r="J16" s="19" t="n">
        <v>0</v>
      </c>
      <c r="K16" s="20" t="n">
        <v>200</v>
      </c>
      <c r="L16" s="20" t="n">
        <v>22600</v>
      </c>
      <c r="M16" s="60" t="s">
        <v>61</v>
      </c>
    </row>
    <row r="17" customFormat="false" ht="12.75" hidden="false" customHeight="true" outlineLevel="0" collapsed="false">
      <c r="B17" s="58" t="s">
        <v>73</v>
      </c>
      <c r="C17" s="18" t="s">
        <v>77</v>
      </c>
      <c r="D17" s="18" t="s">
        <v>78</v>
      </c>
      <c r="E17" s="58" t="s">
        <v>9</v>
      </c>
      <c r="F17" s="59" t="s">
        <v>64</v>
      </c>
      <c r="G17" s="19" t="n">
        <v>1</v>
      </c>
      <c r="H17" s="19" t="n">
        <v>1</v>
      </c>
      <c r="I17" s="19" t="n">
        <v>0</v>
      </c>
      <c r="J17" s="19" t="n">
        <v>0</v>
      </c>
      <c r="K17" s="20" t="n">
        <v>1596</v>
      </c>
      <c r="L17" s="20" t="n">
        <v>1596</v>
      </c>
      <c r="M17" s="60" t="s">
        <v>61</v>
      </c>
    </row>
    <row r="18" customFormat="false" ht="12.75" hidden="false" customHeight="true" outlineLevel="0" collapsed="false">
      <c r="B18" s="58" t="s">
        <v>73</v>
      </c>
      <c r="C18" s="18" t="s">
        <v>79</v>
      </c>
      <c r="D18" s="18" t="s">
        <v>78</v>
      </c>
      <c r="E18" s="58" t="s">
        <v>9</v>
      </c>
      <c r="F18" s="59" t="s">
        <v>64</v>
      </c>
      <c r="G18" s="19" t="n">
        <v>1</v>
      </c>
      <c r="H18" s="19" t="n">
        <v>1</v>
      </c>
      <c r="I18" s="19" t="n">
        <v>0</v>
      </c>
      <c r="J18" s="19" t="n">
        <v>0</v>
      </c>
      <c r="K18" s="20" t="n">
        <v>1200</v>
      </c>
      <c r="L18" s="20" t="n">
        <v>1200</v>
      </c>
      <c r="M18" s="60" t="s">
        <v>61</v>
      </c>
    </row>
    <row r="19" customFormat="false" ht="12.75" hidden="false" customHeight="true" outlineLevel="0" collapsed="false">
      <c r="B19" s="58" t="s">
        <v>73</v>
      </c>
      <c r="C19" s="18" t="s">
        <v>80</v>
      </c>
      <c r="D19" s="18" t="s">
        <v>78</v>
      </c>
      <c r="E19" s="58" t="s">
        <v>9</v>
      </c>
      <c r="F19" s="59" t="s">
        <v>64</v>
      </c>
      <c r="G19" s="19" t="n">
        <v>1</v>
      </c>
      <c r="H19" s="19" t="n">
        <v>1</v>
      </c>
      <c r="I19" s="19" t="n">
        <v>0</v>
      </c>
      <c r="J19" s="19" t="n">
        <v>0</v>
      </c>
      <c r="K19" s="20" t="n">
        <v>1126</v>
      </c>
      <c r="L19" s="20" t="n">
        <v>1126</v>
      </c>
      <c r="M19" s="60" t="s">
        <v>61</v>
      </c>
    </row>
    <row r="20" customFormat="false" ht="12.75" hidden="false" customHeight="true" outlineLevel="0" collapsed="false">
      <c r="B20" s="58" t="s">
        <v>73</v>
      </c>
      <c r="C20" s="18" t="s">
        <v>81</v>
      </c>
      <c r="D20" s="18" t="s">
        <v>78</v>
      </c>
      <c r="E20" s="58" t="s">
        <v>9</v>
      </c>
      <c r="F20" s="59" t="s">
        <v>64</v>
      </c>
      <c r="G20" s="19" t="n">
        <v>1</v>
      </c>
      <c r="H20" s="19" t="n">
        <v>1</v>
      </c>
      <c r="I20" s="19" t="n">
        <v>0</v>
      </c>
      <c r="J20" s="19" t="n">
        <v>0</v>
      </c>
      <c r="K20" s="20" t="n">
        <v>645</v>
      </c>
      <c r="L20" s="20" t="n">
        <v>645</v>
      </c>
      <c r="M20" s="60" t="s">
        <v>61</v>
      </c>
    </row>
    <row r="21" customFormat="false" ht="12.75" hidden="false" customHeight="true" outlineLevel="0" collapsed="false">
      <c r="B21" s="58" t="s">
        <v>73</v>
      </c>
      <c r="C21" s="18" t="s">
        <v>82</v>
      </c>
      <c r="D21" s="18" t="s">
        <v>78</v>
      </c>
      <c r="E21" s="58" t="s">
        <v>9</v>
      </c>
      <c r="F21" s="59" t="s">
        <v>64</v>
      </c>
      <c r="G21" s="19" t="n">
        <v>1</v>
      </c>
      <c r="H21" s="19" t="n">
        <v>1</v>
      </c>
      <c r="I21" s="19" t="n">
        <v>0</v>
      </c>
      <c r="J21" s="19" t="n">
        <v>0</v>
      </c>
      <c r="K21" s="20" t="n">
        <v>645</v>
      </c>
      <c r="L21" s="20" t="n">
        <v>645</v>
      </c>
      <c r="M21" s="60" t="s">
        <v>61</v>
      </c>
    </row>
    <row r="22" customFormat="false" ht="12.75" hidden="false" customHeight="true" outlineLevel="0" collapsed="false">
      <c r="B22" s="61"/>
      <c r="C22" s="62" t="s">
        <v>83</v>
      </c>
      <c r="D22" s="62"/>
      <c r="E22" s="62"/>
      <c r="F22" s="62"/>
      <c r="G22" s="63" t="n">
        <v>118</v>
      </c>
      <c r="H22" s="61"/>
      <c r="I22" s="61"/>
      <c r="J22" s="61"/>
      <c r="K22" s="61"/>
      <c r="L22" s="63" t="n">
        <v>27812</v>
      </c>
      <c r="M22" s="61"/>
    </row>
    <row r="23" customFormat="false" ht="12.75" hidden="false" customHeight="true" outlineLevel="0" collapsed="false">
      <c r="B23" s="58" t="s">
        <v>84</v>
      </c>
      <c r="C23" s="18" t="s">
        <v>85</v>
      </c>
      <c r="D23" s="18" t="s">
        <v>86</v>
      </c>
      <c r="E23" s="58" t="s">
        <v>9</v>
      </c>
      <c r="F23" s="59" t="s">
        <v>87</v>
      </c>
      <c r="G23" s="19" t="n">
        <v>1</v>
      </c>
      <c r="H23" s="19" t="n">
        <v>1</v>
      </c>
      <c r="I23" s="19" t="n">
        <v>0</v>
      </c>
      <c r="J23" s="19" t="n">
        <v>0</v>
      </c>
      <c r="K23" s="20" t="n">
        <v>41468</v>
      </c>
      <c r="L23" s="20" t="n">
        <v>41468</v>
      </c>
      <c r="M23" s="60" t="s">
        <v>61</v>
      </c>
    </row>
    <row r="24" customFormat="false" ht="12.75" hidden="false" customHeight="true" outlineLevel="0" collapsed="false">
      <c r="B24" s="58" t="s">
        <v>84</v>
      </c>
      <c r="C24" s="18" t="s">
        <v>88</v>
      </c>
      <c r="D24" s="18" t="s">
        <v>89</v>
      </c>
      <c r="E24" s="58" t="s">
        <v>9</v>
      </c>
      <c r="F24" s="59" t="s">
        <v>60</v>
      </c>
      <c r="G24" s="19" t="n">
        <v>1</v>
      </c>
      <c r="H24" s="19" t="n">
        <v>1</v>
      </c>
      <c r="I24" s="19" t="n">
        <v>0</v>
      </c>
      <c r="J24" s="19" t="n">
        <v>0</v>
      </c>
      <c r="K24" s="20" t="n">
        <v>33996</v>
      </c>
      <c r="L24" s="20" t="n">
        <v>33996</v>
      </c>
      <c r="M24" s="60" t="s">
        <v>61</v>
      </c>
    </row>
    <row r="25" customFormat="false" ht="12.75" hidden="false" customHeight="true" outlineLevel="0" collapsed="false">
      <c r="B25" s="58" t="s">
        <v>84</v>
      </c>
      <c r="C25" s="18" t="s">
        <v>90</v>
      </c>
      <c r="D25" s="18" t="s">
        <v>91</v>
      </c>
      <c r="E25" s="58" t="s">
        <v>9</v>
      </c>
      <c r="F25" s="59" t="s">
        <v>60</v>
      </c>
      <c r="G25" s="19" t="n">
        <v>1</v>
      </c>
      <c r="H25" s="19" t="n">
        <v>1</v>
      </c>
      <c r="I25" s="19" t="n">
        <v>0</v>
      </c>
      <c r="J25" s="19" t="n">
        <v>0</v>
      </c>
      <c r="K25" s="20" t="n">
        <v>33916</v>
      </c>
      <c r="L25" s="20" t="n">
        <v>33916</v>
      </c>
      <c r="M25" s="60" t="s">
        <v>61</v>
      </c>
    </row>
    <row r="26" customFormat="false" ht="12.75" hidden="false" customHeight="true" outlineLevel="0" collapsed="false">
      <c r="B26" s="58" t="s">
        <v>84</v>
      </c>
      <c r="C26" s="18" t="s">
        <v>92</v>
      </c>
      <c r="D26" s="18" t="s">
        <v>91</v>
      </c>
      <c r="E26" s="58" t="s">
        <v>9</v>
      </c>
      <c r="F26" s="59" t="s">
        <v>60</v>
      </c>
      <c r="G26" s="19" t="n">
        <v>1</v>
      </c>
      <c r="H26" s="19" t="n">
        <v>1</v>
      </c>
      <c r="I26" s="19" t="n">
        <v>0</v>
      </c>
      <c r="J26" s="19" t="n">
        <v>0</v>
      </c>
      <c r="K26" s="20" t="n">
        <v>31500</v>
      </c>
      <c r="L26" s="20" t="n">
        <v>31500</v>
      </c>
      <c r="M26" s="60" t="s">
        <v>61</v>
      </c>
    </row>
    <row r="27" customFormat="false" ht="12.75" hidden="false" customHeight="true" outlineLevel="0" collapsed="false">
      <c r="B27" s="58" t="s">
        <v>84</v>
      </c>
      <c r="C27" s="18" t="s">
        <v>93</v>
      </c>
      <c r="D27" s="18" t="s">
        <v>91</v>
      </c>
      <c r="E27" s="58" t="s">
        <v>9</v>
      </c>
      <c r="F27" s="59" t="s">
        <v>60</v>
      </c>
      <c r="G27" s="19" t="n">
        <v>1</v>
      </c>
      <c r="H27" s="19" t="n">
        <v>1</v>
      </c>
      <c r="I27" s="19" t="n">
        <v>0</v>
      </c>
      <c r="J27" s="19" t="n">
        <v>0</v>
      </c>
      <c r="K27" s="20" t="n">
        <v>31500</v>
      </c>
      <c r="L27" s="20" t="n">
        <v>31500</v>
      </c>
      <c r="M27" s="60" t="s">
        <v>61</v>
      </c>
    </row>
    <row r="28" customFormat="false" ht="12.75" hidden="false" customHeight="true" outlineLevel="0" collapsed="false">
      <c r="B28" s="58" t="s">
        <v>84</v>
      </c>
      <c r="C28" s="18" t="s">
        <v>94</v>
      </c>
      <c r="D28" s="18" t="s">
        <v>91</v>
      </c>
      <c r="E28" s="58" t="s">
        <v>9</v>
      </c>
      <c r="F28" s="59" t="s">
        <v>60</v>
      </c>
      <c r="G28" s="19" t="n">
        <v>1</v>
      </c>
      <c r="H28" s="19" t="n">
        <v>2</v>
      </c>
      <c r="I28" s="19" t="n">
        <v>0</v>
      </c>
      <c r="J28" s="19" t="n">
        <v>1</v>
      </c>
      <c r="K28" s="20" t="n">
        <v>24400</v>
      </c>
      <c r="L28" s="20" t="n">
        <v>24400</v>
      </c>
      <c r="M28" s="60" t="s">
        <v>61</v>
      </c>
    </row>
    <row r="29" customFormat="false" ht="12.75" hidden="false" customHeight="true" outlineLevel="0" collapsed="false">
      <c r="B29" s="58" t="s">
        <v>84</v>
      </c>
      <c r="C29" s="18" t="s">
        <v>95</v>
      </c>
      <c r="D29" s="18" t="s">
        <v>91</v>
      </c>
      <c r="E29" s="58" t="s">
        <v>9</v>
      </c>
      <c r="F29" s="59" t="s">
        <v>60</v>
      </c>
      <c r="G29" s="19" t="n">
        <v>1</v>
      </c>
      <c r="H29" s="19" t="n">
        <v>1</v>
      </c>
      <c r="I29" s="19" t="n">
        <v>0</v>
      </c>
      <c r="J29" s="19" t="n">
        <v>0</v>
      </c>
      <c r="K29" s="20" t="n">
        <v>24400</v>
      </c>
      <c r="L29" s="20" t="n">
        <v>24400</v>
      </c>
      <c r="M29" s="60" t="s">
        <v>61</v>
      </c>
    </row>
    <row r="30" customFormat="false" ht="12.75" hidden="false" customHeight="true" outlineLevel="0" collapsed="false">
      <c r="B30" s="58" t="s">
        <v>84</v>
      </c>
      <c r="C30" s="18" t="s">
        <v>96</v>
      </c>
      <c r="D30" s="18" t="s">
        <v>91</v>
      </c>
      <c r="E30" s="58" t="s">
        <v>9</v>
      </c>
      <c r="F30" s="59" t="s">
        <v>60</v>
      </c>
      <c r="G30" s="19" t="n">
        <v>1</v>
      </c>
      <c r="H30" s="19" t="n">
        <v>1</v>
      </c>
      <c r="I30" s="19" t="n">
        <v>0</v>
      </c>
      <c r="J30" s="19" t="n">
        <v>0</v>
      </c>
      <c r="K30" s="20" t="n">
        <v>24400</v>
      </c>
      <c r="L30" s="20" t="n">
        <v>24400</v>
      </c>
      <c r="M30" s="60" t="s">
        <v>61</v>
      </c>
    </row>
    <row r="31" customFormat="false" ht="12.75" hidden="false" customHeight="true" outlineLevel="0" collapsed="false">
      <c r="B31" s="58" t="s">
        <v>84</v>
      </c>
      <c r="C31" s="18" t="s">
        <v>97</v>
      </c>
      <c r="D31" s="18" t="s">
        <v>98</v>
      </c>
      <c r="E31" s="58" t="s">
        <v>9</v>
      </c>
      <c r="F31" s="59" t="s">
        <v>60</v>
      </c>
      <c r="G31" s="19" t="n">
        <v>1</v>
      </c>
      <c r="H31" s="19" t="n">
        <v>1</v>
      </c>
      <c r="I31" s="19" t="n">
        <v>0</v>
      </c>
      <c r="J31" s="19" t="n">
        <v>0</v>
      </c>
      <c r="K31" s="20" t="n">
        <v>22500</v>
      </c>
      <c r="L31" s="20" t="n">
        <v>22500</v>
      </c>
      <c r="M31" s="60" t="s">
        <v>61</v>
      </c>
    </row>
    <row r="32" customFormat="false" ht="12.75" hidden="false" customHeight="true" outlineLevel="0" collapsed="false">
      <c r="B32" s="58" t="s">
        <v>84</v>
      </c>
      <c r="C32" s="18" t="s">
        <v>99</v>
      </c>
      <c r="D32" s="18" t="s">
        <v>91</v>
      </c>
      <c r="E32" s="58" t="s">
        <v>9</v>
      </c>
      <c r="F32" s="59" t="s">
        <v>60</v>
      </c>
      <c r="G32" s="19" t="n">
        <v>1</v>
      </c>
      <c r="H32" s="19" t="n">
        <v>1</v>
      </c>
      <c r="I32" s="19" t="n">
        <v>0</v>
      </c>
      <c r="J32" s="19" t="n">
        <v>0</v>
      </c>
      <c r="K32" s="20" t="n">
        <v>20000</v>
      </c>
      <c r="L32" s="20" t="n">
        <v>20000</v>
      </c>
      <c r="M32" s="60" t="s">
        <v>61</v>
      </c>
    </row>
    <row r="33" customFormat="false" ht="12.75" hidden="false" customHeight="true" outlineLevel="0" collapsed="false">
      <c r="B33" s="58" t="s">
        <v>84</v>
      </c>
      <c r="C33" s="18" t="s">
        <v>100</v>
      </c>
      <c r="D33" s="18" t="s">
        <v>91</v>
      </c>
      <c r="E33" s="58" t="s">
        <v>9</v>
      </c>
      <c r="F33" s="59" t="s">
        <v>60</v>
      </c>
      <c r="G33" s="19" t="n">
        <v>1</v>
      </c>
      <c r="H33" s="19" t="n">
        <v>1</v>
      </c>
      <c r="I33" s="19" t="n">
        <v>0</v>
      </c>
      <c r="J33" s="19" t="n">
        <v>0</v>
      </c>
      <c r="K33" s="20" t="n">
        <v>20000</v>
      </c>
      <c r="L33" s="20" t="n">
        <v>20000</v>
      </c>
      <c r="M33" s="60" t="s">
        <v>61</v>
      </c>
    </row>
    <row r="34" customFormat="false" ht="12.75" hidden="false" customHeight="true" outlineLevel="0" collapsed="false">
      <c r="B34" s="58" t="s">
        <v>84</v>
      </c>
      <c r="C34" s="18" t="s">
        <v>101</v>
      </c>
      <c r="D34" s="18" t="s">
        <v>91</v>
      </c>
      <c r="E34" s="58" t="s">
        <v>9</v>
      </c>
      <c r="F34" s="59" t="s">
        <v>60</v>
      </c>
      <c r="G34" s="19" t="n">
        <v>0</v>
      </c>
      <c r="H34" s="19" t="n">
        <v>1</v>
      </c>
      <c r="I34" s="19" t="n">
        <v>0</v>
      </c>
      <c r="J34" s="19" t="n">
        <v>1</v>
      </c>
      <c r="K34" s="20" t="n">
        <v>31500</v>
      </c>
      <c r="L34" s="19"/>
      <c r="M34" s="60" t="s">
        <v>61</v>
      </c>
    </row>
    <row r="35" customFormat="false" ht="12.75" hidden="false" customHeight="true" outlineLevel="0" collapsed="false">
      <c r="B35" s="58" t="s">
        <v>84</v>
      </c>
      <c r="C35" s="18" t="s">
        <v>102</v>
      </c>
      <c r="D35" s="18" t="s">
        <v>103</v>
      </c>
      <c r="E35" s="58" t="s">
        <v>9</v>
      </c>
      <c r="F35" s="59" t="s">
        <v>87</v>
      </c>
      <c r="G35" s="19" t="n">
        <v>1</v>
      </c>
      <c r="H35" s="19" t="n">
        <v>1</v>
      </c>
      <c r="I35" s="19" t="n">
        <v>0</v>
      </c>
      <c r="J35" s="19" t="n">
        <v>0</v>
      </c>
      <c r="K35" s="19"/>
      <c r="L35" s="65" t="s">
        <v>104</v>
      </c>
      <c r="M35" s="60" t="s">
        <v>61</v>
      </c>
    </row>
    <row r="36" customFormat="false" ht="12.75" hidden="false" customHeight="true" outlineLevel="0" collapsed="false">
      <c r="B36" s="61"/>
      <c r="C36" s="62" t="s">
        <v>105</v>
      </c>
      <c r="D36" s="62"/>
      <c r="E36" s="62"/>
      <c r="F36" s="62"/>
      <c r="G36" s="63" t="n">
        <v>12</v>
      </c>
      <c r="H36" s="61"/>
      <c r="I36" s="61"/>
      <c r="J36" s="61"/>
      <c r="K36" s="61"/>
      <c r="L36" s="63" t="n">
        <v>308080</v>
      </c>
      <c r="M36" s="61"/>
    </row>
    <row r="37" customFormat="false" ht="12.75" hidden="false" customHeight="true" outlineLevel="0" collapsed="false">
      <c r="B37" s="58" t="s">
        <v>106</v>
      </c>
      <c r="C37" s="18" t="s">
        <v>107</v>
      </c>
      <c r="D37" s="18" t="s">
        <v>63</v>
      </c>
      <c r="E37" s="58" t="s">
        <v>9</v>
      </c>
      <c r="F37" s="59" t="s">
        <v>64</v>
      </c>
      <c r="G37" s="19" t="n">
        <v>5</v>
      </c>
      <c r="H37" s="19" t="n">
        <v>5</v>
      </c>
      <c r="I37" s="19" t="n">
        <v>0</v>
      </c>
      <c r="J37" s="19" t="n">
        <v>0</v>
      </c>
      <c r="K37" s="20" t="n">
        <v>494</v>
      </c>
      <c r="L37" s="20" t="n">
        <v>2470</v>
      </c>
      <c r="M37" s="60" t="s">
        <v>61</v>
      </c>
    </row>
    <row r="38" customFormat="false" ht="12.75" hidden="false" customHeight="true" outlineLevel="0" collapsed="false">
      <c r="B38" s="58" t="s">
        <v>106</v>
      </c>
      <c r="C38" s="18" t="s">
        <v>108</v>
      </c>
      <c r="D38" s="18" t="s">
        <v>63</v>
      </c>
      <c r="E38" s="58" t="s">
        <v>9</v>
      </c>
      <c r="F38" s="59" t="s">
        <v>64</v>
      </c>
      <c r="G38" s="19" t="n">
        <v>1</v>
      </c>
      <c r="H38" s="19" t="n">
        <v>1</v>
      </c>
      <c r="I38" s="19" t="n">
        <v>0</v>
      </c>
      <c r="J38" s="19" t="n">
        <v>0</v>
      </c>
      <c r="K38" s="20" t="n">
        <v>494</v>
      </c>
      <c r="L38" s="20" t="n">
        <v>494</v>
      </c>
      <c r="M38" s="60" t="s">
        <v>61</v>
      </c>
    </row>
    <row r="39" customFormat="false" ht="12.75" hidden="false" customHeight="true" outlineLevel="0" collapsed="false">
      <c r="B39" s="61"/>
      <c r="C39" s="62" t="s">
        <v>109</v>
      </c>
      <c r="D39" s="62"/>
      <c r="E39" s="62"/>
      <c r="F39" s="62"/>
      <c r="G39" s="63" t="n">
        <v>6</v>
      </c>
      <c r="H39" s="61"/>
      <c r="I39" s="61"/>
      <c r="J39" s="61"/>
      <c r="K39" s="61"/>
      <c r="L39" s="63" t="n">
        <v>2964</v>
      </c>
      <c r="M39" s="61"/>
    </row>
    <row r="40" customFormat="false" ht="12.75" hidden="false" customHeight="true" outlineLevel="0" collapsed="false">
      <c r="B40" s="58" t="s">
        <v>110</v>
      </c>
      <c r="C40" s="18" t="s">
        <v>111</v>
      </c>
      <c r="D40" s="18" t="s">
        <v>112</v>
      </c>
      <c r="E40" s="58" t="s">
        <v>9</v>
      </c>
      <c r="F40" s="59" t="s">
        <v>60</v>
      </c>
      <c r="G40" s="19" t="n">
        <v>15</v>
      </c>
      <c r="H40" s="19" t="n">
        <v>16</v>
      </c>
      <c r="I40" s="19" t="n">
        <v>0</v>
      </c>
      <c r="J40" s="19" t="n">
        <v>1</v>
      </c>
      <c r="K40" s="20" t="n">
        <v>2800</v>
      </c>
      <c r="L40" s="20" t="n">
        <v>42000</v>
      </c>
      <c r="M40" s="60" t="s">
        <v>61</v>
      </c>
    </row>
    <row r="41" customFormat="false" ht="12.75" hidden="false" customHeight="true" outlineLevel="0" collapsed="false">
      <c r="B41" s="58" t="s">
        <v>110</v>
      </c>
      <c r="C41" s="18" t="s">
        <v>113</v>
      </c>
      <c r="D41" s="18" t="s">
        <v>112</v>
      </c>
      <c r="E41" s="58" t="s">
        <v>9</v>
      </c>
      <c r="F41" s="59" t="s">
        <v>60</v>
      </c>
      <c r="G41" s="19" t="n">
        <v>11</v>
      </c>
      <c r="H41" s="19" t="n">
        <v>11</v>
      </c>
      <c r="I41" s="19" t="n">
        <v>0</v>
      </c>
      <c r="J41" s="19" t="n">
        <v>0</v>
      </c>
      <c r="K41" s="20" t="n">
        <v>2800</v>
      </c>
      <c r="L41" s="20" t="n">
        <v>30800</v>
      </c>
      <c r="M41" s="60" t="s">
        <v>61</v>
      </c>
    </row>
    <row r="42" customFormat="false" ht="12.75" hidden="false" customHeight="true" outlineLevel="0" collapsed="false">
      <c r="B42" s="58" t="s">
        <v>110</v>
      </c>
      <c r="C42" s="18" t="s">
        <v>114</v>
      </c>
      <c r="D42" s="18" t="s">
        <v>112</v>
      </c>
      <c r="E42" s="58" t="s">
        <v>9</v>
      </c>
      <c r="F42" s="59" t="s">
        <v>60</v>
      </c>
      <c r="G42" s="19" t="n">
        <v>9</v>
      </c>
      <c r="H42" s="19" t="n">
        <v>9</v>
      </c>
      <c r="I42" s="19" t="n">
        <v>1</v>
      </c>
      <c r="J42" s="19" t="n">
        <v>1</v>
      </c>
      <c r="K42" s="20" t="n">
        <v>2800</v>
      </c>
      <c r="L42" s="20" t="n">
        <v>25200</v>
      </c>
      <c r="M42" s="60" t="s">
        <v>61</v>
      </c>
    </row>
    <row r="43" customFormat="false" ht="12.75" hidden="false" customHeight="true" outlineLevel="0" collapsed="false">
      <c r="B43" s="58" t="s">
        <v>110</v>
      </c>
      <c r="C43" s="18" t="s">
        <v>115</v>
      </c>
      <c r="D43" s="18" t="s">
        <v>116</v>
      </c>
      <c r="E43" s="58" t="s">
        <v>9</v>
      </c>
      <c r="F43" s="59" t="s">
        <v>60</v>
      </c>
      <c r="G43" s="19" t="n">
        <v>3</v>
      </c>
      <c r="H43" s="19" t="n">
        <v>3</v>
      </c>
      <c r="I43" s="19" t="n">
        <v>0</v>
      </c>
      <c r="J43" s="19" t="n">
        <v>0</v>
      </c>
      <c r="K43" s="20" t="n">
        <v>7520</v>
      </c>
      <c r="L43" s="20" t="n">
        <v>22560</v>
      </c>
      <c r="M43" s="60" t="s">
        <v>61</v>
      </c>
    </row>
    <row r="44" customFormat="false" ht="12.75" hidden="false" customHeight="true" outlineLevel="0" collapsed="false">
      <c r="B44" s="58" t="s">
        <v>110</v>
      </c>
      <c r="C44" s="18" t="s">
        <v>117</v>
      </c>
      <c r="D44" s="18" t="s">
        <v>112</v>
      </c>
      <c r="E44" s="58" t="s">
        <v>9</v>
      </c>
      <c r="F44" s="59" t="s">
        <v>60</v>
      </c>
      <c r="G44" s="19" t="n">
        <v>8</v>
      </c>
      <c r="H44" s="19" t="n">
        <v>9</v>
      </c>
      <c r="I44" s="19" t="n">
        <v>0</v>
      </c>
      <c r="J44" s="19" t="n">
        <v>1</v>
      </c>
      <c r="K44" s="20" t="n">
        <v>2800</v>
      </c>
      <c r="L44" s="20" t="n">
        <v>22400</v>
      </c>
      <c r="M44" s="60" t="s">
        <v>61</v>
      </c>
    </row>
    <row r="45" customFormat="false" ht="12.75" hidden="false" customHeight="true" outlineLevel="0" collapsed="false">
      <c r="B45" s="58" t="s">
        <v>110</v>
      </c>
      <c r="C45" s="18" t="s">
        <v>118</v>
      </c>
      <c r="D45" s="18" t="s">
        <v>112</v>
      </c>
      <c r="E45" s="58" t="s">
        <v>9</v>
      </c>
      <c r="F45" s="59" t="s">
        <v>60</v>
      </c>
      <c r="G45" s="19" t="n">
        <v>7</v>
      </c>
      <c r="H45" s="19" t="n">
        <v>8</v>
      </c>
      <c r="I45" s="19" t="n">
        <v>0</v>
      </c>
      <c r="J45" s="19" t="n">
        <v>1</v>
      </c>
      <c r="K45" s="20" t="n">
        <v>2800</v>
      </c>
      <c r="L45" s="20" t="n">
        <v>19600</v>
      </c>
      <c r="M45" s="60" t="s">
        <v>61</v>
      </c>
    </row>
    <row r="46" customFormat="false" ht="12.75" hidden="false" customHeight="true" outlineLevel="0" collapsed="false">
      <c r="B46" s="58" t="s">
        <v>110</v>
      </c>
      <c r="C46" s="18" t="s">
        <v>119</v>
      </c>
      <c r="D46" s="18" t="s">
        <v>116</v>
      </c>
      <c r="E46" s="58" t="s">
        <v>9</v>
      </c>
      <c r="F46" s="59" t="s">
        <v>60</v>
      </c>
      <c r="G46" s="19" t="n">
        <v>1</v>
      </c>
      <c r="H46" s="19" t="n">
        <v>1</v>
      </c>
      <c r="I46" s="19" t="n">
        <v>0</v>
      </c>
      <c r="J46" s="19" t="n">
        <v>0</v>
      </c>
      <c r="K46" s="20" t="n">
        <v>7520</v>
      </c>
      <c r="L46" s="20" t="n">
        <v>7520</v>
      </c>
      <c r="M46" s="60" t="s">
        <v>61</v>
      </c>
    </row>
    <row r="47" customFormat="false" ht="12.75" hidden="false" customHeight="true" outlineLevel="0" collapsed="false">
      <c r="B47" s="58" t="s">
        <v>110</v>
      </c>
      <c r="C47" s="18" t="s">
        <v>120</v>
      </c>
      <c r="D47" s="18" t="s">
        <v>112</v>
      </c>
      <c r="E47" s="58" t="s">
        <v>9</v>
      </c>
      <c r="F47" s="59" t="s">
        <v>60</v>
      </c>
      <c r="G47" s="19" t="n">
        <v>1</v>
      </c>
      <c r="H47" s="19" t="n">
        <v>1</v>
      </c>
      <c r="I47" s="19" t="n">
        <v>0</v>
      </c>
      <c r="J47" s="19" t="n">
        <v>0</v>
      </c>
      <c r="K47" s="20" t="n">
        <v>2800</v>
      </c>
      <c r="L47" s="20" t="n">
        <v>2800</v>
      </c>
      <c r="M47" s="60" t="s">
        <v>61</v>
      </c>
    </row>
    <row r="48" customFormat="false" ht="12.75" hidden="false" customHeight="true" outlineLevel="0" collapsed="false">
      <c r="B48" s="58" t="s">
        <v>110</v>
      </c>
      <c r="C48" s="18" t="s">
        <v>121</v>
      </c>
      <c r="D48" s="18" t="s">
        <v>112</v>
      </c>
      <c r="E48" s="58" t="s">
        <v>9</v>
      </c>
      <c r="F48" s="59" t="s">
        <v>60</v>
      </c>
      <c r="G48" s="19" t="n">
        <v>1</v>
      </c>
      <c r="H48" s="19" t="n">
        <v>2</v>
      </c>
      <c r="I48" s="19" t="n">
        <v>0</v>
      </c>
      <c r="J48" s="19" t="n">
        <v>1</v>
      </c>
      <c r="K48" s="20" t="n">
        <v>2800</v>
      </c>
      <c r="L48" s="20" t="n">
        <v>2800</v>
      </c>
      <c r="M48" s="60" t="s">
        <v>61</v>
      </c>
    </row>
    <row r="49" customFormat="false" ht="12.75" hidden="false" customHeight="true" outlineLevel="0" collapsed="false">
      <c r="B49" s="58" t="s">
        <v>110</v>
      </c>
      <c r="C49" s="18" t="s">
        <v>122</v>
      </c>
      <c r="D49" s="18" t="s">
        <v>123</v>
      </c>
      <c r="E49" s="58" t="s">
        <v>9</v>
      </c>
      <c r="F49" s="59" t="s">
        <v>60</v>
      </c>
      <c r="G49" s="19" t="n">
        <v>1</v>
      </c>
      <c r="H49" s="19" t="n">
        <v>1</v>
      </c>
      <c r="I49" s="19" t="n">
        <v>0</v>
      </c>
      <c r="J49" s="19" t="n">
        <v>0</v>
      </c>
      <c r="K49" s="20" t="n">
        <v>600</v>
      </c>
      <c r="L49" s="20" t="n">
        <v>600</v>
      </c>
      <c r="M49" s="60" t="s">
        <v>61</v>
      </c>
    </row>
    <row r="50" customFormat="false" ht="12.75" hidden="false" customHeight="true" outlineLevel="0" collapsed="false">
      <c r="B50" s="58" t="s">
        <v>110</v>
      </c>
      <c r="C50" s="18" t="s">
        <v>124</v>
      </c>
      <c r="D50" s="18" t="s">
        <v>125</v>
      </c>
      <c r="E50" s="58" t="s">
        <v>9</v>
      </c>
      <c r="F50" s="59" t="s">
        <v>60</v>
      </c>
      <c r="G50" s="19" t="n">
        <v>1</v>
      </c>
      <c r="H50" s="19" t="n">
        <v>1</v>
      </c>
      <c r="I50" s="19" t="n">
        <v>0</v>
      </c>
      <c r="J50" s="19" t="n">
        <v>0</v>
      </c>
      <c r="K50" s="20" t="n">
        <v>600</v>
      </c>
      <c r="L50" s="20" t="n">
        <v>600</v>
      </c>
      <c r="M50" s="60" t="s">
        <v>61</v>
      </c>
    </row>
    <row r="51" customFormat="false" ht="12.75" hidden="false" customHeight="true" outlineLevel="0" collapsed="false">
      <c r="B51" s="61"/>
      <c r="C51" s="62" t="s">
        <v>126</v>
      </c>
      <c r="D51" s="62"/>
      <c r="E51" s="62"/>
      <c r="F51" s="62"/>
      <c r="G51" s="63" t="n">
        <v>58</v>
      </c>
      <c r="H51" s="61"/>
      <c r="I51" s="61"/>
      <c r="J51" s="61"/>
      <c r="K51" s="61"/>
      <c r="L51" s="63" t="n">
        <v>176880</v>
      </c>
      <c r="M51" s="61"/>
    </row>
    <row r="52" customFormat="false" ht="12.75" hidden="false" customHeight="true" outlineLevel="0" collapsed="false">
      <c r="B52" s="58" t="s">
        <v>127</v>
      </c>
      <c r="C52" s="18" t="s">
        <v>128</v>
      </c>
      <c r="D52" s="18" t="s">
        <v>91</v>
      </c>
      <c r="E52" s="58" t="s">
        <v>9</v>
      </c>
      <c r="F52" s="59" t="s">
        <v>60</v>
      </c>
      <c r="G52" s="19" t="n">
        <v>2</v>
      </c>
      <c r="H52" s="19" t="n">
        <v>2</v>
      </c>
      <c r="I52" s="19" t="n">
        <v>0</v>
      </c>
      <c r="J52" s="19" t="n">
        <v>0</v>
      </c>
      <c r="K52" s="20" t="n">
        <v>24400</v>
      </c>
      <c r="L52" s="20" t="n">
        <v>48800</v>
      </c>
      <c r="M52" s="60" t="s">
        <v>61</v>
      </c>
    </row>
    <row r="53" customFormat="false" ht="12.75" hidden="false" customHeight="true" outlineLevel="0" collapsed="false">
      <c r="B53" s="58" t="s">
        <v>127</v>
      </c>
      <c r="C53" s="18" t="s">
        <v>129</v>
      </c>
      <c r="D53" s="18" t="s">
        <v>91</v>
      </c>
      <c r="E53" s="58" t="s">
        <v>9</v>
      </c>
      <c r="F53" s="59" t="s">
        <v>60</v>
      </c>
      <c r="G53" s="19" t="n">
        <v>2</v>
      </c>
      <c r="H53" s="19" t="n">
        <v>2</v>
      </c>
      <c r="I53" s="19" t="n">
        <v>0</v>
      </c>
      <c r="J53" s="19" t="n">
        <v>0</v>
      </c>
      <c r="K53" s="20" t="n">
        <v>24400</v>
      </c>
      <c r="L53" s="20" t="n">
        <v>48800</v>
      </c>
      <c r="M53" s="60" t="s">
        <v>61</v>
      </c>
    </row>
    <row r="54" customFormat="false" ht="12.75" hidden="false" customHeight="true" outlineLevel="0" collapsed="false">
      <c r="B54" s="58" t="s">
        <v>127</v>
      </c>
      <c r="C54" s="18" t="s">
        <v>130</v>
      </c>
      <c r="D54" s="18" t="s">
        <v>91</v>
      </c>
      <c r="E54" s="58" t="s">
        <v>9</v>
      </c>
      <c r="F54" s="59" t="s">
        <v>60</v>
      </c>
      <c r="G54" s="19" t="n">
        <v>2</v>
      </c>
      <c r="H54" s="19" t="n">
        <v>2</v>
      </c>
      <c r="I54" s="19" t="n">
        <v>0</v>
      </c>
      <c r="J54" s="19" t="n">
        <v>0</v>
      </c>
      <c r="K54" s="20" t="n">
        <v>24400</v>
      </c>
      <c r="L54" s="20" t="n">
        <v>48800</v>
      </c>
      <c r="M54" s="60" t="s">
        <v>61</v>
      </c>
    </row>
    <row r="55" customFormat="false" ht="12.75" hidden="false" customHeight="true" outlineLevel="0" collapsed="false">
      <c r="B55" s="58" t="s">
        <v>127</v>
      </c>
      <c r="C55" s="18" t="s">
        <v>131</v>
      </c>
      <c r="D55" s="18" t="s">
        <v>86</v>
      </c>
      <c r="E55" s="58" t="s">
        <v>9</v>
      </c>
      <c r="F55" s="59" t="s">
        <v>60</v>
      </c>
      <c r="G55" s="19" t="n">
        <v>1</v>
      </c>
      <c r="H55" s="19" t="n">
        <v>1</v>
      </c>
      <c r="I55" s="19" t="n">
        <v>0</v>
      </c>
      <c r="J55" s="19" t="n">
        <v>0</v>
      </c>
      <c r="K55" s="20" t="n">
        <v>38000</v>
      </c>
      <c r="L55" s="20" t="n">
        <v>38000</v>
      </c>
      <c r="M55" s="60" t="s">
        <v>61</v>
      </c>
    </row>
    <row r="56" customFormat="false" ht="12.75" hidden="false" customHeight="true" outlineLevel="0" collapsed="false">
      <c r="B56" s="58" t="s">
        <v>127</v>
      </c>
      <c r="C56" s="18" t="s">
        <v>132</v>
      </c>
      <c r="D56" s="18" t="s">
        <v>133</v>
      </c>
      <c r="E56" s="58" t="s">
        <v>9</v>
      </c>
      <c r="F56" s="59" t="s">
        <v>60</v>
      </c>
      <c r="G56" s="19" t="n">
        <v>1</v>
      </c>
      <c r="H56" s="19" t="n">
        <v>1</v>
      </c>
      <c r="I56" s="19" t="n">
        <v>0</v>
      </c>
      <c r="J56" s="19" t="n">
        <v>0</v>
      </c>
      <c r="K56" s="20" t="n">
        <v>32760</v>
      </c>
      <c r="L56" s="20" t="n">
        <v>32760</v>
      </c>
      <c r="M56" s="60" t="s">
        <v>61</v>
      </c>
    </row>
    <row r="57" customFormat="false" ht="12.75" hidden="false" customHeight="true" outlineLevel="0" collapsed="false">
      <c r="B57" s="58" t="s">
        <v>127</v>
      </c>
      <c r="C57" s="18" t="s">
        <v>134</v>
      </c>
      <c r="D57" s="18" t="s">
        <v>135</v>
      </c>
      <c r="E57" s="58" t="s">
        <v>9</v>
      </c>
      <c r="F57" s="59" t="s">
        <v>64</v>
      </c>
      <c r="G57" s="19" t="n">
        <v>1</v>
      </c>
      <c r="H57" s="19" t="n">
        <v>1</v>
      </c>
      <c r="I57" s="19" t="n">
        <v>0</v>
      </c>
      <c r="J57" s="19" t="n">
        <v>0</v>
      </c>
      <c r="K57" s="20" t="n">
        <v>31550</v>
      </c>
      <c r="L57" s="20" t="n">
        <v>31550</v>
      </c>
      <c r="M57" s="60" t="s">
        <v>61</v>
      </c>
    </row>
    <row r="58" customFormat="false" ht="12.75" hidden="false" customHeight="true" outlineLevel="0" collapsed="false">
      <c r="B58" s="58" t="s">
        <v>127</v>
      </c>
      <c r="C58" s="18" t="s">
        <v>136</v>
      </c>
      <c r="D58" s="18" t="s">
        <v>137</v>
      </c>
      <c r="E58" s="58" t="s">
        <v>9</v>
      </c>
      <c r="F58" s="59" t="s">
        <v>60</v>
      </c>
      <c r="G58" s="19" t="n">
        <v>2</v>
      </c>
      <c r="H58" s="19" t="n">
        <v>2</v>
      </c>
      <c r="I58" s="19" t="n">
        <v>0</v>
      </c>
      <c r="J58" s="19" t="n">
        <v>0</v>
      </c>
      <c r="K58" s="20" t="n">
        <v>15000</v>
      </c>
      <c r="L58" s="20" t="n">
        <v>30000</v>
      </c>
      <c r="M58" s="60" t="s">
        <v>61</v>
      </c>
    </row>
    <row r="59" customFormat="false" ht="12.75" hidden="false" customHeight="true" outlineLevel="0" collapsed="false">
      <c r="B59" s="58" t="s">
        <v>127</v>
      </c>
      <c r="C59" s="18" t="s">
        <v>138</v>
      </c>
      <c r="D59" s="18" t="s">
        <v>133</v>
      </c>
      <c r="E59" s="58" t="s">
        <v>9</v>
      </c>
      <c r="F59" s="59" t="s">
        <v>60</v>
      </c>
      <c r="G59" s="19" t="n">
        <v>1</v>
      </c>
      <c r="H59" s="19" t="n">
        <v>1</v>
      </c>
      <c r="I59" s="19" t="n">
        <v>0</v>
      </c>
      <c r="J59" s="19" t="n">
        <v>0</v>
      </c>
      <c r="K59" s="20" t="n">
        <v>25220</v>
      </c>
      <c r="L59" s="20" t="n">
        <v>25220</v>
      </c>
      <c r="M59" s="60" t="s">
        <v>61</v>
      </c>
    </row>
    <row r="60" customFormat="false" ht="12.75" hidden="false" customHeight="true" outlineLevel="0" collapsed="false">
      <c r="B60" s="58" t="s">
        <v>127</v>
      </c>
      <c r="C60" s="18" t="s">
        <v>139</v>
      </c>
      <c r="D60" s="18" t="s">
        <v>91</v>
      </c>
      <c r="E60" s="58" t="s">
        <v>9</v>
      </c>
      <c r="F60" s="59" t="s">
        <v>60</v>
      </c>
      <c r="G60" s="19" t="n">
        <v>1</v>
      </c>
      <c r="H60" s="19" t="n">
        <v>1</v>
      </c>
      <c r="I60" s="19" t="n">
        <v>0</v>
      </c>
      <c r="J60" s="19" t="n">
        <v>0</v>
      </c>
      <c r="K60" s="20" t="n">
        <v>24400</v>
      </c>
      <c r="L60" s="20" t="n">
        <v>24400</v>
      </c>
      <c r="M60" s="60" t="s">
        <v>61</v>
      </c>
    </row>
    <row r="61" customFormat="false" ht="12.75" hidden="false" customHeight="true" outlineLevel="0" collapsed="false">
      <c r="B61" s="58" t="s">
        <v>127</v>
      </c>
      <c r="C61" s="18" t="s">
        <v>140</v>
      </c>
      <c r="D61" s="18" t="s">
        <v>91</v>
      </c>
      <c r="E61" s="58" t="s">
        <v>9</v>
      </c>
      <c r="F61" s="59" t="s">
        <v>60</v>
      </c>
      <c r="G61" s="19" t="n">
        <v>1</v>
      </c>
      <c r="H61" s="19" t="n">
        <v>1</v>
      </c>
      <c r="I61" s="19" t="n">
        <v>0</v>
      </c>
      <c r="J61" s="19" t="n">
        <v>0</v>
      </c>
      <c r="K61" s="20" t="n">
        <v>24400</v>
      </c>
      <c r="L61" s="20" t="n">
        <v>24400</v>
      </c>
      <c r="M61" s="60" t="s">
        <v>61</v>
      </c>
    </row>
    <row r="62" customFormat="false" ht="12.75" hidden="false" customHeight="true" outlineLevel="0" collapsed="false">
      <c r="B62" s="58" t="s">
        <v>127</v>
      </c>
      <c r="C62" s="18" t="s">
        <v>141</v>
      </c>
      <c r="D62" s="18" t="s">
        <v>91</v>
      </c>
      <c r="E62" s="58" t="s">
        <v>9</v>
      </c>
      <c r="F62" s="59" t="s">
        <v>60</v>
      </c>
      <c r="G62" s="19" t="n">
        <v>1</v>
      </c>
      <c r="H62" s="19" t="n">
        <v>1</v>
      </c>
      <c r="I62" s="19" t="n">
        <v>0</v>
      </c>
      <c r="J62" s="19" t="n">
        <v>0</v>
      </c>
      <c r="K62" s="20" t="n">
        <v>24400</v>
      </c>
      <c r="L62" s="20" t="n">
        <v>24400</v>
      </c>
      <c r="M62" s="60" t="s">
        <v>61</v>
      </c>
    </row>
    <row r="63" customFormat="false" ht="12.75" hidden="false" customHeight="true" outlineLevel="0" collapsed="false">
      <c r="B63" s="58" t="s">
        <v>127</v>
      </c>
      <c r="C63" s="18" t="s">
        <v>142</v>
      </c>
      <c r="D63" s="18" t="s">
        <v>91</v>
      </c>
      <c r="E63" s="58" t="s">
        <v>9</v>
      </c>
      <c r="F63" s="59" t="s">
        <v>60</v>
      </c>
      <c r="G63" s="19" t="n">
        <v>1</v>
      </c>
      <c r="H63" s="19" t="n">
        <v>1</v>
      </c>
      <c r="I63" s="19" t="n">
        <v>0</v>
      </c>
      <c r="J63" s="19" t="n">
        <v>0</v>
      </c>
      <c r="K63" s="20" t="n">
        <v>24400</v>
      </c>
      <c r="L63" s="20" t="n">
        <v>24400</v>
      </c>
      <c r="M63" s="60" t="s">
        <v>61</v>
      </c>
    </row>
    <row r="64" customFormat="false" ht="12.75" hidden="false" customHeight="true" outlineLevel="0" collapsed="false">
      <c r="B64" s="58" t="s">
        <v>127</v>
      </c>
      <c r="C64" s="18" t="s">
        <v>143</v>
      </c>
      <c r="D64" s="18" t="s">
        <v>91</v>
      </c>
      <c r="E64" s="58" t="s">
        <v>9</v>
      </c>
      <c r="F64" s="59" t="s">
        <v>60</v>
      </c>
      <c r="G64" s="19" t="n">
        <v>1</v>
      </c>
      <c r="H64" s="19" t="n">
        <v>1</v>
      </c>
      <c r="I64" s="19" t="n">
        <v>0</v>
      </c>
      <c r="J64" s="19" t="n">
        <v>0</v>
      </c>
      <c r="K64" s="20" t="n">
        <v>24400</v>
      </c>
      <c r="L64" s="20" t="n">
        <v>24400</v>
      </c>
      <c r="M64" s="60" t="s">
        <v>61</v>
      </c>
    </row>
    <row r="65" customFormat="false" ht="12.75" hidden="false" customHeight="true" outlineLevel="0" collapsed="false">
      <c r="B65" s="58" t="s">
        <v>127</v>
      </c>
      <c r="C65" s="18" t="s">
        <v>144</v>
      </c>
      <c r="D65" s="18" t="s">
        <v>91</v>
      </c>
      <c r="E65" s="58" t="s">
        <v>9</v>
      </c>
      <c r="F65" s="59" t="s">
        <v>60</v>
      </c>
      <c r="G65" s="19" t="n">
        <v>1</v>
      </c>
      <c r="H65" s="19" t="n">
        <v>1</v>
      </c>
      <c r="I65" s="19" t="n">
        <v>0</v>
      </c>
      <c r="J65" s="19" t="n">
        <v>0</v>
      </c>
      <c r="K65" s="20" t="n">
        <v>24400</v>
      </c>
      <c r="L65" s="20" t="n">
        <v>24400</v>
      </c>
      <c r="M65" s="60" t="s">
        <v>61</v>
      </c>
    </row>
    <row r="66" customFormat="false" ht="12.75" hidden="false" customHeight="true" outlineLevel="0" collapsed="false">
      <c r="B66" s="58" t="s">
        <v>127</v>
      </c>
      <c r="C66" s="18" t="s">
        <v>145</v>
      </c>
      <c r="D66" s="18" t="s">
        <v>91</v>
      </c>
      <c r="E66" s="58" t="s">
        <v>9</v>
      </c>
      <c r="F66" s="59" t="s">
        <v>60</v>
      </c>
      <c r="G66" s="19" t="n">
        <v>1</v>
      </c>
      <c r="H66" s="19" t="n">
        <v>1</v>
      </c>
      <c r="I66" s="19" t="n">
        <v>0</v>
      </c>
      <c r="J66" s="19" t="n">
        <v>0</v>
      </c>
      <c r="K66" s="20" t="n">
        <v>24400</v>
      </c>
      <c r="L66" s="20" t="n">
        <v>24400</v>
      </c>
      <c r="M66" s="60" t="s">
        <v>61</v>
      </c>
    </row>
    <row r="67" customFormat="false" ht="12.75" hidden="false" customHeight="true" outlineLevel="0" collapsed="false">
      <c r="B67" s="58" t="s">
        <v>127</v>
      </c>
      <c r="C67" s="18" t="s">
        <v>146</v>
      </c>
      <c r="D67" s="18" t="s">
        <v>133</v>
      </c>
      <c r="E67" s="58" t="s">
        <v>9</v>
      </c>
      <c r="F67" s="59" t="s">
        <v>60</v>
      </c>
      <c r="G67" s="19" t="n">
        <v>1</v>
      </c>
      <c r="H67" s="19" t="n">
        <v>1</v>
      </c>
      <c r="I67" s="19" t="n">
        <v>0</v>
      </c>
      <c r="J67" s="19" t="n">
        <v>0</v>
      </c>
      <c r="K67" s="20" t="n">
        <v>22260</v>
      </c>
      <c r="L67" s="20" t="n">
        <v>22260</v>
      </c>
      <c r="M67" s="60" t="s">
        <v>61</v>
      </c>
    </row>
    <row r="68" customFormat="false" ht="12.75" hidden="false" customHeight="true" outlineLevel="0" collapsed="false">
      <c r="B68" s="58" t="s">
        <v>127</v>
      </c>
      <c r="C68" s="18" t="s">
        <v>147</v>
      </c>
      <c r="D68" s="18" t="s">
        <v>91</v>
      </c>
      <c r="E68" s="58" t="s">
        <v>9</v>
      </c>
      <c r="F68" s="59" t="s">
        <v>60</v>
      </c>
      <c r="G68" s="19" t="n">
        <v>1</v>
      </c>
      <c r="H68" s="19" t="n">
        <v>1</v>
      </c>
      <c r="I68" s="19" t="n">
        <v>0</v>
      </c>
      <c r="J68" s="19" t="n">
        <v>0</v>
      </c>
      <c r="K68" s="20" t="n">
        <v>21720</v>
      </c>
      <c r="L68" s="20" t="n">
        <v>21720</v>
      </c>
      <c r="M68" s="60" t="s">
        <v>61</v>
      </c>
    </row>
    <row r="69" customFormat="false" ht="12.75" hidden="false" customHeight="true" outlineLevel="0" collapsed="false">
      <c r="B69" s="58" t="s">
        <v>127</v>
      </c>
      <c r="C69" s="18" t="s">
        <v>148</v>
      </c>
      <c r="D69" s="18" t="s">
        <v>149</v>
      </c>
      <c r="E69" s="58" t="s">
        <v>9</v>
      </c>
      <c r="F69" s="59" t="s">
        <v>64</v>
      </c>
      <c r="G69" s="19" t="n">
        <v>1</v>
      </c>
      <c r="H69" s="19" t="n">
        <v>1</v>
      </c>
      <c r="I69" s="19" t="n">
        <v>0</v>
      </c>
      <c r="J69" s="19" t="n">
        <v>0</v>
      </c>
      <c r="K69" s="20" t="n">
        <v>18000</v>
      </c>
      <c r="L69" s="20" t="n">
        <v>18000</v>
      </c>
      <c r="M69" s="60" t="s">
        <v>61</v>
      </c>
    </row>
    <row r="70" customFormat="false" ht="12.75" hidden="false" customHeight="true" outlineLevel="0" collapsed="false">
      <c r="B70" s="58" t="s">
        <v>127</v>
      </c>
      <c r="C70" s="18" t="s">
        <v>150</v>
      </c>
      <c r="D70" s="18" t="s">
        <v>137</v>
      </c>
      <c r="E70" s="58" t="s">
        <v>9</v>
      </c>
      <c r="F70" s="59" t="s">
        <v>87</v>
      </c>
      <c r="G70" s="19" t="n">
        <v>1</v>
      </c>
      <c r="H70" s="19" t="n">
        <v>1</v>
      </c>
      <c r="I70" s="19" t="n">
        <v>0</v>
      </c>
      <c r="J70" s="19" t="n">
        <v>0</v>
      </c>
      <c r="K70" s="20" t="n">
        <v>15000</v>
      </c>
      <c r="L70" s="20" t="n">
        <v>15000</v>
      </c>
      <c r="M70" s="60" t="s">
        <v>61</v>
      </c>
    </row>
    <row r="71" customFormat="false" ht="12.75" hidden="false" customHeight="true" outlineLevel="0" collapsed="false">
      <c r="B71" s="58" t="s">
        <v>127</v>
      </c>
      <c r="C71" s="18" t="s">
        <v>151</v>
      </c>
      <c r="D71" s="18" t="s">
        <v>103</v>
      </c>
      <c r="E71" s="58" t="s">
        <v>9</v>
      </c>
      <c r="F71" s="59" t="s">
        <v>64</v>
      </c>
      <c r="G71" s="19" t="n">
        <v>1</v>
      </c>
      <c r="H71" s="19" t="n">
        <v>1</v>
      </c>
      <c r="I71" s="19" t="n">
        <v>0</v>
      </c>
      <c r="J71" s="19" t="n">
        <v>0</v>
      </c>
      <c r="K71" s="20" t="n">
        <v>7825</v>
      </c>
      <c r="L71" s="20" t="n">
        <v>7825</v>
      </c>
      <c r="M71" s="60" t="s">
        <v>61</v>
      </c>
    </row>
    <row r="72" customFormat="false" ht="12.75" hidden="false" customHeight="true" outlineLevel="0" collapsed="false">
      <c r="B72" s="58" t="s">
        <v>127</v>
      </c>
      <c r="C72" s="18" t="s">
        <v>152</v>
      </c>
      <c r="D72" s="18" t="s">
        <v>103</v>
      </c>
      <c r="E72" s="58" t="s">
        <v>9</v>
      </c>
      <c r="F72" s="59" t="s">
        <v>64</v>
      </c>
      <c r="G72" s="19" t="n">
        <v>1</v>
      </c>
      <c r="H72" s="19" t="n">
        <v>1</v>
      </c>
      <c r="I72" s="19" t="n">
        <v>0</v>
      </c>
      <c r="J72" s="19" t="n">
        <v>0</v>
      </c>
      <c r="K72" s="20" t="n">
        <v>7825</v>
      </c>
      <c r="L72" s="20" t="n">
        <v>7825</v>
      </c>
      <c r="M72" s="60" t="s">
        <v>61</v>
      </c>
    </row>
    <row r="73" customFormat="false" ht="12.75" hidden="false" customHeight="true" outlineLevel="0" collapsed="false">
      <c r="B73" s="61"/>
      <c r="C73" s="62" t="s">
        <v>153</v>
      </c>
      <c r="D73" s="62"/>
      <c r="E73" s="62"/>
      <c r="F73" s="62"/>
      <c r="G73" s="63" t="n">
        <v>25</v>
      </c>
      <c r="H73" s="61"/>
      <c r="I73" s="61"/>
      <c r="J73" s="61"/>
      <c r="K73" s="61"/>
      <c r="L73" s="63" t="n">
        <v>567360</v>
      </c>
      <c r="M73" s="61"/>
    </row>
    <row r="74" customFormat="false" ht="12.75" hidden="false" customHeight="true" outlineLevel="0" collapsed="false">
      <c r="B74" s="58" t="s">
        <v>154</v>
      </c>
      <c r="C74" s="18" t="s">
        <v>155</v>
      </c>
      <c r="D74" s="18" t="s">
        <v>156</v>
      </c>
      <c r="E74" s="58" t="s">
        <v>9</v>
      </c>
      <c r="F74" s="59" t="s">
        <v>87</v>
      </c>
      <c r="G74" s="19" t="n">
        <v>17</v>
      </c>
      <c r="H74" s="19" t="n">
        <v>14</v>
      </c>
      <c r="I74" s="19" t="n">
        <v>4</v>
      </c>
      <c r="J74" s="19" t="n">
        <v>1</v>
      </c>
      <c r="K74" s="20" t="n">
        <v>14295</v>
      </c>
      <c r="L74" s="20" t="n">
        <v>243015</v>
      </c>
      <c r="M74" s="60" t="s">
        <v>61</v>
      </c>
    </row>
    <row r="75" customFormat="false" ht="12.75" hidden="false" customHeight="true" outlineLevel="0" collapsed="false">
      <c r="B75" s="58" t="s">
        <v>154</v>
      </c>
      <c r="C75" s="18" t="s">
        <v>157</v>
      </c>
      <c r="D75" s="18" t="s">
        <v>158</v>
      </c>
      <c r="E75" s="58" t="s">
        <v>9</v>
      </c>
      <c r="F75" s="59" t="s">
        <v>159</v>
      </c>
      <c r="G75" s="19" t="n">
        <v>2</v>
      </c>
      <c r="H75" s="19" t="n">
        <v>2</v>
      </c>
      <c r="I75" s="19" t="n">
        <v>0</v>
      </c>
      <c r="J75" s="19" t="n">
        <v>0</v>
      </c>
      <c r="K75" s="20" t="n">
        <v>24000</v>
      </c>
      <c r="L75" s="20" t="n">
        <v>48000</v>
      </c>
      <c r="M75" s="60" t="s">
        <v>61</v>
      </c>
    </row>
    <row r="76" customFormat="false" ht="12.75" hidden="false" customHeight="true" outlineLevel="0" collapsed="false">
      <c r="B76" s="58" t="s">
        <v>154</v>
      </c>
      <c r="C76" s="18" t="s">
        <v>160</v>
      </c>
      <c r="D76" s="18" t="s">
        <v>158</v>
      </c>
      <c r="E76" s="58" t="s">
        <v>9</v>
      </c>
      <c r="F76" s="59" t="s">
        <v>159</v>
      </c>
      <c r="G76" s="19" t="n">
        <v>1</v>
      </c>
      <c r="H76" s="19" t="n">
        <v>1</v>
      </c>
      <c r="I76" s="19" t="n">
        <v>0</v>
      </c>
      <c r="J76" s="19" t="n">
        <v>0</v>
      </c>
      <c r="K76" s="20" t="n">
        <v>22150</v>
      </c>
      <c r="L76" s="20" t="n">
        <v>22150</v>
      </c>
      <c r="M76" s="60" t="s">
        <v>61</v>
      </c>
    </row>
    <row r="77" customFormat="false" ht="12.75" hidden="false" customHeight="true" outlineLevel="0" collapsed="false">
      <c r="B77" s="58" t="s">
        <v>154</v>
      </c>
      <c r="C77" s="18" t="s">
        <v>161</v>
      </c>
      <c r="D77" s="18" t="s">
        <v>162</v>
      </c>
      <c r="E77" s="58" t="s">
        <v>9</v>
      </c>
      <c r="F77" s="59" t="s">
        <v>64</v>
      </c>
      <c r="G77" s="19" t="n">
        <v>1</v>
      </c>
      <c r="H77" s="19" t="n">
        <v>1</v>
      </c>
      <c r="I77" s="19" t="n">
        <v>0</v>
      </c>
      <c r="J77" s="19" t="n">
        <v>0</v>
      </c>
      <c r="K77" s="20" t="n">
        <v>6099</v>
      </c>
      <c r="L77" s="20" t="n">
        <v>6099</v>
      </c>
      <c r="M77" s="60" t="s">
        <v>61</v>
      </c>
    </row>
    <row r="78" customFormat="false" ht="12.75" hidden="false" customHeight="true" outlineLevel="0" collapsed="false">
      <c r="B78" s="58" t="s">
        <v>154</v>
      </c>
      <c r="C78" s="18" t="s">
        <v>163</v>
      </c>
      <c r="D78" s="18" t="s">
        <v>162</v>
      </c>
      <c r="E78" s="58" t="s">
        <v>9</v>
      </c>
      <c r="F78" s="59" t="s">
        <v>64</v>
      </c>
      <c r="G78" s="19" t="n">
        <v>1</v>
      </c>
      <c r="H78" s="19" t="n">
        <v>1</v>
      </c>
      <c r="I78" s="19" t="n">
        <v>0</v>
      </c>
      <c r="J78" s="19" t="n">
        <v>0</v>
      </c>
      <c r="K78" s="20" t="n">
        <v>4199</v>
      </c>
      <c r="L78" s="20" t="n">
        <v>4199</v>
      </c>
      <c r="M78" s="60" t="s">
        <v>61</v>
      </c>
    </row>
    <row r="79" customFormat="false" ht="12.75" hidden="false" customHeight="true" outlineLevel="0" collapsed="false">
      <c r="B79" s="61"/>
      <c r="C79" s="62" t="s">
        <v>164</v>
      </c>
      <c r="D79" s="62"/>
      <c r="E79" s="62"/>
      <c r="F79" s="62"/>
      <c r="G79" s="63" t="n">
        <v>22</v>
      </c>
      <c r="H79" s="61"/>
      <c r="I79" s="61"/>
      <c r="J79" s="61"/>
      <c r="K79" s="61"/>
      <c r="L79" s="63" t="n">
        <v>323463</v>
      </c>
      <c r="M79" s="61"/>
    </row>
    <row r="80" customFormat="false" ht="13.5" hidden="false" customHeight="true" outlineLevel="0" collapsed="false">
      <c r="B80" s="66" t="s">
        <v>165</v>
      </c>
      <c r="C80" s="66"/>
      <c r="D80" s="66"/>
      <c r="E80" s="66"/>
      <c r="F80" s="66"/>
      <c r="G80" s="67" t="n">
        <v>248</v>
      </c>
      <c r="H80" s="68"/>
      <c r="I80" s="68"/>
      <c r="J80" s="68"/>
      <c r="K80" s="68"/>
      <c r="L80" s="67" t="n">
        <v>1433909</v>
      </c>
      <c r="M80" s="68"/>
    </row>
    <row r="81" customFormat="false" ht="7.5" hidden="false" customHeight="true" outlineLevel="0" collapsed="false"/>
    <row r="82" customFormat="false" ht="15" hidden="false" customHeight="true" outlineLevel="0" collapsed="false">
      <c r="B82" s="69" t="s">
        <v>166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</row>
    <row r="83" customFormat="false" ht="12.75" hidden="false" customHeight="true" outlineLevel="0" collapsed="false">
      <c r="B83" s="13" t="s">
        <v>167</v>
      </c>
      <c r="C83" s="13" t="s">
        <v>168</v>
      </c>
      <c r="D83" s="13" t="s">
        <v>169</v>
      </c>
      <c r="E83" s="13" t="s">
        <v>11</v>
      </c>
      <c r="F83" s="70"/>
      <c r="G83" s="14" t="n">
        <v>16</v>
      </c>
      <c r="H83" s="14" t="n">
        <v>16</v>
      </c>
      <c r="I83" s="14" t="n">
        <v>0</v>
      </c>
      <c r="J83" s="14" t="n">
        <v>0</v>
      </c>
      <c r="K83" s="15" t="n">
        <v>700</v>
      </c>
      <c r="L83" s="15" t="n">
        <v>11200</v>
      </c>
      <c r="M83" s="71" t="s">
        <v>61</v>
      </c>
    </row>
    <row r="84" customFormat="false" ht="12.75" hidden="false" customHeight="true" outlineLevel="0" collapsed="false">
      <c r="B84" s="13" t="s">
        <v>167</v>
      </c>
      <c r="C84" s="13" t="s">
        <v>170</v>
      </c>
      <c r="D84" s="13" t="s">
        <v>171</v>
      </c>
      <c r="E84" s="13" t="s">
        <v>11</v>
      </c>
      <c r="F84" s="70"/>
      <c r="G84" s="14" t="n">
        <v>5</v>
      </c>
      <c r="H84" s="14" t="n">
        <v>5</v>
      </c>
      <c r="I84" s="14" t="n">
        <v>0</v>
      </c>
      <c r="J84" s="14" t="n">
        <v>0</v>
      </c>
      <c r="K84" s="15" t="n">
        <v>600</v>
      </c>
      <c r="L84" s="15" t="n">
        <v>3000</v>
      </c>
      <c r="M84" s="71" t="s">
        <v>61</v>
      </c>
    </row>
    <row r="85" customFormat="false" ht="12.75" hidden="false" customHeight="true" outlineLevel="0" collapsed="false">
      <c r="B85" s="61"/>
      <c r="C85" s="62" t="s">
        <v>172</v>
      </c>
      <c r="D85" s="62"/>
      <c r="E85" s="62"/>
      <c r="F85" s="62"/>
      <c r="G85" s="63" t="n">
        <v>21</v>
      </c>
      <c r="H85" s="61"/>
      <c r="I85" s="61"/>
      <c r="J85" s="61"/>
      <c r="K85" s="61"/>
      <c r="L85" s="63" t="n">
        <v>14200</v>
      </c>
      <c r="M85" s="61"/>
    </row>
    <row r="86" customFormat="false" ht="12.75" hidden="false" customHeight="true" outlineLevel="0" collapsed="false">
      <c r="B86" s="13" t="s">
        <v>106</v>
      </c>
      <c r="C86" s="72" t="s">
        <v>173</v>
      </c>
      <c r="D86" s="72" t="s">
        <v>174</v>
      </c>
      <c r="E86" s="13" t="s">
        <v>11</v>
      </c>
      <c r="F86" s="70"/>
      <c r="G86" s="14" t="n">
        <v>6</v>
      </c>
      <c r="H86" s="14" t="n">
        <v>6</v>
      </c>
      <c r="I86" s="14" t="n">
        <v>0</v>
      </c>
      <c r="J86" s="14" t="n">
        <v>0</v>
      </c>
      <c r="K86" s="15" t="n">
        <v>2200</v>
      </c>
      <c r="L86" s="15" t="n">
        <v>13200</v>
      </c>
      <c r="M86" s="71" t="s">
        <v>61</v>
      </c>
    </row>
    <row r="87" customFormat="false" ht="12.75" hidden="false" customHeight="true" outlineLevel="0" collapsed="false">
      <c r="B87" s="13" t="s">
        <v>106</v>
      </c>
      <c r="C87" s="72" t="s">
        <v>175</v>
      </c>
      <c r="D87" s="72" t="s">
        <v>176</v>
      </c>
      <c r="E87" s="13" t="s">
        <v>11</v>
      </c>
      <c r="F87" s="70"/>
      <c r="G87" s="14" t="n">
        <v>2</v>
      </c>
      <c r="H87" s="14" t="n">
        <v>2</v>
      </c>
      <c r="I87" s="14" t="n">
        <v>0</v>
      </c>
      <c r="J87" s="14" t="n">
        <v>0</v>
      </c>
      <c r="K87" s="15" t="n">
        <v>2086</v>
      </c>
      <c r="L87" s="15" t="n">
        <v>4172</v>
      </c>
      <c r="M87" s="71" t="s">
        <v>61</v>
      </c>
    </row>
    <row r="88" customFormat="false" ht="12.75" hidden="false" customHeight="true" outlineLevel="0" collapsed="false">
      <c r="B88" s="13" t="s">
        <v>106</v>
      </c>
      <c r="C88" s="72" t="s">
        <v>177</v>
      </c>
      <c r="D88" s="72" t="s">
        <v>178</v>
      </c>
      <c r="E88" s="13" t="s">
        <v>11</v>
      </c>
      <c r="F88" s="70"/>
      <c r="G88" s="14" t="n">
        <v>1</v>
      </c>
      <c r="H88" s="14" t="n">
        <v>1</v>
      </c>
      <c r="I88" s="14" t="n">
        <v>1</v>
      </c>
      <c r="J88" s="14" t="n">
        <v>1</v>
      </c>
      <c r="K88" s="15" t="n">
        <v>2650</v>
      </c>
      <c r="L88" s="15" t="n">
        <v>2650</v>
      </c>
      <c r="M88" s="71" t="s">
        <v>61</v>
      </c>
    </row>
    <row r="89" customFormat="false" ht="12.75" hidden="false" customHeight="true" outlineLevel="0" collapsed="false">
      <c r="B89" s="13" t="s">
        <v>106</v>
      </c>
      <c r="C89" s="72" t="s">
        <v>179</v>
      </c>
      <c r="D89" s="72" t="s">
        <v>176</v>
      </c>
      <c r="E89" s="13" t="s">
        <v>11</v>
      </c>
      <c r="F89" s="70"/>
      <c r="G89" s="14" t="n">
        <v>1</v>
      </c>
      <c r="H89" s="14" t="n">
        <v>1</v>
      </c>
      <c r="I89" s="14" t="n">
        <v>0</v>
      </c>
      <c r="J89" s="14" t="n">
        <v>0</v>
      </c>
      <c r="K89" s="15" t="n">
        <v>2086</v>
      </c>
      <c r="L89" s="15" t="n">
        <v>2086</v>
      </c>
      <c r="M89" s="71" t="s">
        <v>61</v>
      </c>
    </row>
    <row r="90" customFormat="false" ht="12.75" hidden="false" customHeight="true" outlineLevel="0" collapsed="false">
      <c r="B90" s="13" t="s">
        <v>106</v>
      </c>
      <c r="C90" s="72" t="s">
        <v>180</v>
      </c>
      <c r="D90" s="72" t="s">
        <v>176</v>
      </c>
      <c r="E90" s="13" t="s">
        <v>11</v>
      </c>
      <c r="F90" s="70"/>
      <c r="G90" s="14" t="n">
        <v>1</v>
      </c>
      <c r="H90" s="14" t="n">
        <v>1</v>
      </c>
      <c r="I90" s="14" t="n">
        <v>0</v>
      </c>
      <c r="J90" s="14" t="n">
        <v>0</v>
      </c>
      <c r="K90" s="15" t="n">
        <v>1736</v>
      </c>
      <c r="L90" s="15" t="n">
        <v>1736</v>
      </c>
      <c r="M90" s="71" t="s">
        <v>61</v>
      </c>
    </row>
    <row r="91" customFormat="false" ht="12.75" hidden="false" customHeight="true" outlineLevel="0" collapsed="false">
      <c r="B91" s="13" t="s">
        <v>106</v>
      </c>
      <c r="C91" s="72" t="s">
        <v>181</v>
      </c>
      <c r="D91" s="72" t="s">
        <v>178</v>
      </c>
      <c r="E91" s="13" t="s">
        <v>11</v>
      </c>
      <c r="F91" s="70"/>
      <c r="G91" s="14" t="n">
        <v>1</v>
      </c>
      <c r="H91" s="14" t="n">
        <v>1</v>
      </c>
      <c r="I91" s="14" t="n">
        <v>0</v>
      </c>
      <c r="J91" s="14" t="n">
        <v>0</v>
      </c>
      <c r="K91" s="15" t="n">
        <v>1580</v>
      </c>
      <c r="L91" s="15" t="n">
        <v>1580</v>
      </c>
      <c r="M91" s="71" t="s">
        <v>61</v>
      </c>
    </row>
    <row r="92" customFormat="false" ht="12.75" hidden="false" customHeight="true" outlineLevel="0" collapsed="false">
      <c r="B92" s="13" t="s">
        <v>106</v>
      </c>
      <c r="C92" s="72" t="s">
        <v>182</v>
      </c>
      <c r="D92" s="72" t="s">
        <v>178</v>
      </c>
      <c r="E92" s="13" t="s">
        <v>11</v>
      </c>
      <c r="F92" s="70"/>
      <c r="G92" s="14" t="n">
        <v>0</v>
      </c>
      <c r="H92" s="14" t="n">
        <v>1</v>
      </c>
      <c r="I92" s="14" t="n">
        <v>0</v>
      </c>
      <c r="J92" s="14" t="n">
        <v>1</v>
      </c>
      <c r="K92" s="15" t="n">
        <v>1580</v>
      </c>
      <c r="L92" s="14"/>
      <c r="M92" s="71" t="s">
        <v>61</v>
      </c>
    </row>
    <row r="93" customFormat="false" ht="12.75" hidden="false" customHeight="true" outlineLevel="0" collapsed="false">
      <c r="B93" s="61"/>
      <c r="C93" s="62" t="s">
        <v>109</v>
      </c>
      <c r="D93" s="62"/>
      <c r="E93" s="62"/>
      <c r="F93" s="62"/>
      <c r="G93" s="63" t="n">
        <v>12</v>
      </c>
      <c r="H93" s="61"/>
      <c r="I93" s="61"/>
      <c r="J93" s="61"/>
      <c r="K93" s="61"/>
      <c r="L93" s="63" t="n">
        <v>25424</v>
      </c>
      <c r="M93" s="61"/>
    </row>
    <row r="94" customFormat="false" ht="12.75" hidden="false" customHeight="true" outlineLevel="0" collapsed="false">
      <c r="B94" s="13" t="s">
        <v>183</v>
      </c>
      <c r="C94" s="72" t="s">
        <v>184</v>
      </c>
      <c r="D94" s="72" t="s">
        <v>185</v>
      </c>
      <c r="E94" s="13" t="s">
        <v>11</v>
      </c>
      <c r="F94" s="70"/>
      <c r="G94" s="14" t="n">
        <v>1</v>
      </c>
      <c r="H94" s="14" t="n">
        <v>1</v>
      </c>
      <c r="I94" s="14" t="n">
        <v>0</v>
      </c>
      <c r="J94" s="14" t="n">
        <v>0</v>
      </c>
      <c r="K94" s="15" t="n">
        <v>3000</v>
      </c>
      <c r="L94" s="15" t="n">
        <v>3000</v>
      </c>
      <c r="M94" s="71" t="s">
        <v>61</v>
      </c>
    </row>
    <row r="95" customFormat="false" ht="12.75" hidden="false" customHeight="true" outlineLevel="0" collapsed="false">
      <c r="B95" s="61"/>
      <c r="C95" s="62" t="s">
        <v>186</v>
      </c>
      <c r="D95" s="62"/>
      <c r="E95" s="62"/>
      <c r="F95" s="62"/>
      <c r="G95" s="63" t="n">
        <v>1</v>
      </c>
      <c r="H95" s="61"/>
      <c r="I95" s="61"/>
      <c r="J95" s="61"/>
      <c r="K95" s="61"/>
      <c r="L95" s="63" t="n">
        <v>3000</v>
      </c>
      <c r="M95" s="61"/>
    </row>
    <row r="96" customFormat="false" ht="12.75" hidden="false" customHeight="true" outlineLevel="0" collapsed="false">
      <c r="B96" s="13" t="s">
        <v>127</v>
      </c>
      <c r="C96" s="72" t="s">
        <v>187</v>
      </c>
      <c r="D96" s="72" t="s">
        <v>188</v>
      </c>
      <c r="E96" s="13" t="s">
        <v>11</v>
      </c>
      <c r="F96" s="70"/>
      <c r="G96" s="14" t="n">
        <v>2</v>
      </c>
      <c r="H96" s="14" t="n">
        <v>2</v>
      </c>
      <c r="I96" s="14" t="n">
        <v>0</v>
      </c>
      <c r="J96" s="14" t="n">
        <v>0</v>
      </c>
      <c r="K96" s="15" t="n">
        <v>37200</v>
      </c>
      <c r="L96" s="15" t="n">
        <v>74400</v>
      </c>
      <c r="M96" s="71" t="s">
        <v>61</v>
      </c>
    </row>
    <row r="97" customFormat="false" ht="12.75" hidden="false" customHeight="true" outlineLevel="0" collapsed="false">
      <c r="B97" s="13" t="s">
        <v>127</v>
      </c>
      <c r="C97" s="72" t="s">
        <v>189</v>
      </c>
      <c r="D97" s="72" t="s">
        <v>190</v>
      </c>
      <c r="E97" s="13" t="s">
        <v>11</v>
      </c>
      <c r="F97" s="70"/>
      <c r="G97" s="14" t="n">
        <v>1</v>
      </c>
      <c r="H97" s="14" t="n">
        <v>1</v>
      </c>
      <c r="I97" s="14" t="n">
        <v>0</v>
      </c>
      <c r="J97" s="14" t="n">
        <v>0</v>
      </c>
      <c r="K97" s="15" t="n">
        <v>62600</v>
      </c>
      <c r="L97" s="15" t="n">
        <v>62600</v>
      </c>
      <c r="M97" s="71" t="s">
        <v>61</v>
      </c>
    </row>
    <row r="98" customFormat="false" ht="12.75" hidden="false" customHeight="true" outlineLevel="0" collapsed="false">
      <c r="B98" s="13" t="s">
        <v>127</v>
      </c>
      <c r="C98" s="72" t="s">
        <v>191</v>
      </c>
      <c r="D98" s="72" t="s">
        <v>190</v>
      </c>
      <c r="E98" s="13" t="s">
        <v>11</v>
      </c>
      <c r="F98" s="70"/>
      <c r="G98" s="14" t="n">
        <v>1</v>
      </c>
      <c r="H98" s="14" t="n">
        <v>1</v>
      </c>
      <c r="I98" s="14" t="n">
        <v>0</v>
      </c>
      <c r="J98" s="14" t="n">
        <v>0</v>
      </c>
      <c r="K98" s="15" t="n">
        <v>58687.5</v>
      </c>
      <c r="L98" s="15" t="n">
        <v>58687.5</v>
      </c>
      <c r="M98" s="71" t="s">
        <v>61</v>
      </c>
    </row>
    <row r="99" customFormat="false" ht="12.75" hidden="false" customHeight="true" outlineLevel="0" collapsed="false">
      <c r="B99" s="13" t="s">
        <v>127</v>
      </c>
      <c r="C99" s="72" t="s">
        <v>192</v>
      </c>
      <c r="D99" s="72" t="s">
        <v>188</v>
      </c>
      <c r="E99" s="13" t="s">
        <v>11</v>
      </c>
      <c r="F99" s="70"/>
      <c r="G99" s="14" t="n">
        <v>1</v>
      </c>
      <c r="H99" s="14" t="n">
        <v>1</v>
      </c>
      <c r="I99" s="14" t="n">
        <v>0</v>
      </c>
      <c r="J99" s="14" t="n">
        <v>0</v>
      </c>
      <c r="K99" s="15" t="n">
        <v>39707</v>
      </c>
      <c r="L99" s="15" t="n">
        <v>39707</v>
      </c>
      <c r="M99" s="71" t="s">
        <v>61</v>
      </c>
    </row>
    <row r="100" customFormat="false" ht="12.75" hidden="false" customHeight="true" outlineLevel="0" collapsed="false">
      <c r="B100" s="13" t="s">
        <v>127</v>
      </c>
      <c r="C100" s="72" t="s">
        <v>193</v>
      </c>
      <c r="D100" s="72" t="s">
        <v>188</v>
      </c>
      <c r="E100" s="13" t="s">
        <v>11</v>
      </c>
      <c r="F100" s="70"/>
      <c r="G100" s="14" t="n">
        <v>1</v>
      </c>
      <c r="H100" s="14" t="n">
        <v>1</v>
      </c>
      <c r="I100" s="14" t="n">
        <v>0</v>
      </c>
      <c r="J100" s="14" t="n">
        <v>0</v>
      </c>
      <c r="K100" s="15" t="n">
        <v>37200</v>
      </c>
      <c r="L100" s="15" t="n">
        <v>37200</v>
      </c>
      <c r="M100" s="71" t="s">
        <v>61</v>
      </c>
    </row>
    <row r="101" customFormat="false" ht="12.75" hidden="false" customHeight="true" outlineLevel="0" collapsed="false">
      <c r="B101" s="13" t="s">
        <v>127</v>
      </c>
      <c r="C101" s="72" t="s">
        <v>194</v>
      </c>
      <c r="D101" s="72" t="s">
        <v>188</v>
      </c>
      <c r="E101" s="13" t="s">
        <v>11</v>
      </c>
      <c r="F101" s="70"/>
      <c r="G101" s="14" t="n">
        <v>1</v>
      </c>
      <c r="H101" s="14" t="n">
        <v>1</v>
      </c>
      <c r="I101" s="14" t="n">
        <v>0</v>
      </c>
      <c r="J101" s="14" t="n">
        <v>0</v>
      </c>
      <c r="K101" s="15" t="n">
        <v>37200</v>
      </c>
      <c r="L101" s="15" t="n">
        <v>37200</v>
      </c>
      <c r="M101" s="71" t="s">
        <v>61</v>
      </c>
    </row>
    <row r="102" customFormat="false" ht="12.75" hidden="false" customHeight="true" outlineLevel="0" collapsed="false">
      <c r="B102" s="13" t="s">
        <v>127</v>
      </c>
      <c r="C102" s="72" t="s">
        <v>195</v>
      </c>
      <c r="D102" s="72" t="s">
        <v>188</v>
      </c>
      <c r="E102" s="13" t="s">
        <v>11</v>
      </c>
      <c r="F102" s="70"/>
      <c r="G102" s="14" t="n">
        <v>1</v>
      </c>
      <c r="H102" s="14" t="n">
        <v>1</v>
      </c>
      <c r="I102" s="14" t="n">
        <v>0</v>
      </c>
      <c r="J102" s="14" t="n">
        <v>0</v>
      </c>
      <c r="K102" s="15" t="n">
        <v>37200</v>
      </c>
      <c r="L102" s="15" t="n">
        <v>37200</v>
      </c>
      <c r="M102" s="71" t="s">
        <v>61</v>
      </c>
    </row>
    <row r="103" customFormat="false" ht="12.75" hidden="false" customHeight="true" outlineLevel="0" collapsed="false">
      <c r="B103" s="13" t="s">
        <v>127</v>
      </c>
      <c r="C103" s="72" t="s">
        <v>196</v>
      </c>
      <c r="D103" s="72" t="s">
        <v>188</v>
      </c>
      <c r="E103" s="13" t="s">
        <v>11</v>
      </c>
      <c r="F103" s="70"/>
      <c r="G103" s="14" t="n">
        <v>1</v>
      </c>
      <c r="H103" s="14" t="n">
        <v>1</v>
      </c>
      <c r="I103" s="14" t="n">
        <v>0</v>
      </c>
      <c r="J103" s="14" t="n">
        <v>0</v>
      </c>
      <c r="K103" s="15" t="n">
        <v>37200</v>
      </c>
      <c r="L103" s="15" t="n">
        <v>37200</v>
      </c>
      <c r="M103" s="71" t="s">
        <v>61</v>
      </c>
    </row>
    <row r="104" customFormat="false" ht="12.75" hidden="false" customHeight="true" outlineLevel="0" collapsed="false">
      <c r="B104" s="13" t="s">
        <v>127</v>
      </c>
      <c r="C104" s="72" t="s">
        <v>197</v>
      </c>
      <c r="D104" s="72" t="s">
        <v>188</v>
      </c>
      <c r="E104" s="13" t="s">
        <v>11</v>
      </c>
      <c r="F104" s="70"/>
      <c r="G104" s="14" t="n">
        <v>1</v>
      </c>
      <c r="H104" s="14" t="n">
        <v>1</v>
      </c>
      <c r="I104" s="14" t="n">
        <v>0</v>
      </c>
      <c r="J104" s="14" t="n">
        <v>0</v>
      </c>
      <c r="K104" s="15" t="n">
        <v>37200</v>
      </c>
      <c r="L104" s="15" t="n">
        <v>37200</v>
      </c>
      <c r="M104" s="71" t="s">
        <v>61</v>
      </c>
    </row>
    <row r="105" customFormat="false" ht="12.75" hidden="false" customHeight="true" outlineLevel="0" collapsed="false">
      <c r="B105" s="13" t="s">
        <v>127</v>
      </c>
      <c r="C105" s="72" t="s">
        <v>198</v>
      </c>
      <c r="D105" s="72" t="s">
        <v>188</v>
      </c>
      <c r="E105" s="13" t="s">
        <v>11</v>
      </c>
      <c r="F105" s="70"/>
      <c r="G105" s="14" t="n">
        <v>1</v>
      </c>
      <c r="H105" s="14" t="n">
        <v>1</v>
      </c>
      <c r="I105" s="14" t="n">
        <v>0</v>
      </c>
      <c r="J105" s="14" t="n">
        <v>0</v>
      </c>
      <c r="K105" s="15" t="n">
        <v>37200</v>
      </c>
      <c r="L105" s="15" t="n">
        <v>37200</v>
      </c>
      <c r="M105" s="71" t="s">
        <v>61</v>
      </c>
    </row>
    <row r="106" customFormat="false" ht="12.75" hidden="false" customHeight="true" outlineLevel="0" collapsed="false">
      <c r="B106" s="13" t="s">
        <v>127</v>
      </c>
      <c r="C106" s="72" t="s">
        <v>199</v>
      </c>
      <c r="D106" s="72" t="s">
        <v>188</v>
      </c>
      <c r="E106" s="13" t="s">
        <v>11</v>
      </c>
      <c r="F106" s="70"/>
      <c r="G106" s="14" t="n">
        <v>1</v>
      </c>
      <c r="H106" s="14" t="n">
        <v>1</v>
      </c>
      <c r="I106" s="14" t="n">
        <v>0</v>
      </c>
      <c r="J106" s="14" t="n">
        <v>0</v>
      </c>
      <c r="K106" s="15" t="n">
        <v>37200</v>
      </c>
      <c r="L106" s="15" t="n">
        <v>37200</v>
      </c>
      <c r="M106" s="71" t="s">
        <v>61</v>
      </c>
    </row>
    <row r="107" customFormat="false" ht="12.75" hidden="false" customHeight="true" outlineLevel="0" collapsed="false">
      <c r="B107" s="13" t="s">
        <v>127</v>
      </c>
      <c r="C107" s="72" t="s">
        <v>200</v>
      </c>
      <c r="D107" s="72" t="s">
        <v>188</v>
      </c>
      <c r="E107" s="13" t="s">
        <v>11</v>
      </c>
      <c r="F107" s="70"/>
      <c r="G107" s="14" t="n">
        <v>1</v>
      </c>
      <c r="H107" s="14" t="n">
        <v>1</v>
      </c>
      <c r="I107" s="14" t="n">
        <v>0</v>
      </c>
      <c r="J107" s="14" t="n">
        <v>0</v>
      </c>
      <c r="K107" s="15" t="n">
        <v>37200</v>
      </c>
      <c r="L107" s="15" t="n">
        <v>37200</v>
      </c>
      <c r="M107" s="71" t="s">
        <v>61</v>
      </c>
    </row>
    <row r="108" customFormat="false" ht="12.75" hidden="false" customHeight="true" outlineLevel="0" collapsed="false">
      <c r="B108" s="13" t="s">
        <v>127</v>
      </c>
      <c r="C108" s="72" t="s">
        <v>201</v>
      </c>
      <c r="D108" s="72" t="s">
        <v>188</v>
      </c>
      <c r="E108" s="13" t="s">
        <v>11</v>
      </c>
      <c r="F108" s="70"/>
      <c r="G108" s="14" t="n">
        <v>1</v>
      </c>
      <c r="H108" s="14" t="n">
        <v>1</v>
      </c>
      <c r="I108" s="14" t="n">
        <v>0</v>
      </c>
      <c r="J108" s="14" t="n">
        <v>0</v>
      </c>
      <c r="K108" s="15" t="n">
        <v>37200</v>
      </c>
      <c r="L108" s="15" t="n">
        <v>37200</v>
      </c>
      <c r="M108" s="71" t="s">
        <v>61</v>
      </c>
    </row>
    <row r="109" customFormat="false" ht="12.75" hidden="false" customHeight="true" outlineLevel="0" collapsed="false">
      <c r="B109" s="13" t="s">
        <v>127</v>
      </c>
      <c r="C109" s="72" t="s">
        <v>202</v>
      </c>
      <c r="D109" s="72" t="s">
        <v>203</v>
      </c>
      <c r="E109" s="13" t="s">
        <v>11</v>
      </c>
      <c r="F109" s="70"/>
      <c r="G109" s="14" t="n">
        <v>1</v>
      </c>
      <c r="H109" s="14" t="n">
        <v>1</v>
      </c>
      <c r="I109" s="14" t="n">
        <v>0</v>
      </c>
      <c r="J109" s="14" t="n">
        <v>0</v>
      </c>
      <c r="K109" s="15" t="n">
        <v>28000</v>
      </c>
      <c r="L109" s="15" t="n">
        <v>28000</v>
      </c>
      <c r="M109" s="71" t="s">
        <v>61</v>
      </c>
    </row>
    <row r="110" customFormat="false" ht="12.75" hidden="false" customHeight="true" outlineLevel="0" collapsed="false">
      <c r="B110" s="13" t="s">
        <v>127</v>
      </c>
      <c r="C110" s="72" t="s">
        <v>204</v>
      </c>
      <c r="D110" s="72" t="s">
        <v>188</v>
      </c>
      <c r="E110" s="13" t="s">
        <v>11</v>
      </c>
      <c r="F110" s="70"/>
      <c r="G110" s="14" t="n">
        <v>0</v>
      </c>
      <c r="H110" s="14" t="n">
        <v>1</v>
      </c>
      <c r="I110" s="14" t="n">
        <v>0</v>
      </c>
      <c r="J110" s="14" t="n">
        <v>1</v>
      </c>
      <c r="K110" s="15" t="n">
        <v>37200</v>
      </c>
      <c r="L110" s="14"/>
      <c r="M110" s="71" t="s">
        <v>61</v>
      </c>
    </row>
    <row r="111" customFormat="false" ht="12.75" hidden="false" customHeight="true" outlineLevel="0" collapsed="false">
      <c r="B111" s="13" t="s">
        <v>127</v>
      </c>
      <c r="C111" s="72" t="s">
        <v>205</v>
      </c>
      <c r="D111" s="72" t="s">
        <v>188</v>
      </c>
      <c r="E111" s="13" t="s">
        <v>11</v>
      </c>
      <c r="F111" s="70"/>
      <c r="G111" s="14" t="n">
        <v>0</v>
      </c>
      <c r="H111" s="14" t="n">
        <v>1</v>
      </c>
      <c r="I111" s="14" t="n">
        <v>0</v>
      </c>
      <c r="J111" s="14" t="n">
        <v>1</v>
      </c>
      <c r="K111" s="15" t="n">
        <v>37200</v>
      </c>
      <c r="L111" s="14"/>
      <c r="M111" s="71" t="s">
        <v>61</v>
      </c>
    </row>
    <row r="112" customFormat="false" ht="12.75" hidden="false" customHeight="true" outlineLevel="0" collapsed="false">
      <c r="B112" s="13" t="s">
        <v>127</v>
      </c>
      <c r="C112" s="72" t="s">
        <v>206</v>
      </c>
      <c r="D112" s="72" t="s">
        <v>188</v>
      </c>
      <c r="E112" s="13" t="s">
        <v>11</v>
      </c>
      <c r="F112" s="70"/>
      <c r="G112" s="14" t="n">
        <v>0</v>
      </c>
      <c r="H112" s="14" t="n">
        <v>1</v>
      </c>
      <c r="I112" s="14" t="n">
        <v>0</v>
      </c>
      <c r="J112" s="14" t="n">
        <v>1</v>
      </c>
      <c r="K112" s="15" t="n">
        <v>37200</v>
      </c>
      <c r="L112" s="14"/>
      <c r="M112" s="71" t="s">
        <v>61</v>
      </c>
    </row>
    <row r="113" customFormat="false" ht="12.75" hidden="false" customHeight="true" outlineLevel="0" collapsed="false">
      <c r="B113" s="13" t="s">
        <v>127</v>
      </c>
      <c r="C113" s="72" t="s">
        <v>207</v>
      </c>
      <c r="D113" s="72" t="s">
        <v>208</v>
      </c>
      <c r="E113" s="13" t="s">
        <v>11</v>
      </c>
      <c r="F113" s="70"/>
      <c r="G113" s="14" t="n">
        <v>0</v>
      </c>
      <c r="H113" s="14" t="n">
        <v>0</v>
      </c>
      <c r="I113" s="14" t="n">
        <v>2</v>
      </c>
      <c r="J113" s="14" t="n">
        <v>2</v>
      </c>
      <c r="K113" s="15" t="n">
        <v>38000</v>
      </c>
      <c r="L113" s="14"/>
      <c r="M113" s="71" t="s">
        <v>61</v>
      </c>
    </row>
    <row r="114" customFormat="false" ht="12.75" hidden="false" customHeight="true" outlineLevel="0" collapsed="false">
      <c r="B114" s="13" t="s">
        <v>127</v>
      </c>
      <c r="C114" s="72" t="s">
        <v>209</v>
      </c>
      <c r="D114" s="72" t="s">
        <v>208</v>
      </c>
      <c r="E114" s="13" t="s">
        <v>11</v>
      </c>
      <c r="F114" s="70"/>
      <c r="G114" s="14" t="n">
        <v>0</v>
      </c>
      <c r="H114" s="14" t="n">
        <v>0</v>
      </c>
      <c r="I114" s="14" t="n">
        <v>1</v>
      </c>
      <c r="J114" s="14" t="n">
        <v>1</v>
      </c>
      <c r="K114" s="15" t="n">
        <v>38000</v>
      </c>
      <c r="L114" s="14"/>
      <c r="M114" s="71" t="s">
        <v>61</v>
      </c>
    </row>
    <row r="115" customFormat="false" ht="12.75" hidden="false" customHeight="true" outlineLevel="0" collapsed="false">
      <c r="B115" s="13" t="s">
        <v>127</v>
      </c>
      <c r="C115" s="72" t="s">
        <v>210</v>
      </c>
      <c r="D115" s="72" t="s">
        <v>208</v>
      </c>
      <c r="E115" s="13" t="s">
        <v>11</v>
      </c>
      <c r="F115" s="70"/>
      <c r="G115" s="14" t="n">
        <v>0</v>
      </c>
      <c r="H115" s="14" t="n">
        <v>0</v>
      </c>
      <c r="I115" s="14" t="n">
        <v>1</v>
      </c>
      <c r="J115" s="14" t="n">
        <v>1</v>
      </c>
      <c r="K115" s="15" t="n">
        <v>38000</v>
      </c>
      <c r="L115" s="14"/>
      <c r="M115" s="71" t="s">
        <v>61</v>
      </c>
    </row>
    <row r="116" customFormat="false" ht="12.75" hidden="false" customHeight="true" outlineLevel="0" collapsed="false">
      <c r="B116" s="61"/>
      <c r="C116" s="62" t="s">
        <v>153</v>
      </c>
      <c r="D116" s="62"/>
      <c r="E116" s="62"/>
      <c r="F116" s="62"/>
      <c r="G116" s="63" t="n">
        <v>15</v>
      </c>
      <c r="H116" s="61"/>
      <c r="I116" s="61"/>
      <c r="J116" s="61"/>
      <c r="K116" s="61"/>
      <c r="L116" s="63" t="n">
        <v>598194.5</v>
      </c>
      <c r="M116" s="61"/>
    </row>
    <row r="117" customFormat="false" ht="12.75" hidden="false" customHeight="true" outlineLevel="0" collapsed="false">
      <c r="B117" s="13" t="s">
        <v>154</v>
      </c>
      <c r="C117" s="72" t="s">
        <v>211</v>
      </c>
      <c r="D117" s="72" t="s">
        <v>156</v>
      </c>
      <c r="E117" s="13" t="s">
        <v>11</v>
      </c>
      <c r="F117" s="70"/>
      <c r="G117" s="14" t="n">
        <v>25</v>
      </c>
      <c r="H117" s="14" t="n">
        <v>30</v>
      </c>
      <c r="I117" s="14" t="n">
        <v>2</v>
      </c>
      <c r="J117" s="14" t="n">
        <v>7</v>
      </c>
      <c r="K117" s="15" t="n">
        <v>6500</v>
      </c>
      <c r="L117" s="15" t="n">
        <v>162500</v>
      </c>
      <c r="M117" s="71" t="s">
        <v>61</v>
      </c>
    </row>
    <row r="118" customFormat="false" ht="12.75" hidden="false" customHeight="true" outlineLevel="0" collapsed="false">
      <c r="B118" s="13" t="s">
        <v>154</v>
      </c>
      <c r="C118" s="72" t="s">
        <v>212</v>
      </c>
      <c r="D118" s="72" t="s">
        <v>213</v>
      </c>
      <c r="E118" s="13" t="s">
        <v>11</v>
      </c>
      <c r="F118" s="70"/>
      <c r="G118" s="14" t="n">
        <v>13</v>
      </c>
      <c r="H118" s="14" t="n">
        <v>7</v>
      </c>
      <c r="I118" s="14" t="n">
        <v>26</v>
      </c>
      <c r="J118" s="14" t="n">
        <v>20</v>
      </c>
      <c r="K118" s="15" t="n">
        <v>7343.41</v>
      </c>
      <c r="L118" s="15" t="n">
        <v>95464.33</v>
      </c>
      <c r="M118" s="71" t="s">
        <v>61</v>
      </c>
    </row>
    <row r="119" customFormat="false" ht="12.75" hidden="false" customHeight="true" outlineLevel="0" collapsed="false">
      <c r="B119" s="13" t="s">
        <v>154</v>
      </c>
      <c r="C119" s="72" t="s">
        <v>214</v>
      </c>
      <c r="D119" s="72" t="s">
        <v>213</v>
      </c>
      <c r="E119" s="13" t="s">
        <v>11</v>
      </c>
      <c r="F119" s="70"/>
      <c r="G119" s="14" t="n">
        <v>8</v>
      </c>
      <c r="H119" s="14" t="n">
        <v>0</v>
      </c>
      <c r="I119" s="14" t="n">
        <v>121</v>
      </c>
      <c r="J119" s="14" t="n">
        <v>113</v>
      </c>
      <c r="K119" s="15" t="n">
        <v>7343.41</v>
      </c>
      <c r="L119" s="15" t="n">
        <v>58747.28</v>
      </c>
      <c r="M119" s="71" t="s">
        <v>61</v>
      </c>
    </row>
    <row r="120" customFormat="false" ht="12.75" hidden="false" customHeight="true" outlineLevel="0" collapsed="false">
      <c r="B120" s="13" t="s">
        <v>154</v>
      </c>
      <c r="C120" s="72" t="s">
        <v>215</v>
      </c>
      <c r="D120" s="72" t="s">
        <v>216</v>
      </c>
      <c r="E120" s="13" t="s">
        <v>11</v>
      </c>
      <c r="F120" s="70"/>
      <c r="G120" s="14" t="n">
        <v>1</v>
      </c>
      <c r="H120" s="14" t="n">
        <v>1</v>
      </c>
      <c r="I120" s="14" t="n">
        <v>0</v>
      </c>
      <c r="J120" s="14" t="n">
        <v>0</v>
      </c>
      <c r="K120" s="15" t="n">
        <v>18488</v>
      </c>
      <c r="L120" s="15" t="n">
        <v>18488</v>
      </c>
      <c r="M120" s="71" t="s">
        <v>61</v>
      </c>
    </row>
    <row r="121" customFormat="false" ht="12.75" hidden="false" customHeight="true" outlineLevel="0" collapsed="false">
      <c r="B121" s="13" t="s">
        <v>154</v>
      </c>
      <c r="C121" s="72" t="s">
        <v>217</v>
      </c>
      <c r="D121" s="72" t="s">
        <v>218</v>
      </c>
      <c r="E121" s="13" t="s">
        <v>11</v>
      </c>
      <c r="F121" s="70"/>
      <c r="G121" s="14" t="n">
        <v>1</v>
      </c>
      <c r="H121" s="14" t="n">
        <v>1</v>
      </c>
      <c r="I121" s="14" t="n">
        <v>0</v>
      </c>
      <c r="J121" s="14" t="n">
        <v>0</v>
      </c>
      <c r="K121" s="15" t="n">
        <v>13100</v>
      </c>
      <c r="L121" s="15" t="n">
        <v>13100</v>
      </c>
      <c r="M121" s="71" t="s">
        <v>61</v>
      </c>
    </row>
    <row r="122" customFormat="false" ht="12.75" hidden="false" customHeight="true" outlineLevel="0" collapsed="false">
      <c r="B122" s="13" t="s">
        <v>154</v>
      </c>
      <c r="C122" s="72" t="s">
        <v>219</v>
      </c>
      <c r="D122" s="72" t="s">
        <v>156</v>
      </c>
      <c r="E122" s="13" t="s">
        <v>11</v>
      </c>
      <c r="F122" s="70"/>
      <c r="G122" s="14" t="n">
        <v>0</v>
      </c>
      <c r="H122" s="14" t="n">
        <v>1</v>
      </c>
      <c r="I122" s="14" t="n">
        <v>0</v>
      </c>
      <c r="J122" s="14" t="n">
        <v>1</v>
      </c>
      <c r="K122" s="15" t="n">
        <v>6000</v>
      </c>
      <c r="L122" s="14"/>
      <c r="M122" s="71" t="s">
        <v>61</v>
      </c>
    </row>
    <row r="123" customFormat="false" ht="12.75" hidden="false" customHeight="true" outlineLevel="0" collapsed="false">
      <c r="B123" s="61"/>
      <c r="C123" s="62" t="s">
        <v>164</v>
      </c>
      <c r="D123" s="62"/>
      <c r="E123" s="62"/>
      <c r="F123" s="62"/>
      <c r="G123" s="63" t="n">
        <v>48</v>
      </c>
      <c r="H123" s="61"/>
      <c r="I123" s="61"/>
      <c r="J123" s="61"/>
      <c r="K123" s="61"/>
      <c r="L123" s="63" t="n">
        <v>348299.61</v>
      </c>
      <c r="M123" s="61"/>
    </row>
    <row r="124" customFormat="false" ht="13.5" hidden="false" customHeight="true" outlineLevel="0" collapsed="false">
      <c r="B124" s="66" t="s">
        <v>220</v>
      </c>
      <c r="C124" s="66"/>
      <c r="D124" s="66"/>
      <c r="E124" s="66"/>
      <c r="F124" s="66"/>
      <c r="G124" s="67" t="n">
        <v>97</v>
      </c>
      <c r="H124" s="68"/>
      <c r="I124" s="68"/>
      <c r="J124" s="68"/>
      <c r="K124" s="68"/>
      <c r="L124" s="67" t="n">
        <v>989118.11</v>
      </c>
      <c r="M124" s="68"/>
    </row>
    <row r="125" customFormat="false" ht="7.5" hidden="false" customHeight="true" outlineLevel="0" collapsed="false"/>
    <row r="126" customFormat="false" ht="15" hidden="false" customHeight="true" outlineLevel="0" collapsed="false">
      <c r="B126" s="73" t="s">
        <v>221</v>
      </c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</row>
    <row r="127" customFormat="false" ht="12.75" hidden="false" customHeight="true" outlineLevel="0" collapsed="false">
      <c r="B127" s="58" t="s">
        <v>110</v>
      </c>
      <c r="C127" s="18" t="s">
        <v>222</v>
      </c>
      <c r="D127" s="18" t="s">
        <v>216</v>
      </c>
      <c r="E127" s="18" t="s">
        <v>13</v>
      </c>
      <c r="F127" s="64"/>
      <c r="G127" s="19" t="n">
        <v>10</v>
      </c>
      <c r="H127" s="19" t="n">
        <v>10</v>
      </c>
      <c r="I127" s="19" t="n">
        <v>0</v>
      </c>
      <c r="J127" s="19" t="n">
        <v>0</v>
      </c>
      <c r="K127" s="20" t="n">
        <v>1804</v>
      </c>
      <c r="L127" s="20" t="n">
        <v>18040</v>
      </c>
      <c r="M127" s="60" t="s">
        <v>61</v>
      </c>
    </row>
    <row r="128" customFormat="false" ht="12.75" hidden="false" customHeight="true" outlineLevel="0" collapsed="false">
      <c r="B128" s="58" t="s">
        <v>110</v>
      </c>
      <c r="C128" s="18" t="s">
        <v>223</v>
      </c>
      <c r="D128" s="18" t="s">
        <v>216</v>
      </c>
      <c r="E128" s="18" t="s">
        <v>13</v>
      </c>
      <c r="F128" s="64"/>
      <c r="G128" s="19" t="n">
        <v>9</v>
      </c>
      <c r="H128" s="19" t="n">
        <v>9</v>
      </c>
      <c r="I128" s="19" t="n">
        <v>0</v>
      </c>
      <c r="J128" s="19" t="n">
        <v>0</v>
      </c>
      <c r="K128" s="20" t="n">
        <v>1804</v>
      </c>
      <c r="L128" s="20" t="n">
        <v>16236</v>
      </c>
      <c r="M128" s="60" t="s">
        <v>61</v>
      </c>
    </row>
    <row r="129" customFormat="false" ht="12.75" hidden="false" customHeight="true" outlineLevel="0" collapsed="false">
      <c r="B129" s="58" t="s">
        <v>110</v>
      </c>
      <c r="C129" s="18" t="s">
        <v>224</v>
      </c>
      <c r="D129" s="18" t="s">
        <v>216</v>
      </c>
      <c r="E129" s="18" t="s">
        <v>13</v>
      </c>
      <c r="F129" s="64"/>
      <c r="G129" s="19" t="n">
        <v>1</v>
      </c>
      <c r="H129" s="19" t="n">
        <v>2</v>
      </c>
      <c r="I129" s="19" t="n">
        <v>0</v>
      </c>
      <c r="J129" s="19" t="n">
        <v>1</v>
      </c>
      <c r="K129" s="20" t="n">
        <v>1900</v>
      </c>
      <c r="L129" s="20" t="n">
        <v>1900</v>
      </c>
      <c r="M129" s="60" t="s">
        <v>61</v>
      </c>
    </row>
    <row r="130" customFormat="false" ht="12.75" hidden="false" customHeight="true" outlineLevel="0" collapsed="false">
      <c r="B130" s="58" t="s">
        <v>110</v>
      </c>
      <c r="C130" s="18" t="s">
        <v>225</v>
      </c>
      <c r="D130" s="18" t="s">
        <v>216</v>
      </c>
      <c r="E130" s="18" t="s">
        <v>13</v>
      </c>
      <c r="F130" s="64"/>
      <c r="G130" s="19" t="n">
        <v>0</v>
      </c>
      <c r="H130" s="19" t="n">
        <v>1</v>
      </c>
      <c r="I130" s="19" t="n">
        <v>0</v>
      </c>
      <c r="J130" s="19" t="n">
        <v>1</v>
      </c>
      <c r="K130" s="20" t="n">
        <v>1900</v>
      </c>
      <c r="L130" s="19"/>
      <c r="M130" s="60" t="s">
        <v>61</v>
      </c>
    </row>
    <row r="131" customFormat="false" ht="12.75" hidden="false" customHeight="true" outlineLevel="0" collapsed="false">
      <c r="B131" s="61"/>
      <c r="C131" s="62" t="s">
        <v>126</v>
      </c>
      <c r="D131" s="62"/>
      <c r="E131" s="62"/>
      <c r="F131" s="62"/>
      <c r="G131" s="63" t="n">
        <v>20</v>
      </c>
      <c r="H131" s="61"/>
      <c r="I131" s="61"/>
      <c r="J131" s="61"/>
      <c r="K131" s="61"/>
      <c r="L131" s="63" t="n">
        <v>36176</v>
      </c>
      <c r="M131" s="61"/>
    </row>
    <row r="132" customFormat="false" ht="13.5" hidden="false" customHeight="true" outlineLevel="0" collapsed="false">
      <c r="B132" s="74" t="s">
        <v>226</v>
      </c>
      <c r="C132" s="74"/>
      <c r="D132" s="74"/>
      <c r="E132" s="74"/>
      <c r="F132" s="74"/>
      <c r="G132" s="67" t="n">
        <v>20</v>
      </c>
      <c r="H132" s="68"/>
      <c r="I132" s="68"/>
      <c r="J132" s="68"/>
      <c r="K132" s="68"/>
      <c r="L132" s="67" t="n">
        <v>36176</v>
      </c>
      <c r="M132" s="68"/>
    </row>
    <row r="133" customFormat="false" ht="7.5" hidden="false" customHeight="true" outlineLevel="0" collapsed="false"/>
    <row r="134" customFormat="false" ht="15" hidden="false" customHeight="true" outlineLevel="0" collapsed="false">
      <c r="B134" s="75" t="s">
        <v>227</v>
      </c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</row>
    <row r="135" customFormat="false" ht="12.75" hidden="false" customHeight="true" outlineLevel="0" collapsed="false">
      <c r="B135" s="27" t="s">
        <v>228</v>
      </c>
      <c r="C135" s="76" t="s">
        <v>229</v>
      </c>
      <c r="D135" s="76" t="s">
        <v>68</v>
      </c>
      <c r="E135" s="27" t="s">
        <v>15</v>
      </c>
      <c r="F135" s="77"/>
      <c r="G135" s="28" t="n">
        <v>2</v>
      </c>
      <c r="H135" s="28" t="n">
        <v>2</v>
      </c>
      <c r="I135" s="28" t="n">
        <v>0</v>
      </c>
      <c r="J135" s="28" t="n">
        <v>0</v>
      </c>
      <c r="K135" s="29" t="n">
        <v>1225</v>
      </c>
      <c r="L135" s="29" t="n">
        <v>2450</v>
      </c>
      <c r="M135" s="78" t="s">
        <v>61</v>
      </c>
    </row>
    <row r="136" customFormat="false" ht="12.75" hidden="false" customHeight="true" outlineLevel="0" collapsed="false">
      <c r="B136" s="22" t="s">
        <v>228</v>
      </c>
      <c r="C136" s="79" t="s">
        <v>230</v>
      </c>
      <c r="D136" s="79" t="s">
        <v>231</v>
      </c>
      <c r="E136" s="22" t="s">
        <v>15</v>
      </c>
      <c r="F136" s="80"/>
      <c r="G136" s="23" t="n">
        <v>0</v>
      </c>
      <c r="H136" s="23" t="n">
        <v>1</v>
      </c>
      <c r="I136" s="23" t="n">
        <v>0</v>
      </c>
      <c r="J136" s="23" t="n">
        <v>1</v>
      </c>
      <c r="K136" s="23"/>
      <c r="L136" s="23"/>
      <c r="M136" s="81" t="s">
        <v>61</v>
      </c>
    </row>
    <row r="137" customFormat="false" ht="12.75" hidden="false" customHeight="true" outlineLevel="0" collapsed="false">
      <c r="B137" s="61"/>
      <c r="C137" s="62" t="s">
        <v>232</v>
      </c>
      <c r="D137" s="62"/>
      <c r="E137" s="62"/>
      <c r="F137" s="62"/>
      <c r="G137" s="63" t="n">
        <v>2</v>
      </c>
      <c r="H137" s="61"/>
      <c r="I137" s="61"/>
      <c r="J137" s="61"/>
      <c r="K137" s="61"/>
      <c r="L137" s="63" t="n">
        <v>2450</v>
      </c>
      <c r="M137" s="61"/>
    </row>
    <row r="138" customFormat="false" ht="12.75" hidden="false" customHeight="true" outlineLevel="0" collapsed="false">
      <c r="B138" s="27" t="s">
        <v>57</v>
      </c>
      <c r="C138" s="76" t="s">
        <v>233</v>
      </c>
      <c r="D138" s="76" t="s">
        <v>234</v>
      </c>
      <c r="E138" s="27" t="s">
        <v>15</v>
      </c>
      <c r="F138" s="77"/>
      <c r="G138" s="28" t="n">
        <v>0</v>
      </c>
      <c r="H138" s="28" t="n">
        <v>2</v>
      </c>
      <c r="I138" s="28" t="n">
        <v>0</v>
      </c>
      <c r="J138" s="28" t="n">
        <v>2</v>
      </c>
      <c r="K138" s="29" t="n">
        <v>1400</v>
      </c>
      <c r="L138" s="28"/>
      <c r="M138" s="78" t="s">
        <v>61</v>
      </c>
    </row>
    <row r="139" customFormat="false" ht="12.75" hidden="false" customHeight="true" outlineLevel="0" collapsed="false">
      <c r="B139" s="22" t="s">
        <v>57</v>
      </c>
      <c r="C139" s="79" t="s">
        <v>235</v>
      </c>
      <c r="D139" s="79" t="s">
        <v>236</v>
      </c>
      <c r="E139" s="22" t="s">
        <v>15</v>
      </c>
      <c r="F139" s="80"/>
      <c r="G139" s="23" t="n">
        <v>0</v>
      </c>
      <c r="H139" s="23" t="n">
        <v>1</v>
      </c>
      <c r="I139" s="23" t="n">
        <v>0</v>
      </c>
      <c r="J139" s="23" t="n">
        <v>1</v>
      </c>
      <c r="K139" s="24" t="n">
        <v>1800</v>
      </c>
      <c r="L139" s="23"/>
      <c r="M139" s="81" t="s">
        <v>61</v>
      </c>
    </row>
    <row r="140" customFormat="false" ht="12.75" hidden="false" customHeight="true" outlineLevel="0" collapsed="false">
      <c r="B140" s="61"/>
      <c r="C140" s="62" t="s">
        <v>65</v>
      </c>
      <c r="D140" s="62"/>
      <c r="E140" s="62"/>
      <c r="F140" s="62"/>
      <c r="G140" s="63" t="n">
        <v>0</v>
      </c>
      <c r="H140" s="61"/>
      <c r="I140" s="61"/>
      <c r="J140" s="61"/>
      <c r="K140" s="61"/>
      <c r="L140" s="63" t="n">
        <v>0</v>
      </c>
      <c r="M140" s="61"/>
    </row>
    <row r="141" customFormat="false" ht="12.75" hidden="false" customHeight="true" outlineLevel="0" collapsed="false">
      <c r="B141" s="27" t="s">
        <v>167</v>
      </c>
      <c r="C141" s="27" t="s">
        <v>237</v>
      </c>
      <c r="D141" s="27" t="s">
        <v>169</v>
      </c>
      <c r="E141" s="27" t="s">
        <v>15</v>
      </c>
      <c r="F141" s="77"/>
      <c r="G141" s="28" t="n">
        <v>381</v>
      </c>
      <c r="H141" s="28" t="n">
        <v>0</v>
      </c>
      <c r="I141" s="28" t="n">
        <v>480</v>
      </c>
      <c r="J141" s="28" t="n">
        <v>99</v>
      </c>
      <c r="K141" s="29" t="n">
        <v>93</v>
      </c>
      <c r="L141" s="29" t="n">
        <v>35433</v>
      </c>
      <c r="M141" s="78" t="s">
        <v>61</v>
      </c>
    </row>
    <row r="142" customFormat="false" ht="12.75" hidden="false" customHeight="true" outlineLevel="0" collapsed="false">
      <c r="B142" s="22" t="s">
        <v>167</v>
      </c>
      <c r="C142" s="22" t="s">
        <v>238</v>
      </c>
      <c r="D142" s="22" t="s">
        <v>169</v>
      </c>
      <c r="E142" s="22" t="s">
        <v>15</v>
      </c>
      <c r="F142" s="80"/>
      <c r="G142" s="23" t="n">
        <v>220</v>
      </c>
      <c r="H142" s="23" t="n">
        <v>49</v>
      </c>
      <c r="I142" s="23" t="n">
        <v>225</v>
      </c>
      <c r="J142" s="23" t="n">
        <v>54</v>
      </c>
      <c r="K142" s="24" t="n">
        <v>84</v>
      </c>
      <c r="L142" s="24" t="n">
        <v>18480</v>
      </c>
      <c r="M142" s="81" t="s">
        <v>61</v>
      </c>
    </row>
    <row r="143" customFormat="false" ht="12.75" hidden="false" customHeight="true" outlineLevel="0" collapsed="false">
      <c r="B143" s="27" t="s">
        <v>167</v>
      </c>
      <c r="C143" s="27" t="s">
        <v>239</v>
      </c>
      <c r="D143" s="27" t="s">
        <v>240</v>
      </c>
      <c r="E143" s="27" t="s">
        <v>15</v>
      </c>
      <c r="F143" s="77"/>
      <c r="G143" s="28" t="n">
        <v>100</v>
      </c>
      <c r="H143" s="28" t="n">
        <v>0</v>
      </c>
      <c r="I143" s="28" t="n">
        <v>100</v>
      </c>
      <c r="J143" s="28" t="n">
        <v>0</v>
      </c>
      <c r="K143" s="29" t="n">
        <v>140</v>
      </c>
      <c r="L143" s="29" t="n">
        <v>14000</v>
      </c>
      <c r="M143" s="78" t="s">
        <v>61</v>
      </c>
    </row>
    <row r="144" customFormat="false" ht="12.75" hidden="false" customHeight="true" outlineLevel="0" collapsed="false">
      <c r="B144" s="22" t="s">
        <v>167</v>
      </c>
      <c r="C144" s="22" t="s">
        <v>241</v>
      </c>
      <c r="D144" s="22" t="s">
        <v>240</v>
      </c>
      <c r="E144" s="22" t="s">
        <v>15</v>
      </c>
      <c r="F144" s="80"/>
      <c r="G144" s="23" t="n">
        <v>100</v>
      </c>
      <c r="H144" s="23" t="n">
        <v>0</v>
      </c>
      <c r="I144" s="23" t="n">
        <v>100</v>
      </c>
      <c r="J144" s="23" t="n">
        <v>0</v>
      </c>
      <c r="K144" s="24" t="n">
        <v>140</v>
      </c>
      <c r="L144" s="24" t="n">
        <v>14000</v>
      </c>
      <c r="M144" s="81" t="s">
        <v>61</v>
      </c>
    </row>
    <row r="145" customFormat="false" ht="12.75" hidden="false" customHeight="true" outlineLevel="0" collapsed="false">
      <c r="B145" s="27" t="s">
        <v>167</v>
      </c>
      <c r="C145" s="27" t="s">
        <v>242</v>
      </c>
      <c r="D145" s="27" t="s">
        <v>243</v>
      </c>
      <c r="E145" s="27" t="s">
        <v>15</v>
      </c>
      <c r="F145" s="77"/>
      <c r="G145" s="28" t="n">
        <v>160</v>
      </c>
      <c r="H145" s="28" t="n">
        <v>114</v>
      </c>
      <c r="I145" s="28" t="n">
        <v>52</v>
      </c>
      <c r="J145" s="28" t="n">
        <v>6</v>
      </c>
      <c r="K145" s="29" t="n">
        <v>84</v>
      </c>
      <c r="L145" s="29" t="n">
        <v>13440</v>
      </c>
      <c r="M145" s="78" t="s">
        <v>61</v>
      </c>
    </row>
    <row r="146" customFormat="false" ht="12.75" hidden="false" customHeight="true" outlineLevel="0" collapsed="false">
      <c r="B146" s="22" t="s">
        <v>167</v>
      </c>
      <c r="C146" s="22" t="s">
        <v>244</v>
      </c>
      <c r="D146" s="22" t="s">
        <v>169</v>
      </c>
      <c r="E146" s="22" t="s">
        <v>15</v>
      </c>
      <c r="F146" s="80"/>
      <c r="G146" s="23" t="n">
        <v>100</v>
      </c>
      <c r="H146" s="23" t="n">
        <v>104</v>
      </c>
      <c r="I146" s="23" t="n">
        <v>0</v>
      </c>
      <c r="J146" s="23" t="n">
        <v>4</v>
      </c>
      <c r="K146" s="24" t="n">
        <v>80</v>
      </c>
      <c r="L146" s="24" t="n">
        <v>8000</v>
      </c>
      <c r="M146" s="81" t="s">
        <v>61</v>
      </c>
    </row>
    <row r="147" customFormat="false" ht="12.75" hidden="false" customHeight="true" outlineLevel="0" collapsed="false">
      <c r="B147" s="27" t="s">
        <v>167</v>
      </c>
      <c r="C147" s="27" t="s">
        <v>245</v>
      </c>
      <c r="D147" s="27" t="s">
        <v>169</v>
      </c>
      <c r="E147" s="27" t="s">
        <v>15</v>
      </c>
      <c r="F147" s="77"/>
      <c r="G147" s="28" t="n">
        <v>42</v>
      </c>
      <c r="H147" s="28" t="n">
        <v>42</v>
      </c>
      <c r="I147" s="28" t="n">
        <v>0</v>
      </c>
      <c r="J147" s="28" t="n">
        <v>0</v>
      </c>
      <c r="K147" s="29" t="n">
        <v>188</v>
      </c>
      <c r="L147" s="29" t="n">
        <v>7896</v>
      </c>
      <c r="M147" s="78" t="s">
        <v>61</v>
      </c>
    </row>
    <row r="148" customFormat="false" ht="12.75" hidden="false" customHeight="true" outlineLevel="0" collapsed="false">
      <c r="B148" s="22" t="s">
        <v>167</v>
      </c>
      <c r="C148" s="22" t="s">
        <v>246</v>
      </c>
      <c r="D148" s="22" t="s">
        <v>240</v>
      </c>
      <c r="E148" s="22" t="s">
        <v>15</v>
      </c>
      <c r="F148" s="80"/>
      <c r="G148" s="23" t="n">
        <v>50</v>
      </c>
      <c r="H148" s="23" t="n">
        <v>0</v>
      </c>
      <c r="I148" s="23" t="n">
        <v>50</v>
      </c>
      <c r="J148" s="23" t="n">
        <v>0</v>
      </c>
      <c r="K148" s="24" t="n">
        <v>135</v>
      </c>
      <c r="L148" s="24" t="n">
        <v>6750</v>
      </c>
      <c r="M148" s="81" t="s">
        <v>61</v>
      </c>
    </row>
    <row r="149" customFormat="false" ht="12.75" hidden="false" customHeight="true" outlineLevel="0" collapsed="false">
      <c r="B149" s="27" t="s">
        <v>167</v>
      </c>
      <c r="C149" s="27" t="s">
        <v>247</v>
      </c>
      <c r="D149" s="27" t="s">
        <v>240</v>
      </c>
      <c r="E149" s="27" t="s">
        <v>15</v>
      </c>
      <c r="F149" s="77"/>
      <c r="G149" s="28" t="n">
        <v>49</v>
      </c>
      <c r="H149" s="28" t="n">
        <v>0</v>
      </c>
      <c r="I149" s="28" t="n">
        <v>50</v>
      </c>
      <c r="J149" s="28" t="n">
        <v>1</v>
      </c>
      <c r="K149" s="29" t="n">
        <v>135</v>
      </c>
      <c r="L149" s="29" t="n">
        <v>6615</v>
      </c>
      <c r="M149" s="78" t="s">
        <v>61</v>
      </c>
    </row>
    <row r="150" customFormat="false" ht="12.75" hidden="false" customHeight="true" outlineLevel="0" collapsed="false">
      <c r="B150" s="22" t="s">
        <v>167</v>
      </c>
      <c r="C150" s="22" t="s">
        <v>248</v>
      </c>
      <c r="D150" s="22" t="s">
        <v>249</v>
      </c>
      <c r="E150" s="22" t="s">
        <v>15</v>
      </c>
      <c r="F150" s="80"/>
      <c r="G150" s="23" t="n">
        <v>17</v>
      </c>
      <c r="H150" s="23" t="n">
        <v>70</v>
      </c>
      <c r="I150" s="23" t="n">
        <v>50</v>
      </c>
      <c r="J150" s="23" t="n">
        <v>103</v>
      </c>
      <c r="K150" s="24" t="n">
        <v>350</v>
      </c>
      <c r="L150" s="24" t="n">
        <v>5950</v>
      </c>
      <c r="M150" s="81" t="s">
        <v>61</v>
      </c>
    </row>
    <row r="151" customFormat="false" ht="12.75" hidden="false" customHeight="true" outlineLevel="0" collapsed="false">
      <c r="B151" s="27" t="s">
        <v>167</v>
      </c>
      <c r="C151" s="27" t="s">
        <v>250</v>
      </c>
      <c r="D151" s="27" t="s">
        <v>251</v>
      </c>
      <c r="E151" s="27" t="s">
        <v>15</v>
      </c>
      <c r="F151" s="77"/>
      <c r="G151" s="28" t="n">
        <v>16</v>
      </c>
      <c r="H151" s="28" t="n">
        <v>55</v>
      </c>
      <c r="I151" s="28" t="n">
        <v>102</v>
      </c>
      <c r="J151" s="28" t="n">
        <v>141</v>
      </c>
      <c r="K151" s="29" t="n">
        <v>270</v>
      </c>
      <c r="L151" s="29" t="n">
        <v>4320</v>
      </c>
      <c r="M151" s="78" t="s">
        <v>61</v>
      </c>
    </row>
    <row r="152" customFormat="false" ht="12.75" hidden="false" customHeight="true" outlineLevel="0" collapsed="false">
      <c r="B152" s="22" t="s">
        <v>167</v>
      </c>
      <c r="C152" s="22" t="s">
        <v>252</v>
      </c>
      <c r="D152" s="22" t="s">
        <v>169</v>
      </c>
      <c r="E152" s="22" t="s">
        <v>15</v>
      </c>
      <c r="F152" s="80"/>
      <c r="G152" s="23" t="n">
        <v>44</v>
      </c>
      <c r="H152" s="23" t="n">
        <v>44</v>
      </c>
      <c r="I152" s="23" t="n">
        <v>0</v>
      </c>
      <c r="J152" s="23" t="n">
        <v>0</v>
      </c>
      <c r="K152" s="24" t="n">
        <v>90</v>
      </c>
      <c r="L152" s="24" t="n">
        <v>3960</v>
      </c>
      <c r="M152" s="81" t="s">
        <v>61</v>
      </c>
    </row>
    <row r="153" customFormat="false" ht="12.75" hidden="false" customHeight="true" outlineLevel="0" collapsed="false">
      <c r="B153" s="27" t="s">
        <v>167</v>
      </c>
      <c r="C153" s="27" t="s">
        <v>253</v>
      </c>
      <c r="D153" s="27" t="s">
        <v>251</v>
      </c>
      <c r="E153" s="27" t="s">
        <v>15</v>
      </c>
      <c r="F153" s="77"/>
      <c r="G153" s="28" t="n">
        <v>14</v>
      </c>
      <c r="H153" s="28" t="n">
        <v>0</v>
      </c>
      <c r="I153" s="28" t="n">
        <v>18</v>
      </c>
      <c r="J153" s="28" t="n">
        <v>4</v>
      </c>
      <c r="K153" s="29" t="n">
        <v>270</v>
      </c>
      <c r="L153" s="29" t="n">
        <v>3780</v>
      </c>
      <c r="M153" s="78" t="s">
        <v>61</v>
      </c>
    </row>
    <row r="154" customFormat="false" ht="12.75" hidden="false" customHeight="true" outlineLevel="0" collapsed="false">
      <c r="B154" s="22" t="s">
        <v>167</v>
      </c>
      <c r="C154" s="22" t="s">
        <v>254</v>
      </c>
      <c r="D154" s="22" t="s">
        <v>255</v>
      </c>
      <c r="E154" s="22" t="s">
        <v>15</v>
      </c>
      <c r="F154" s="80"/>
      <c r="G154" s="23" t="n">
        <v>6</v>
      </c>
      <c r="H154" s="23" t="n">
        <v>6</v>
      </c>
      <c r="I154" s="23" t="n">
        <v>0</v>
      </c>
      <c r="J154" s="23" t="n">
        <v>0</v>
      </c>
      <c r="K154" s="24" t="n">
        <v>229</v>
      </c>
      <c r="L154" s="24" t="n">
        <v>1374</v>
      </c>
      <c r="M154" s="81" t="s">
        <v>61</v>
      </c>
    </row>
    <row r="155" customFormat="false" ht="12.75" hidden="false" customHeight="true" outlineLevel="0" collapsed="false">
      <c r="B155" s="27" t="s">
        <v>167</v>
      </c>
      <c r="C155" s="27" t="s">
        <v>256</v>
      </c>
      <c r="D155" s="27" t="s">
        <v>257</v>
      </c>
      <c r="E155" s="27" t="s">
        <v>15</v>
      </c>
      <c r="F155" s="77"/>
      <c r="G155" s="28" t="n">
        <v>2</v>
      </c>
      <c r="H155" s="28" t="n">
        <v>2</v>
      </c>
      <c r="I155" s="28" t="n">
        <v>0</v>
      </c>
      <c r="J155" s="28" t="n">
        <v>0</v>
      </c>
      <c r="K155" s="29" t="n">
        <v>444</v>
      </c>
      <c r="L155" s="29" t="n">
        <v>888</v>
      </c>
      <c r="M155" s="78" t="s">
        <v>61</v>
      </c>
    </row>
    <row r="156" customFormat="false" ht="12.75" hidden="false" customHeight="true" outlineLevel="0" collapsed="false">
      <c r="B156" s="22" t="s">
        <v>167</v>
      </c>
      <c r="C156" s="22" t="s">
        <v>258</v>
      </c>
      <c r="D156" s="22" t="s">
        <v>249</v>
      </c>
      <c r="E156" s="22" t="s">
        <v>15</v>
      </c>
      <c r="F156" s="80"/>
      <c r="G156" s="23" t="n">
        <v>2</v>
      </c>
      <c r="H156" s="23" t="n">
        <v>2</v>
      </c>
      <c r="I156" s="23" t="n">
        <v>0</v>
      </c>
      <c r="J156" s="23" t="n">
        <v>0</v>
      </c>
      <c r="K156" s="24" t="n">
        <v>400</v>
      </c>
      <c r="L156" s="24" t="n">
        <v>800</v>
      </c>
      <c r="M156" s="81" t="s">
        <v>61</v>
      </c>
    </row>
    <row r="157" customFormat="false" ht="12.75" hidden="false" customHeight="true" outlineLevel="0" collapsed="false">
      <c r="B157" s="27" t="s">
        <v>167</v>
      </c>
      <c r="C157" s="27" t="s">
        <v>259</v>
      </c>
      <c r="D157" s="27" t="s">
        <v>251</v>
      </c>
      <c r="E157" s="27" t="s">
        <v>15</v>
      </c>
      <c r="F157" s="77"/>
      <c r="G157" s="28" t="n">
        <v>2</v>
      </c>
      <c r="H157" s="28" t="n">
        <v>81</v>
      </c>
      <c r="I157" s="28" t="n">
        <v>0</v>
      </c>
      <c r="J157" s="28" t="n">
        <v>79</v>
      </c>
      <c r="K157" s="29" t="n">
        <v>368</v>
      </c>
      <c r="L157" s="29" t="n">
        <v>736</v>
      </c>
      <c r="M157" s="78" t="s">
        <v>61</v>
      </c>
    </row>
    <row r="158" customFormat="false" ht="12.75" hidden="false" customHeight="true" outlineLevel="0" collapsed="false">
      <c r="B158" s="22" t="s">
        <v>167</v>
      </c>
      <c r="C158" s="22" t="s">
        <v>260</v>
      </c>
      <c r="D158" s="22" t="s">
        <v>261</v>
      </c>
      <c r="E158" s="22" t="s">
        <v>15</v>
      </c>
      <c r="F158" s="80"/>
      <c r="G158" s="23" t="n">
        <v>5</v>
      </c>
      <c r="H158" s="23" t="n">
        <v>5</v>
      </c>
      <c r="I158" s="23" t="n">
        <v>0</v>
      </c>
      <c r="J158" s="23" t="n">
        <v>0</v>
      </c>
      <c r="K158" s="24" t="n">
        <v>105</v>
      </c>
      <c r="L158" s="24" t="n">
        <v>525</v>
      </c>
      <c r="M158" s="81" t="s">
        <v>61</v>
      </c>
    </row>
    <row r="159" customFormat="false" ht="12.75" hidden="false" customHeight="true" outlineLevel="0" collapsed="false">
      <c r="B159" s="27" t="s">
        <v>167</v>
      </c>
      <c r="C159" s="27" t="s">
        <v>262</v>
      </c>
      <c r="D159" s="27" t="s">
        <v>263</v>
      </c>
      <c r="E159" s="27" t="s">
        <v>15</v>
      </c>
      <c r="F159" s="77"/>
      <c r="G159" s="28" t="n">
        <v>2</v>
      </c>
      <c r="H159" s="28" t="n">
        <v>2</v>
      </c>
      <c r="I159" s="28" t="n">
        <v>0</v>
      </c>
      <c r="J159" s="28" t="n">
        <v>0</v>
      </c>
      <c r="K159" s="29" t="n">
        <v>239</v>
      </c>
      <c r="L159" s="29" t="n">
        <v>478</v>
      </c>
      <c r="M159" s="78" t="s">
        <v>61</v>
      </c>
    </row>
    <row r="160" customFormat="false" ht="12.75" hidden="false" customHeight="true" outlineLevel="0" collapsed="false">
      <c r="B160" s="22" t="s">
        <v>167</v>
      </c>
      <c r="C160" s="22" t="s">
        <v>264</v>
      </c>
      <c r="D160" s="22" t="s">
        <v>251</v>
      </c>
      <c r="E160" s="22" t="s">
        <v>15</v>
      </c>
      <c r="F160" s="80"/>
      <c r="G160" s="23" t="n">
        <v>0</v>
      </c>
      <c r="H160" s="23" t="n">
        <v>16</v>
      </c>
      <c r="I160" s="23" t="n">
        <v>109</v>
      </c>
      <c r="J160" s="23" t="n">
        <v>125</v>
      </c>
      <c r="K160" s="24" t="n">
        <v>300</v>
      </c>
      <c r="L160" s="23"/>
      <c r="M160" s="81" t="s">
        <v>61</v>
      </c>
    </row>
    <row r="161" customFormat="false" ht="12.75" hidden="false" customHeight="true" outlineLevel="0" collapsed="false">
      <c r="B161" s="61"/>
      <c r="C161" s="62" t="s">
        <v>172</v>
      </c>
      <c r="D161" s="62"/>
      <c r="E161" s="62"/>
      <c r="F161" s="62"/>
      <c r="G161" s="63" t="n">
        <v>1312</v>
      </c>
      <c r="H161" s="61"/>
      <c r="I161" s="61"/>
      <c r="J161" s="61"/>
      <c r="K161" s="61"/>
      <c r="L161" s="63" t="n">
        <v>147425</v>
      </c>
      <c r="M161" s="61"/>
    </row>
    <row r="162" customFormat="false" ht="12.75" hidden="false" customHeight="true" outlineLevel="0" collapsed="false">
      <c r="B162" s="27" t="s">
        <v>265</v>
      </c>
      <c r="C162" s="76" t="s">
        <v>266</v>
      </c>
      <c r="D162" s="76" t="s">
        <v>267</v>
      </c>
      <c r="E162" s="27" t="s">
        <v>15</v>
      </c>
      <c r="F162" s="77"/>
      <c r="G162" s="28" t="n">
        <v>0</v>
      </c>
      <c r="H162" s="28" t="n">
        <v>2</v>
      </c>
      <c r="I162" s="28" t="n">
        <v>0</v>
      </c>
      <c r="J162" s="28" t="n">
        <v>2</v>
      </c>
      <c r="K162" s="29" t="n">
        <v>252.79</v>
      </c>
      <c r="L162" s="28"/>
      <c r="M162" s="78" t="s">
        <v>61</v>
      </c>
    </row>
    <row r="163" customFormat="false" ht="12.75" hidden="false" customHeight="true" outlineLevel="0" collapsed="false">
      <c r="B163" s="22" t="s">
        <v>265</v>
      </c>
      <c r="C163" s="79" t="s">
        <v>268</v>
      </c>
      <c r="D163" s="79" t="s">
        <v>267</v>
      </c>
      <c r="E163" s="22" t="s">
        <v>15</v>
      </c>
      <c r="F163" s="80"/>
      <c r="G163" s="23" t="n">
        <v>0</v>
      </c>
      <c r="H163" s="23" t="n">
        <v>0</v>
      </c>
      <c r="I163" s="23" t="n">
        <v>1</v>
      </c>
      <c r="J163" s="23" t="n">
        <v>1</v>
      </c>
      <c r="K163" s="24" t="n">
        <v>1000</v>
      </c>
      <c r="L163" s="23"/>
      <c r="M163" s="81" t="s">
        <v>61</v>
      </c>
    </row>
    <row r="164" customFormat="false" ht="12.75" hidden="false" customHeight="true" outlineLevel="0" collapsed="false">
      <c r="B164" s="27" t="s">
        <v>265</v>
      </c>
      <c r="C164" s="76" t="s">
        <v>269</v>
      </c>
      <c r="D164" s="76" t="s">
        <v>267</v>
      </c>
      <c r="E164" s="27" t="s">
        <v>15</v>
      </c>
      <c r="F164" s="77"/>
      <c r="G164" s="28" t="n">
        <v>0</v>
      </c>
      <c r="H164" s="28" t="n">
        <v>0</v>
      </c>
      <c r="I164" s="28" t="n">
        <v>1</v>
      </c>
      <c r="J164" s="28" t="n">
        <v>1</v>
      </c>
      <c r="K164" s="29" t="n">
        <v>1000</v>
      </c>
      <c r="L164" s="28"/>
      <c r="M164" s="78" t="s">
        <v>61</v>
      </c>
    </row>
    <row r="165" customFormat="false" ht="12.75" hidden="false" customHeight="true" outlineLevel="0" collapsed="false">
      <c r="B165" s="61"/>
      <c r="C165" s="62" t="s">
        <v>270</v>
      </c>
      <c r="D165" s="62"/>
      <c r="E165" s="62"/>
      <c r="F165" s="62"/>
      <c r="G165" s="63" t="n">
        <v>0</v>
      </c>
      <c r="H165" s="61"/>
      <c r="I165" s="61"/>
      <c r="J165" s="61"/>
      <c r="K165" s="61"/>
      <c r="L165" s="63" t="n">
        <v>0</v>
      </c>
      <c r="M165" s="61"/>
    </row>
    <row r="166" customFormat="false" ht="12.75" hidden="false" customHeight="true" outlineLevel="0" collapsed="false">
      <c r="B166" s="27" t="s">
        <v>271</v>
      </c>
      <c r="C166" s="76" t="s">
        <v>272</v>
      </c>
      <c r="D166" s="76" t="s">
        <v>213</v>
      </c>
      <c r="E166" s="27" t="s">
        <v>15</v>
      </c>
      <c r="F166" s="77"/>
      <c r="G166" s="28" t="n">
        <v>24</v>
      </c>
      <c r="H166" s="28" t="n">
        <v>24</v>
      </c>
      <c r="I166" s="28" t="n">
        <v>0</v>
      </c>
      <c r="J166" s="28" t="n">
        <v>0</v>
      </c>
      <c r="K166" s="29" t="n">
        <v>1882</v>
      </c>
      <c r="L166" s="29" t="n">
        <v>45168</v>
      </c>
      <c r="M166" s="78" t="s">
        <v>61</v>
      </c>
    </row>
    <row r="167" customFormat="false" ht="12.75" hidden="false" customHeight="true" outlineLevel="0" collapsed="false">
      <c r="B167" s="22" t="s">
        <v>271</v>
      </c>
      <c r="C167" s="79" t="s">
        <v>273</v>
      </c>
      <c r="D167" s="79" t="s">
        <v>213</v>
      </c>
      <c r="E167" s="22" t="s">
        <v>15</v>
      </c>
      <c r="F167" s="80"/>
      <c r="G167" s="23" t="n">
        <v>24</v>
      </c>
      <c r="H167" s="23" t="n">
        <v>24</v>
      </c>
      <c r="I167" s="23" t="n">
        <v>0</v>
      </c>
      <c r="J167" s="23" t="n">
        <v>0</v>
      </c>
      <c r="K167" s="24" t="n">
        <v>882</v>
      </c>
      <c r="L167" s="24" t="n">
        <v>21168</v>
      </c>
      <c r="M167" s="81" t="s">
        <v>61</v>
      </c>
    </row>
    <row r="168" customFormat="false" ht="12.75" hidden="false" customHeight="true" outlineLevel="0" collapsed="false">
      <c r="B168" s="27" t="s">
        <v>271</v>
      </c>
      <c r="C168" s="76" t="s">
        <v>274</v>
      </c>
      <c r="D168" s="76" t="s">
        <v>275</v>
      </c>
      <c r="E168" s="27" t="s">
        <v>15</v>
      </c>
      <c r="F168" s="77"/>
      <c r="G168" s="28" t="n">
        <v>15</v>
      </c>
      <c r="H168" s="28" t="n">
        <v>15</v>
      </c>
      <c r="I168" s="28" t="n">
        <v>0</v>
      </c>
      <c r="J168" s="28" t="n">
        <v>0</v>
      </c>
      <c r="K168" s="29" t="n">
        <v>1150</v>
      </c>
      <c r="L168" s="29" t="n">
        <v>17250</v>
      </c>
      <c r="M168" s="78" t="s">
        <v>61</v>
      </c>
    </row>
    <row r="169" customFormat="false" ht="12.75" hidden="false" customHeight="true" outlineLevel="0" collapsed="false">
      <c r="B169" s="22" t="s">
        <v>271</v>
      </c>
      <c r="C169" s="79" t="s">
        <v>276</v>
      </c>
      <c r="D169" s="79" t="s">
        <v>213</v>
      </c>
      <c r="E169" s="22" t="s">
        <v>15</v>
      </c>
      <c r="F169" s="80"/>
      <c r="G169" s="23" t="n">
        <v>24</v>
      </c>
      <c r="H169" s="23" t="n">
        <v>24</v>
      </c>
      <c r="I169" s="23" t="n">
        <v>0</v>
      </c>
      <c r="J169" s="23" t="n">
        <v>0</v>
      </c>
      <c r="K169" s="24" t="n">
        <v>267</v>
      </c>
      <c r="L169" s="24" t="n">
        <v>6408</v>
      </c>
      <c r="M169" s="81" t="s">
        <v>61</v>
      </c>
    </row>
    <row r="170" customFormat="false" ht="12.75" hidden="false" customHeight="true" outlineLevel="0" collapsed="false">
      <c r="B170" s="27" t="s">
        <v>271</v>
      </c>
      <c r="C170" s="76" t="s">
        <v>277</v>
      </c>
      <c r="D170" s="76" t="s">
        <v>213</v>
      </c>
      <c r="E170" s="27" t="s">
        <v>15</v>
      </c>
      <c r="F170" s="77"/>
      <c r="G170" s="28" t="n">
        <v>24</v>
      </c>
      <c r="H170" s="28" t="n">
        <v>24</v>
      </c>
      <c r="I170" s="28" t="n">
        <v>0</v>
      </c>
      <c r="J170" s="28" t="n">
        <v>0</v>
      </c>
      <c r="K170" s="29" t="n">
        <v>120</v>
      </c>
      <c r="L170" s="29" t="n">
        <v>2880</v>
      </c>
      <c r="M170" s="78" t="s">
        <v>61</v>
      </c>
    </row>
    <row r="171" customFormat="false" ht="12.75" hidden="false" customHeight="true" outlineLevel="0" collapsed="false">
      <c r="B171" s="22" t="s">
        <v>271</v>
      </c>
      <c r="C171" s="79" t="s">
        <v>278</v>
      </c>
      <c r="D171" s="79" t="s">
        <v>213</v>
      </c>
      <c r="E171" s="22" t="s">
        <v>15</v>
      </c>
      <c r="F171" s="80"/>
      <c r="G171" s="23" t="n">
        <v>24</v>
      </c>
      <c r="H171" s="23" t="n">
        <v>24</v>
      </c>
      <c r="I171" s="23" t="n">
        <v>0</v>
      </c>
      <c r="J171" s="23" t="n">
        <v>0</v>
      </c>
      <c r="K171" s="24" t="n">
        <v>80</v>
      </c>
      <c r="L171" s="24" t="n">
        <v>1920</v>
      </c>
      <c r="M171" s="81" t="s">
        <v>61</v>
      </c>
    </row>
    <row r="172" customFormat="false" ht="12.75" hidden="false" customHeight="true" outlineLevel="0" collapsed="false">
      <c r="B172" s="61"/>
      <c r="C172" s="62" t="s">
        <v>279</v>
      </c>
      <c r="D172" s="62"/>
      <c r="E172" s="62"/>
      <c r="F172" s="62"/>
      <c r="G172" s="63" t="n">
        <v>135</v>
      </c>
      <c r="H172" s="61"/>
      <c r="I172" s="61"/>
      <c r="J172" s="61"/>
      <c r="K172" s="61"/>
      <c r="L172" s="63" t="n">
        <v>94794</v>
      </c>
      <c r="M172" s="61"/>
    </row>
    <row r="173" customFormat="false" ht="12.75" hidden="false" customHeight="true" outlineLevel="0" collapsed="false">
      <c r="B173" s="27" t="s">
        <v>280</v>
      </c>
      <c r="C173" s="76" t="s">
        <v>281</v>
      </c>
      <c r="D173" s="76" t="s">
        <v>213</v>
      </c>
      <c r="E173" s="27" t="s">
        <v>15</v>
      </c>
      <c r="F173" s="77"/>
      <c r="G173" s="28" t="n">
        <v>16</v>
      </c>
      <c r="H173" s="28" t="n">
        <v>16</v>
      </c>
      <c r="I173" s="28" t="n">
        <v>0</v>
      </c>
      <c r="J173" s="28" t="n">
        <v>0</v>
      </c>
      <c r="K173" s="29" t="n">
        <v>5108.88</v>
      </c>
      <c r="L173" s="29" t="n">
        <v>81742.08</v>
      </c>
      <c r="M173" s="78" t="s">
        <v>61</v>
      </c>
    </row>
    <row r="174" customFormat="false" ht="12.75" hidden="false" customHeight="true" outlineLevel="0" collapsed="false">
      <c r="B174" s="22" t="s">
        <v>280</v>
      </c>
      <c r="C174" s="79" t="s">
        <v>282</v>
      </c>
      <c r="D174" s="79" t="s">
        <v>283</v>
      </c>
      <c r="E174" s="22" t="s">
        <v>15</v>
      </c>
      <c r="F174" s="80"/>
      <c r="G174" s="23" t="n">
        <v>24</v>
      </c>
      <c r="H174" s="23" t="n">
        <v>0</v>
      </c>
      <c r="I174" s="23" t="n">
        <v>27</v>
      </c>
      <c r="J174" s="23" t="n">
        <v>3</v>
      </c>
      <c r="K174" s="23"/>
      <c r="L174" s="82" t="s">
        <v>104</v>
      </c>
      <c r="M174" s="81" t="s">
        <v>61</v>
      </c>
    </row>
    <row r="175" customFormat="false" ht="12.75" hidden="false" customHeight="true" outlineLevel="0" collapsed="false">
      <c r="B175" s="27" t="s">
        <v>280</v>
      </c>
      <c r="C175" s="76" t="s">
        <v>284</v>
      </c>
      <c r="D175" s="76" t="s">
        <v>283</v>
      </c>
      <c r="E175" s="27" t="s">
        <v>15</v>
      </c>
      <c r="F175" s="77"/>
      <c r="G175" s="28" t="n">
        <v>25</v>
      </c>
      <c r="H175" s="28" t="n">
        <v>0</v>
      </c>
      <c r="I175" s="28" t="n">
        <v>28</v>
      </c>
      <c r="J175" s="28" t="n">
        <v>3</v>
      </c>
      <c r="K175" s="28"/>
      <c r="L175" s="83" t="s">
        <v>104</v>
      </c>
      <c r="M175" s="78" t="s">
        <v>61</v>
      </c>
    </row>
    <row r="176" customFormat="false" ht="12.75" hidden="false" customHeight="true" outlineLevel="0" collapsed="false">
      <c r="B176" s="61"/>
      <c r="C176" s="62" t="s">
        <v>285</v>
      </c>
      <c r="D176" s="62"/>
      <c r="E176" s="62"/>
      <c r="F176" s="62"/>
      <c r="G176" s="63" t="n">
        <v>65</v>
      </c>
      <c r="H176" s="61"/>
      <c r="I176" s="61"/>
      <c r="J176" s="61"/>
      <c r="K176" s="61"/>
      <c r="L176" s="63" t="n">
        <v>81742.08</v>
      </c>
      <c r="M176" s="61"/>
    </row>
    <row r="177" customFormat="false" ht="12.75" hidden="false" customHeight="true" outlineLevel="0" collapsed="false">
      <c r="B177" s="27" t="s">
        <v>73</v>
      </c>
      <c r="C177" s="76" t="s">
        <v>286</v>
      </c>
      <c r="D177" s="76" t="s">
        <v>287</v>
      </c>
      <c r="E177" s="27" t="s">
        <v>15</v>
      </c>
      <c r="F177" s="77"/>
      <c r="G177" s="28" t="n">
        <v>223</v>
      </c>
      <c r="H177" s="28" t="n">
        <v>224</v>
      </c>
      <c r="I177" s="28" t="n">
        <v>0</v>
      </c>
      <c r="J177" s="28" t="n">
        <v>1</v>
      </c>
      <c r="K177" s="29" t="n">
        <v>1200</v>
      </c>
      <c r="L177" s="29" t="n">
        <v>267600</v>
      </c>
      <c r="M177" s="78" t="s">
        <v>61</v>
      </c>
    </row>
    <row r="178" customFormat="false" ht="12.75" hidden="false" customHeight="true" outlineLevel="0" collapsed="false">
      <c r="B178" s="22" t="s">
        <v>73</v>
      </c>
      <c r="C178" s="79" t="s">
        <v>288</v>
      </c>
      <c r="D178" s="79" t="s">
        <v>289</v>
      </c>
      <c r="E178" s="22" t="s">
        <v>15</v>
      </c>
      <c r="F178" s="80"/>
      <c r="G178" s="23" t="n">
        <v>54</v>
      </c>
      <c r="H178" s="23" t="n">
        <v>11</v>
      </c>
      <c r="I178" s="23" t="n">
        <v>47</v>
      </c>
      <c r="J178" s="23" t="n">
        <v>4</v>
      </c>
      <c r="K178" s="24" t="n">
        <v>700</v>
      </c>
      <c r="L178" s="24" t="n">
        <v>37800</v>
      </c>
      <c r="M178" s="81" t="s">
        <v>61</v>
      </c>
    </row>
    <row r="179" customFormat="false" ht="12.75" hidden="false" customHeight="true" outlineLevel="0" collapsed="false">
      <c r="B179" s="27" t="s">
        <v>73</v>
      </c>
      <c r="C179" s="76" t="s">
        <v>290</v>
      </c>
      <c r="D179" s="76" t="s">
        <v>291</v>
      </c>
      <c r="E179" s="27" t="s">
        <v>15</v>
      </c>
      <c r="F179" s="77"/>
      <c r="G179" s="28" t="n">
        <v>110</v>
      </c>
      <c r="H179" s="28" t="n">
        <v>148</v>
      </c>
      <c r="I179" s="28" t="n">
        <v>44</v>
      </c>
      <c r="J179" s="28" t="n">
        <v>82</v>
      </c>
      <c r="K179" s="29" t="n">
        <v>303</v>
      </c>
      <c r="L179" s="29" t="n">
        <v>33330</v>
      </c>
      <c r="M179" s="78" t="s">
        <v>61</v>
      </c>
    </row>
    <row r="180" customFormat="false" ht="12.75" hidden="false" customHeight="true" outlineLevel="0" collapsed="false">
      <c r="B180" s="22" t="s">
        <v>73</v>
      </c>
      <c r="C180" s="79" t="s">
        <v>292</v>
      </c>
      <c r="D180" s="79" t="s">
        <v>289</v>
      </c>
      <c r="E180" s="22" t="s">
        <v>15</v>
      </c>
      <c r="F180" s="80"/>
      <c r="G180" s="23" t="n">
        <v>32</v>
      </c>
      <c r="H180" s="23" t="n">
        <v>32</v>
      </c>
      <c r="I180" s="23" t="n">
        <v>0</v>
      </c>
      <c r="J180" s="23" t="n">
        <v>0</v>
      </c>
      <c r="K180" s="24" t="n">
        <v>430</v>
      </c>
      <c r="L180" s="24" t="n">
        <v>13760</v>
      </c>
      <c r="M180" s="81" t="s">
        <v>61</v>
      </c>
    </row>
    <row r="181" customFormat="false" ht="12.75" hidden="false" customHeight="true" outlineLevel="0" collapsed="false">
      <c r="B181" s="27" t="s">
        <v>73</v>
      </c>
      <c r="C181" s="76" t="s">
        <v>293</v>
      </c>
      <c r="D181" s="76" t="s">
        <v>287</v>
      </c>
      <c r="E181" s="27" t="s">
        <v>15</v>
      </c>
      <c r="F181" s="77"/>
      <c r="G181" s="28" t="n">
        <v>4</v>
      </c>
      <c r="H181" s="28" t="n">
        <v>4</v>
      </c>
      <c r="I181" s="28" t="n">
        <v>0</v>
      </c>
      <c r="J181" s="28" t="n">
        <v>0</v>
      </c>
      <c r="K181" s="29" t="n">
        <v>2300</v>
      </c>
      <c r="L181" s="29" t="n">
        <v>9200</v>
      </c>
      <c r="M181" s="78" t="s">
        <v>61</v>
      </c>
    </row>
    <row r="182" customFormat="false" ht="12.75" hidden="false" customHeight="true" outlineLevel="0" collapsed="false">
      <c r="B182" s="22" t="s">
        <v>73</v>
      </c>
      <c r="C182" s="79" t="s">
        <v>294</v>
      </c>
      <c r="D182" s="79" t="s">
        <v>289</v>
      </c>
      <c r="E182" s="22" t="s">
        <v>15</v>
      </c>
      <c r="F182" s="80"/>
      <c r="G182" s="23" t="n">
        <v>1</v>
      </c>
      <c r="H182" s="23" t="n">
        <v>1</v>
      </c>
      <c r="I182" s="23" t="n">
        <v>0</v>
      </c>
      <c r="J182" s="23" t="n">
        <v>0</v>
      </c>
      <c r="K182" s="24" t="n">
        <v>2430</v>
      </c>
      <c r="L182" s="24" t="n">
        <v>2430</v>
      </c>
      <c r="M182" s="81" t="s">
        <v>61</v>
      </c>
    </row>
    <row r="183" customFormat="false" ht="12.75" hidden="false" customHeight="true" outlineLevel="0" collapsed="false">
      <c r="B183" s="27" t="s">
        <v>73</v>
      </c>
      <c r="C183" s="27" t="s">
        <v>295</v>
      </c>
      <c r="D183" s="27" t="s">
        <v>296</v>
      </c>
      <c r="E183" s="27" t="s">
        <v>15</v>
      </c>
      <c r="F183" s="77"/>
      <c r="G183" s="28" t="n">
        <v>1</v>
      </c>
      <c r="H183" s="28" t="n">
        <v>6</v>
      </c>
      <c r="I183" s="28" t="n">
        <v>0</v>
      </c>
      <c r="J183" s="28" t="n">
        <v>5</v>
      </c>
      <c r="K183" s="29" t="n">
        <v>2400</v>
      </c>
      <c r="L183" s="29" t="n">
        <v>2400</v>
      </c>
      <c r="M183" s="78" t="s">
        <v>61</v>
      </c>
    </row>
    <row r="184" customFormat="false" ht="12.75" hidden="false" customHeight="true" outlineLevel="0" collapsed="false">
      <c r="B184" s="22" t="s">
        <v>73</v>
      </c>
      <c r="C184" s="22" t="s">
        <v>297</v>
      </c>
      <c r="D184" s="22" t="s">
        <v>296</v>
      </c>
      <c r="E184" s="22" t="s">
        <v>15</v>
      </c>
      <c r="F184" s="80"/>
      <c r="G184" s="23" t="n">
        <v>1</v>
      </c>
      <c r="H184" s="23" t="n">
        <v>1</v>
      </c>
      <c r="I184" s="23" t="n">
        <v>0</v>
      </c>
      <c r="J184" s="23" t="n">
        <v>0</v>
      </c>
      <c r="K184" s="24" t="n">
        <v>1000</v>
      </c>
      <c r="L184" s="24" t="n">
        <v>1000</v>
      </c>
      <c r="M184" s="81" t="s">
        <v>61</v>
      </c>
    </row>
    <row r="185" customFormat="false" ht="12.75" hidden="false" customHeight="true" outlineLevel="0" collapsed="false">
      <c r="B185" s="27" t="s">
        <v>73</v>
      </c>
      <c r="C185" s="76" t="s">
        <v>298</v>
      </c>
      <c r="D185" s="76" t="s">
        <v>289</v>
      </c>
      <c r="E185" s="27" t="s">
        <v>15</v>
      </c>
      <c r="F185" s="77"/>
      <c r="G185" s="28" t="n">
        <v>1</v>
      </c>
      <c r="H185" s="28" t="n">
        <v>1</v>
      </c>
      <c r="I185" s="28" t="n">
        <v>0</v>
      </c>
      <c r="J185" s="28" t="n">
        <v>0</v>
      </c>
      <c r="K185" s="29" t="n">
        <v>120</v>
      </c>
      <c r="L185" s="29" t="n">
        <v>120</v>
      </c>
      <c r="M185" s="78" t="s">
        <v>61</v>
      </c>
    </row>
    <row r="186" customFormat="false" ht="12.75" hidden="false" customHeight="true" outlineLevel="0" collapsed="false">
      <c r="B186" s="22" t="s">
        <v>73</v>
      </c>
      <c r="C186" s="79" t="s">
        <v>299</v>
      </c>
      <c r="D186" s="79" t="s">
        <v>287</v>
      </c>
      <c r="E186" s="22" t="s">
        <v>15</v>
      </c>
      <c r="F186" s="80"/>
      <c r="G186" s="23" t="n">
        <v>2</v>
      </c>
      <c r="H186" s="23" t="n">
        <v>2</v>
      </c>
      <c r="I186" s="23" t="n">
        <v>0</v>
      </c>
      <c r="J186" s="23" t="n">
        <v>0</v>
      </c>
      <c r="K186" s="23"/>
      <c r="L186" s="82" t="s">
        <v>104</v>
      </c>
      <c r="M186" s="81" t="s">
        <v>61</v>
      </c>
    </row>
    <row r="187" customFormat="false" ht="12.75" hidden="false" customHeight="true" outlineLevel="0" collapsed="false">
      <c r="B187" s="27" t="s">
        <v>73</v>
      </c>
      <c r="C187" s="76" t="s">
        <v>300</v>
      </c>
      <c r="D187" s="76" t="s">
        <v>287</v>
      </c>
      <c r="E187" s="27" t="s">
        <v>15</v>
      </c>
      <c r="F187" s="77"/>
      <c r="G187" s="28" t="n">
        <v>1</v>
      </c>
      <c r="H187" s="28" t="n">
        <v>2</v>
      </c>
      <c r="I187" s="28" t="n">
        <v>0</v>
      </c>
      <c r="J187" s="28" t="n">
        <v>1</v>
      </c>
      <c r="K187" s="28"/>
      <c r="L187" s="83" t="s">
        <v>104</v>
      </c>
      <c r="M187" s="78" t="s">
        <v>61</v>
      </c>
    </row>
    <row r="188" customFormat="false" ht="12.75" hidden="false" customHeight="true" outlineLevel="0" collapsed="false">
      <c r="B188" s="61"/>
      <c r="C188" s="62" t="s">
        <v>83</v>
      </c>
      <c r="D188" s="62"/>
      <c r="E188" s="62"/>
      <c r="F188" s="62"/>
      <c r="G188" s="63" t="n">
        <v>430</v>
      </c>
      <c r="H188" s="61"/>
      <c r="I188" s="61"/>
      <c r="J188" s="61"/>
      <c r="K188" s="61"/>
      <c r="L188" s="63" t="n">
        <v>367640</v>
      </c>
      <c r="M188" s="61"/>
    </row>
    <row r="189" customFormat="false" ht="12.75" hidden="false" customHeight="true" outlineLevel="0" collapsed="false">
      <c r="B189" s="27" t="s">
        <v>84</v>
      </c>
      <c r="C189" s="76" t="s">
        <v>301</v>
      </c>
      <c r="D189" s="76" t="s">
        <v>302</v>
      </c>
      <c r="E189" s="27" t="s">
        <v>15</v>
      </c>
      <c r="F189" s="77"/>
      <c r="G189" s="28" t="n">
        <v>1</v>
      </c>
      <c r="H189" s="28" t="n">
        <v>0</v>
      </c>
      <c r="I189" s="28" t="n">
        <v>1</v>
      </c>
      <c r="J189" s="28" t="n">
        <v>0</v>
      </c>
      <c r="K189" s="28"/>
      <c r="L189" s="83" t="s">
        <v>104</v>
      </c>
      <c r="M189" s="78" t="s">
        <v>61</v>
      </c>
    </row>
    <row r="190" customFormat="false" ht="12.75" hidden="false" customHeight="true" outlineLevel="0" collapsed="false">
      <c r="B190" s="22" t="s">
        <v>84</v>
      </c>
      <c r="C190" s="79" t="s">
        <v>303</v>
      </c>
      <c r="D190" s="79" t="s">
        <v>304</v>
      </c>
      <c r="E190" s="22" t="s">
        <v>15</v>
      </c>
      <c r="F190" s="80"/>
      <c r="G190" s="23" t="n">
        <v>1</v>
      </c>
      <c r="H190" s="23" t="n">
        <v>1</v>
      </c>
      <c r="I190" s="23" t="n">
        <v>0</v>
      </c>
      <c r="J190" s="23" t="n">
        <v>0</v>
      </c>
      <c r="K190" s="23"/>
      <c r="L190" s="82" t="s">
        <v>104</v>
      </c>
      <c r="M190" s="81" t="s">
        <v>61</v>
      </c>
    </row>
    <row r="191" customFormat="false" ht="12.75" hidden="false" customHeight="true" outlineLevel="0" collapsed="false">
      <c r="B191" s="61"/>
      <c r="C191" s="62" t="s">
        <v>105</v>
      </c>
      <c r="D191" s="62"/>
      <c r="E191" s="62"/>
      <c r="F191" s="62"/>
      <c r="G191" s="63" t="n">
        <v>2</v>
      </c>
      <c r="H191" s="61"/>
      <c r="I191" s="61"/>
      <c r="J191" s="61"/>
      <c r="K191" s="61"/>
      <c r="L191" s="63" t="n">
        <v>0</v>
      </c>
      <c r="M191" s="61"/>
    </row>
    <row r="192" customFormat="false" ht="12.75" hidden="false" customHeight="true" outlineLevel="0" collapsed="false">
      <c r="B192" s="27" t="s">
        <v>106</v>
      </c>
      <c r="C192" s="76" t="s">
        <v>305</v>
      </c>
      <c r="D192" s="76" t="s">
        <v>178</v>
      </c>
      <c r="E192" s="27" t="s">
        <v>15</v>
      </c>
      <c r="F192" s="77"/>
      <c r="G192" s="28" t="n">
        <v>2</v>
      </c>
      <c r="H192" s="28" t="n">
        <v>0</v>
      </c>
      <c r="I192" s="28" t="n">
        <v>2</v>
      </c>
      <c r="J192" s="28" t="n">
        <v>0</v>
      </c>
      <c r="K192" s="29" t="n">
        <v>2650</v>
      </c>
      <c r="L192" s="29" t="n">
        <v>5300</v>
      </c>
      <c r="M192" s="78" t="s">
        <v>61</v>
      </c>
    </row>
    <row r="193" customFormat="false" ht="12.75" hidden="false" customHeight="true" outlineLevel="0" collapsed="false">
      <c r="B193" s="22" t="s">
        <v>106</v>
      </c>
      <c r="C193" s="79" t="s">
        <v>306</v>
      </c>
      <c r="D193" s="79" t="s">
        <v>178</v>
      </c>
      <c r="E193" s="22" t="s">
        <v>15</v>
      </c>
      <c r="F193" s="80"/>
      <c r="G193" s="23" t="n">
        <v>2</v>
      </c>
      <c r="H193" s="23" t="n">
        <v>3</v>
      </c>
      <c r="I193" s="23" t="n">
        <v>0</v>
      </c>
      <c r="J193" s="23" t="n">
        <v>1</v>
      </c>
      <c r="K193" s="24" t="n">
        <v>1580</v>
      </c>
      <c r="L193" s="24" t="n">
        <v>3160</v>
      </c>
      <c r="M193" s="81" t="s">
        <v>61</v>
      </c>
    </row>
    <row r="194" customFormat="false" ht="12.75" hidden="false" customHeight="true" outlineLevel="0" collapsed="false">
      <c r="B194" s="27" t="s">
        <v>106</v>
      </c>
      <c r="C194" s="76" t="s">
        <v>307</v>
      </c>
      <c r="D194" s="76" t="s">
        <v>178</v>
      </c>
      <c r="E194" s="27" t="s">
        <v>15</v>
      </c>
      <c r="F194" s="77"/>
      <c r="G194" s="28" t="n">
        <v>0</v>
      </c>
      <c r="H194" s="28" t="n">
        <v>1</v>
      </c>
      <c r="I194" s="28" t="n">
        <v>0</v>
      </c>
      <c r="J194" s="28" t="n">
        <v>1</v>
      </c>
      <c r="K194" s="29" t="n">
        <v>1580</v>
      </c>
      <c r="L194" s="28"/>
      <c r="M194" s="78" t="s">
        <v>61</v>
      </c>
    </row>
    <row r="195" customFormat="false" ht="12.75" hidden="false" customHeight="true" outlineLevel="0" collapsed="false">
      <c r="B195" s="22" t="s">
        <v>106</v>
      </c>
      <c r="C195" s="79" t="s">
        <v>308</v>
      </c>
      <c r="D195" s="79" t="s">
        <v>178</v>
      </c>
      <c r="E195" s="22" t="s">
        <v>15</v>
      </c>
      <c r="F195" s="80"/>
      <c r="G195" s="23" t="n">
        <v>0</v>
      </c>
      <c r="H195" s="23" t="n">
        <v>0</v>
      </c>
      <c r="I195" s="23" t="n">
        <v>1</v>
      </c>
      <c r="J195" s="23" t="n">
        <v>1</v>
      </c>
      <c r="K195" s="24" t="n">
        <v>2650</v>
      </c>
      <c r="L195" s="23"/>
      <c r="M195" s="81" t="s">
        <v>61</v>
      </c>
    </row>
    <row r="196" customFormat="false" ht="12.75" hidden="false" customHeight="true" outlineLevel="0" collapsed="false">
      <c r="B196" s="61"/>
      <c r="C196" s="62" t="s">
        <v>109</v>
      </c>
      <c r="D196" s="62"/>
      <c r="E196" s="62"/>
      <c r="F196" s="62"/>
      <c r="G196" s="63" t="n">
        <v>4</v>
      </c>
      <c r="H196" s="61"/>
      <c r="I196" s="61"/>
      <c r="J196" s="61"/>
      <c r="K196" s="61"/>
      <c r="L196" s="63" t="n">
        <v>8460</v>
      </c>
      <c r="M196" s="61"/>
    </row>
    <row r="197" customFormat="false" ht="12.75" hidden="false" customHeight="true" outlineLevel="0" collapsed="false">
      <c r="B197" s="27" t="s">
        <v>309</v>
      </c>
      <c r="C197" s="76" t="s">
        <v>310</v>
      </c>
      <c r="D197" s="76" t="s">
        <v>213</v>
      </c>
      <c r="E197" s="27" t="s">
        <v>15</v>
      </c>
      <c r="F197" s="77"/>
      <c r="G197" s="28" t="n">
        <v>0</v>
      </c>
      <c r="H197" s="28" t="n">
        <v>5</v>
      </c>
      <c r="I197" s="28" t="n">
        <v>0</v>
      </c>
      <c r="J197" s="28" t="n">
        <v>5</v>
      </c>
      <c r="K197" s="28"/>
      <c r="L197" s="28"/>
      <c r="M197" s="78" t="s">
        <v>61</v>
      </c>
    </row>
    <row r="198" customFormat="false" ht="12.75" hidden="false" customHeight="true" outlineLevel="0" collapsed="false">
      <c r="B198" s="61"/>
      <c r="C198" s="62" t="s">
        <v>311</v>
      </c>
      <c r="D198" s="62"/>
      <c r="E198" s="62"/>
      <c r="F198" s="62"/>
      <c r="G198" s="63" t="n">
        <v>0</v>
      </c>
      <c r="H198" s="61"/>
      <c r="I198" s="61"/>
      <c r="J198" s="61"/>
      <c r="K198" s="61"/>
      <c r="L198" s="63" t="n">
        <v>0</v>
      </c>
      <c r="M198" s="61"/>
    </row>
    <row r="199" customFormat="false" ht="12.75" hidden="false" customHeight="true" outlineLevel="0" collapsed="false">
      <c r="B199" s="27" t="s">
        <v>183</v>
      </c>
      <c r="C199" s="76" t="s">
        <v>312</v>
      </c>
      <c r="D199" s="76" t="s">
        <v>185</v>
      </c>
      <c r="E199" s="27" t="s">
        <v>15</v>
      </c>
      <c r="F199" s="77"/>
      <c r="G199" s="28" t="n">
        <v>5</v>
      </c>
      <c r="H199" s="28" t="n">
        <v>0</v>
      </c>
      <c r="I199" s="28" t="n">
        <v>5</v>
      </c>
      <c r="J199" s="28" t="n">
        <v>0</v>
      </c>
      <c r="K199" s="29" t="n">
        <v>2900</v>
      </c>
      <c r="L199" s="29" t="n">
        <v>14500</v>
      </c>
      <c r="M199" s="78" t="s">
        <v>61</v>
      </c>
    </row>
    <row r="200" customFormat="false" ht="12.75" hidden="false" customHeight="true" outlineLevel="0" collapsed="false">
      <c r="B200" s="22" t="s">
        <v>183</v>
      </c>
      <c r="C200" s="79" t="s">
        <v>313</v>
      </c>
      <c r="D200" s="79" t="s">
        <v>314</v>
      </c>
      <c r="E200" s="22" t="s">
        <v>15</v>
      </c>
      <c r="F200" s="80"/>
      <c r="G200" s="23" t="n">
        <v>2</v>
      </c>
      <c r="H200" s="23" t="n">
        <v>2</v>
      </c>
      <c r="I200" s="23" t="n">
        <v>0</v>
      </c>
      <c r="J200" s="23" t="n">
        <v>0</v>
      </c>
      <c r="K200" s="24" t="n">
        <v>2400</v>
      </c>
      <c r="L200" s="24" t="n">
        <v>4800</v>
      </c>
      <c r="M200" s="81" t="s">
        <v>61</v>
      </c>
    </row>
    <row r="201" customFormat="false" ht="12.75" hidden="false" customHeight="true" outlineLevel="0" collapsed="false">
      <c r="B201" s="27" t="s">
        <v>183</v>
      </c>
      <c r="C201" s="76" t="s">
        <v>315</v>
      </c>
      <c r="D201" s="76" t="s">
        <v>314</v>
      </c>
      <c r="E201" s="27" t="s">
        <v>15</v>
      </c>
      <c r="F201" s="77"/>
      <c r="G201" s="28" t="n">
        <v>1</v>
      </c>
      <c r="H201" s="28" t="n">
        <v>1</v>
      </c>
      <c r="I201" s="28" t="n">
        <v>0</v>
      </c>
      <c r="J201" s="28" t="n">
        <v>0</v>
      </c>
      <c r="K201" s="29" t="n">
        <v>2400</v>
      </c>
      <c r="L201" s="29" t="n">
        <v>2400</v>
      </c>
      <c r="M201" s="78" t="s">
        <v>61</v>
      </c>
    </row>
    <row r="202" customFormat="false" ht="12.75" hidden="false" customHeight="true" outlineLevel="0" collapsed="false">
      <c r="B202" s="22" t="s">
        <v>183</v>
      </c>
      <c r="C202" s="79" t="s">
        <v>316</v>
      </c>
      <c r="D202" s="79" t="s">
        <v>314</v>
      </c>
      <c r="E202" s="22" t="s">
        <v>15</v>
      </c>
      <c r="F202" s="80"/>
      <c r="G202" s="23" t="n">
        <v>0</v>
      </c>
      <c r="H202" s="23" t="n">
        <v>1</v>
      </c>
      <c r="I202" s="23" t="n">
        <v>0</v>
      </c>
      <c r="J202" s="23" t="n">
        <v>1</v>
      </c>
      <c r="K202" s="24" t="n">
        <v>2400</v>
      </c>
      <c r="L202" s="23"/>
      <c r="M202" s="81" t="s">
        <v>61</v>
      </c>
    </row>
    <row r="203" customFormat="false" ht="12.75" hidden="false" customHeight="true" outlineLevel="0" collapsed="false">
      <c r="B203" s="61"/>
      <c r="C203" s="62" t="s">
        <v>186</v>
      </c>
      <c r="D203" s="62"/>
      <c r="E203" s="62"/>
      <c r="F203" s="62"/>
      <c r="G203" s="63" t="n">
        <v>8</v>
      </c>
      <c r="H203" s="61"/>
      <c r="I203" s="61"/>
      <c r="J203" s="61"/>
      <c r="K203" s="61"/>
      <c r="L203" s="63" t="n">
        <v>21700</v>
      </c>
      <c r="M203" s="61"/>
    </row>
    <row r="204" customFormat="false" ht="12.75" hidden="false" customHeight="true" outlineLevel="0" collapsed="false">
      <c r="B204" s="27" t="s">
        <v>317</v>
      </c>
      <c r="C204" s="76" t="s">
        <v>318</v>
      </c>
      <c r="D204" s="76" t="s">
        <v>319</v>
      </c>
      <c r="E204" s="27" t="s">
        <v>15</v>
      </c>
      <c r="F204" s="77"/>
      <c r="G204" s="28" t="n">
        <v>1</v>
      </c>
      <c r="H204" s="28" t="n">
        <v>1</v>
      </c>
      <c r="I204" s="28" t="n">
        <v>0</v>
      </c>
      <c r="J204" s="28" t="n">
        <v>0</v>
      </c>
      <c r="K204" s="29" t="n">
        <v>350</v>
      </c>
      <c r="L204" s="29" t="n">
        <v>350</v>
      </c>
      <c r="M204" s="78" t="s">
        <v>61</v>
      </c>
    </row>
    <row r="205" customFormat="false" ht="12.75" hidden="false" customHeight="true" outlineLevel="0" collapsed="false">
      <c r="B205" s="22" t="s">
        <v>317</v>
      </c>
      <c r="C205" s="79" t="s">
        <v>320</v>
      </c>
      <c r="D205" s="79" t="s">
        <v>319</v>
      </c>
      <c r="E205" s="22" t="s">
        <v>15</v>
      </c>
      <c r="F205" s="80"/>
      <c r="G205" s="23" t="n">
        <v>1</v>
      </c>
      <c r="H205" s="23" t="n">
        <v>2</v>
      </c>
      <c r="I205" s="23" t="n">
        <v>0</v>
      </c>
      <c r="J205" s="23" t="n">
        <v>1</v>
      </c>
      <c r="K205" s="24" t="n">
        <v>350</v>
      </c>
      <c r="L205" s="24" t="n">
        <v>350</v>
      </c>
      <c r="M205" s="81" t="s">
        <v>61</v>
      </c>
    </row>
    <row r="206" customFormat="false" ht="12.75" hidden="false" customHeight="true" outlineLevel="0" collapsed="false">
      <c r="B206" s="58" t="s">
        <v>317</v>
      </c>
      <c r="C206" s="18" t="s">
        <v>321</v>
      </c>
      <c r="D206" s="18" t="s">
        <v>322</v>
      </c>
      <c r="E206" s="58" t="s">
        <v>15</v>
      </c>
      <c r="F206" s="64"/>
      <c r="G206" s="84" t="n">
        <v>-2</v>
      </c>
      <c r="H206" s="84" t="n">
        <v>-2</v>
      </c>
      <c r="I206" s="19" t="n">
        <v>0</v>
      </c>
      <c r="J206" s="19" t="n">
        <v>0</v>
      </c>
      <c r="K206" s="20" t="n">
        <v>34</v>
      </c>
      <c r="L206" s="20" t="n">
        <v>-68</v>
      </c>
      <c r="M206" s="60" t="s">
        <v>61</v>
      </c>
    </row>
    <row r="207" customFormat="false" ht="12.75" hidden="false" customHeight="true" outlineLevel="0" collapsed="false">
      <c r="B207" s="61"/>
      <c r="C207" s="62" t="s">
        <v>323</v>
      </c>
      <c r="D207" s="62"/>
      <c r="E207" s="62"/>
      <c r="F207" s="62"/>
      <c r="G207" s="63" t="n">
        <v>0</v>
      </c>
      <c r="H207" s="61"/>
      <c r="I207" s="61"/>
      <c r="J207" s="61"/>
      <c r="K207" s="61"/>
      <c r="L207" s="63" t="n">
        <v>632</v>
      </c>
      <c r="M207" s="61"/>
    </row>
    <row r="208" customFormat="false" ht="12.75" hidden="false" customHeight="true" outlineLevel="0" collapsed="false">
      <c r="B208" s="27" t="s">
        <v>110</v>
      </c>
      <c r="C208" s="76" t="s">
        <v>324</v>
      </c>
      <c r="D208" s="76" t="s">
        <v>325</v>
      </c>
      <c r="E208" s="27" t="s">
        <v>15</v>
      </c>
      <c r="F208" s="77"/>
      <c r="G208" s="28" t="n">
        <v>4</v>
      </c>
      <c r="H208" s="28" t="n">
        <v>6</v>
      </c>
      <c r="I208" s="28" t="n">
        <v>0</v>
      </c>
      <c r="J208" s="28" t="n">
        <v>2</v>
      </c>
      <c r="K208" s="29" t="n">
        <v>5000</v>
      </c>
      <c r="L208" s="29" t="n">
        <v>20000</v>
      </c>
      <c r="M208" s="78" t="s">
        <v>61</v>
      </c>
    </row>
    <row r="209" customFormat="false" ht="12.75" hidden="false" customHeight="true" outlineLevel="0" collapsed="false">
      <c r="B209" s="22" t="s">
        <v>110</v>
      </c>
      <c r="C209" s="79" t="s">
        <v>326</v>
      </c>
      <c r="D209" s="79" t="s">
        <v>325</v>
      </c>
      <c r="E209" s="22" t="s">
        <v>15</v>
      </c>
      <c r="F209" s="80"/>
      <c r="G209" s="23" t="n">
        <v>3</v>
      </c>
      <c r="H209" s="23" t="n">
        <v>7</v>
      </c>
      <c r="I209" s="23" t="n">
        <v>0</v>
      </c>
      <c r="J209" s="23" t="n">
        <v>4</v>
      </c>
      <c r="K209" s="24" t="n">
        <v>5000</v>
      </c>
      <c r="L209" s="24" t="n">
        <v>15000</v>
      </c>
      <c r="M209" s="81" t="s">
        <v>61</v>
      </c>
    </row>
    <row r="210" customFormat="false" ht="12.75" hidden="false" customHeight="true" outlineLevel="0" collapsed="false">
      <c r="B210" s="27" t="s">
        <v>110</v>
      </c>
      <c r="C210" s="76" t="s">
        <v>327</v>
      </c>
      <c r="D210" s="76" t="s">
        <v>325</v>
      </c>
      <c r="E210" s="27" t="s">
        <v>15</v>
      </c>
      <c r="F210" s="77"/>
      <c r="G210" s="28" t="n">
        <v>1</v>
      </c>
      <c r="H210" s="28" t="n">
        <v>2</v>
      </c>
      <c r="I210" s="28" t="n">
        <v>0</v>
      </c>
      <c r="J210" s="28" t="n">
        <v>1</v>
      </c>
      <c r="K210" s="29" t="n">
        <v>5000</v>
      </c>
      <c r="L210" s="29" t="n">
        <v>5000</v>
      </c>
      <c r="M210" s="78" t="s">
        <v>61</v>
      </c>
    </row>
    <row r="211" customFormat="false" ht="12.75" hidden="false" customHeight="true" outlineLevel="0" collapsed="false">
      <c r="B211" s="22" t="s">
        <v>110</v>
      </c>
      <c r="C211" s="79" t="s">
        <v>328</v>
      </c>
      <c r="D211" s="79" t="s">
        <v>86</v>
      </c>
      <c r="E211" s="22" t="s">
        <v>15</v>
      </c>
      <c r="F211" s="80"/>
      <c r="G211" s="23" t="n">
        <v>1</v>
      </c>
      <c r="H211" s="23" t="n">
        <v>1</v>
      </c>
      <c r="I211" s="23" t="n">
        <v>0</v>
      </c>
      <c r="J211" s="23" t="n">
        <v>0</v>
      </c>
      <c r="K211" s="24" t="n">
        <v>4000</v>
      </c>
      <c r="L211" s="24" t="n">
        <v>4000</v>
      </c>
      <c r="M211" s="81" t="s">
        <v>61</v>
      </c>
    </row>
    <row r="212" customFormat="false" ht="12.75" hidden="false" customHeight="true" outlineLevel="0" collapsed="false">
      <c r="B212" s="27" t="s">
        <v>110</v>
      </c>
      <c r="C212" s="27" t="s">
        <v>329</v>
      </c>
      <c r="D212" s="27" t="s">
        <v>330</v>
      </c>
      <c r="E212" s="27" t="s">
        <v>15</v>
      </c>
      <c r="F212" s="77"/>
      <c r="G212" s="28" t="n">
        <v>1</v>
      </c>
      <c r="H212" s="28" t="n">
        <v>1</v>
      </c>
      <c r="I212" s="28" t="n">
        <v>0</v>
      </c>
      <c r="J212" s="28" t="n">
        <v>0</v>
      </c>
      <c r="K212" s="29" t="n">
        <v>1315</v>
      </c>
      <c r="L212" s="29" t="n">
        <v>1315</v>
      </c>
      <c r="M212" s="78" t="s">
        <v>61</v>
      </c>
    </row>
    <row r="213" customFormat="false" ht="12.75" hidden="false" customHeight="true" outlineLevel="0" collapsed="false">
      <c r="B213" s="22" t="s">
        <v>110</v>
      </c>
      <c r="C213" s="79" t="s">
        <v>331</v>
      </c>
      <c r="D213" s="79" t="s">
        <v>325</v>
      </c>
      <c r="E213" s="22" t="s">
        <v>15</v>
      </c>
      <c r="F213" s="80"/>
      <c r="G213" s="23" t="n">
        <v>0</v>
      </c>
      <c r="H213" s="23" t="n">
        <v>1</v>
      </c>
      <c r="I213" s="23" t="n">
        <v>0</v>
      </c>
      <c r="J213" s="23" t="n">
        <v>1</v>
      </c>
      <c r="K213" s="24" t="n">
        <v>5000</v>
      </c>
      <c r="L213" s="23"/>
      <c r="M213" s="81" t="s">
        <v>61</v>
      </c>
    </row>
    <row r="214" customFormat="false" ht="12.75" hidden="false" customHeight="true" outlineLevel="0" collapsed="false">
      <c r="B214" s="27" t="s">
        <v>110</v>
      </c>
      <c r="C214" s="27" t="s">
        <v>332</v>
      </c>
      <c r="D214" s="27" t="s">
        <v>296</v>
      </c>
      <c r="E214" s="27" t="s">
        <v>15</v>
      </c>
      <c r="F214" s="77"/>
      <c r="G214" s="28" t="n">
        <v>1</v>
      </c>
      <c r="H214" s="28" t="n">
        <v>1</v>
      </c>
      <c r="I214" s="28" t="n">
        <v>0</v>
      </c>
      <c r="J214" s="28" t="n">
        <v>0</v>
      </c>
      <c r="K214" s="28"/>
      <c r="L214" s="83" t="s">
        <v>104</v>
      </c>
      <c r="M214" s="78" t="s">
        <v>61</v>
      </c>
    </row>
    <row r="215" customFormat="false" ht="12.75" hidden="false" customHeight="true" outlineLevel="0" collapsed="false">
      <c r="B215" s="22" t="s">
        <v>110</v>
      </c>
      <c r="C215" s="79" t="s">
        <v>333</v>
      </c>
      <c r="D215" s="79" t="s">
        <v>325</v>
      </c>
      <c r="E215" s="22" t="s">
        <v>15</v>
      </c>
      <c r="F215" s="80"/>
      <c r="G215" s="23" t="n">
        <v>0</v>
      </c>
      <c r="H215" s="23" t="n">
        <v>0</v>
      </c>
      <c r="I215" s="23" t="n">
        <v>1</v>
      </c>
      <c r="J215" s="23" t="n">
        <v>1</v>
      </c>
      <c r="K215" s="24" t="n">
        <v>5000</v>
      </c>
      <c r="L215" s="23"/>
      <c r="M215" s="81" t="s">
        <v>61</v>
      </c>
    </row>
    <row r="216" customFormat="false" ht="12.75" hidden="false" customHeight="true" outlineLevel="0" collapsed="false">
      <c r="B216" s="61"/>
      <c r="C216" s="62" t="s">
        <v>126</v>
      </c>
      <c r="D216" s="62"/>
      <c r="E216" s="62"/>
      <c r="F216" s="62"/>
      <c r="G216" s="63" t="n">
        <v>11</v>
      </c>
      <c r="H216" s="61"/>
      <c r="I216" s="61"/>
      <c r="J216" s="61"/>
      <c r="K216" s="61"/>
      <c r="L216" s="63" t="n">
        <v>45315</v>
      </c>
      <c r="M216" s="61"/>
    </row>
    <row r="217" customFormat="false" ht="12.75" hidden="false" customHeight="true" outlineLevel="0" collapsed="false">
      <c r="B217" s="27" t="s">
        <v>127</v>
      </c>
      <c r="C217" s="76" t="s">
        <v>334</v>
      </c>
      <c r="D217" s="76" t="s">
        <v>335</v>
      </c>
      <c r="E217" s="27" t="s">
        <v>15</v>
      </c>
      <c r="F217" s="77"/>
      <c r="G217" s="28" t="n">
        <v>0</v>
      </c>
      <c r="H217" s="28" t="n">
        <v>1</v>
      </c>
      <c r="I217" s="28" t="n">
        <v>0</v>
      </c>
      <c r="J217" s="28" t="n">
        <v>1</v>
      </c>
      <c r="K217" s="29" t="n">
        <v>31600</v>
      </c>
      <c r="L217" s="28"/>
      <c r="M217" s="78" t="s">
        <v>61</v>
      </c>
    </row>
    <row r="218" customFormat="false" ht="12.75" hidden="false" customHeight="true" outlineLevel="0" collapsed="false">
      <c r="B218" s="61"/>
      <c r="C218" s="62" t="s">
        <v>153</v>
      </c>
      <c r="D218" s="62"/>
      <c r="E218" s="62"/>
      <c r="F218" s="62"/>
      <c r="G218" s="63" t="n">
        <v>0</v>
      </c>
      <c r="H218" s="61"/>
      <c r="I218" s="61"/>
      <c r="J218" s="61"/>
      <c r="K218" s="61"/>
      <c r="L218" s="63" t="n">
        <v>0</v>
      </c>
      <c r="M218" s="61"/>
    </row>
    <row r="219" customFormat="false" ht="12.75" hidden="false" customHeight="true" outlineLevel="0" collapsed="false">
      <c r="B219" s="27" t="s">
        <v>154</v>
      </c>
      <c r="C219" s="76" t="s">
        <v>336</v>
      </c>
      <c r="D219" s="76" t="s">
        <v>156</v>
      </c>
      <c r="E219" s="27" t="s">
        <v>15</v>
      </c>
      <c r="F219" s="77"/>
      <c r="G219" s="28" t="n">
        <v>4</v>
      </c>
      <c r="H219" s="28" t="n">
        <v>0</v>
      </c>
      <c r="I219" s="28" t="n">
        <v>4</v>
      </c>
      <c r="J219" s="28" t="n">
        <v>0</v>
      </c>
      <c r="K219" s="29" t="n">
        <v>16200</v>
      </c>
      <c r="L219" s="29" t="n">
        <v>64800</v>
      </c>
      <c r="M219" s="78" t="s">
        <v>61</v>
      </c>
    </row>
    <row r="220" customFormat="false" ht="12.75" hidden="false" customHeight="true" outlineLevel="0" collapsed="false">
      <c r="B220" s="22" t="s">
        <v>154</v>
      </c>
      <c r="C220" s="79" t="s">
        <v>337</v>
      </c>
      <c r="D220" s="79" t="s">
        <v>275</v>
      </c>
      <c r="E220" s="22" t="s">
        <v>15</v>
      </c>
      <c r="F220" s="80"/>
      <c r="G220" s="23" t="n">
        <v>9</v>
      </c>
      <c r="H220" s="23" t="n">
        <v>0</v>
      </c>
      <c r="I220" s="23" t="n">
        <v>9</v>
      </c>
      <c r="J220" s="23" t="n">
        <v>0</v>
      </c>
      <c r="K220" s="24" t="n">
        <v>5193</v>
      </c>
      <c r="L220" s="24" t="n">
        <v>46737</v>
      </c>
      <c r="M220" s="81" t="s">
        <v>61</v>
      </c>
    </row>
    <row r="221" customFormat="false" ht="12.75" hidden="false" customHeight="true" outlineLevel="0" collapsed="false">
      <c r="B221" s="27" t="s">
        <v>154</v>
      </c>
      <c r="C221" s="76" t="s">
        <v>338</v>
      </c>
      <c r="D221" s="76" t="s">
        <v>339</v>
      </c>
      <c r="E221" s="27" t="s">
        <v>15</v>
      </c>
      <c r="F221" s="77"/>
      <c r="G221" s="28" t="n">
        <v>1</v>
      </c>
      <c r="H221" s="28" t="n">
        <v>0</v>
      </c>
      <c r="I221" s="28" t="n">
        <v>2</v>
      </c>
      <c r="J221" s="28" t="n">
        <v>1</v>
      </c>
      <c r="K221" s="29" t="n">
        <v>28000</v>
      </c>
      <c r="L221" s="29" t="n">
        <v>28000</v>
      </c>
      <c r="M221" s="78" t="s">
        <v>61</v>
      </c>
    </row>
    <row r="222" customFormat="false" ht="12.75" hidden="false" customHeight="true" outlineLevel="0" collapsed="false">
      <c r="B222" s="22" t="s">
        <v>154</v>
      </c>
      <c r="C222" s="79" t="s">
        <v>340</v>
      </c>
      <c r="D222" s="79" t="s">
        <v>341</v>
      </c>
      <c r="E222" s="22" t="s">
        <v>15</v>
      </c>
      <c r="F222" s="80"/>
      <c r="G222" s="23" t="n">
        <v>1</v>
      </c>
      <c r="H222" s="23" t="n">
        <v>0</v>
      </c>
      <c r="I222" s="23" t="n">
        <v>2</v>
      </c>
      <c r="J222" s="23" t="n">
        <v>1</v>
      </c>
      <c r="K222" s="24" t="n">
        <v>27500</v>
      </c>
      <c r="L222" s="24" t="n">
        <v>27500</v>
      </c>
      <c r="M222" s="81" t="s">
        <v>61</v>
      </c>
    </row>
    <row r="223" customFormat="false" ht="12.75" hidden="false" customHeight="true" outlineLevel="0" collapsed="false">
      <c r="B223" s="27" t="s">
        <v>154</v>
      </c>
      <c r="C223" s="76" t="s">
        <v>342</v>
      </c>
      <c r="D223" s="76" t="s">
        <v>341</v>
      </c>
      <c r="E223" s="27" t="s">
        <v>15</v>
      </c>
      <c r="F223" s="77"/>
      <c r="G223" s="28" t="n">
        <v>1</v>
      </c>
      <c r="H223" s="28" t="n">
        <v>0</v>
      </c>
      <c r="I223" s="28" t="n">
        <v>1</v>
      </c>
      <c r="J223" s="28" t="n">
        <v>0</v>
      </c>
      <c r="K223" s="29" t="n">
        <v>27500</v>
      </c>
      <c r="L223" s="29" t="n">
        <v>27500</v>
      </c>
      <c r="M223" s="78" t="s">
        <v>61</v>
      </c>
    </row>
    <row r="224" customFormat="false" ht="12.75" hidden="false" customHeight="true" outlineLevel="0" collapsed="false">
      <c r="B224" s="22" t="s">
        <v>154</v>
      </c>
      <c r="C224" s="79" t="s">
        <v>343</v>
      </c>
      <c r="D224" s="79" t="s">
        <v>344</v>
      </c>
      <c r="E224" s="22" t="s">
        <v>15</v>
      </c>
      <c r="F224" s="80"/>
      <c r="G224" s="23" t="n">
        <v>9</v>
      </c>
      <c r="H224" s="23" t="n">
        <v>0</v>
      </c>
      <c r="I224" s="23" t="n">
        <v>10</v>
      </c>
      <c r="J224" s="23" t="n">
        <v>1</v>
      </c>
      <c r="K224" s="24" t="n">
        <v>2980</v>
      </c>
      <c r="L224" s="24" t="n">
        <v>26820</v>
      </c>
      <c r="M224" s="81" t="s">
        <v>61</v>
      </c>
    </row>
    <row r="225" customFormat="false" ht="12.75" hidden="false" customHeight="true" outlineLevel="0" collapsed="false">
      <c r="B225" s="27" t="s">
        <v>154</v>
      </c>
      <c r="C225" s="76" t="s">
        <v>345</v>
      </c>
      <c r="D225" s="76" t="s">
        <v>346</v>
      </c>
      <c r="E225" s="27" t="s">
        <v>15</v>
      </c>
      <c r="F225" s="77"/>
      <c r="G225" s="28" t="n">
        <v>6</v>
      </c>
      <c r="H225" s="28" t="n">
        <v>11</v>
      </c>
      <c r="I225" s="28" t="n">
        <v>0</v>
      </c>
      <c r="J225" s="28" t="n">
        <v>5</v>
      </c>
      <c r="K225" s="29" t="n">
        <v>3500</v>
      </c>
      <c r="L225" s="29" t="n">
        <v>21000</v>
      </c>
      <c r="M225" s="78" t="s">
        <v>61</v>
      </c>
    </row>
    <row r="226" customFormat="false" ht="12.75" hidden="false" customHeight="true" outlineLevel="0" collapsed="false">
      <c r="B226" s="22" t="s">
        <v>154</v>
      </c>
      <c r="C226" s="79" t="s">
        <v>347</v>
      </c>
      <c r="D226" s="79" t="s">
        <v>344</v>
      </c>
      <c r="E226" s="22" t="s">
        <v>15</v>
      </c>
      <c r="F226" s="80"/>
      <c r="G226" s="23" t="n">
        <v>5</v>
      </c>
      <c r="H226" s="23" t="n">
        <v>6</v>
      </c>
      <c r="I226" s="23" t="n">
        <v>0</v>
      </c>
      <c r="J226" s="23" t="n">
        <v>1</v>
      </c>
      <c r="K226" s="24" t="n">
        <v>3600</v>
      </c>
      <c r="L226" s="24" t="n">
        <v>18000</v>
      </c>
      <c r="M226" s="81" t="s">
        <v>61</v>
      </c>
    </row>
    <row r="227" customFormat="false" ht="12.75" hidden="false" customHeight="true" outlineLevel="0" collapsed="false">
      <c r="B227" s="27" t="s">
        <v>154</v>
      </c>
      <c r="C227" s="76" t="s">
        <v>348</v>
      </c>
      <c r="D227" s="76" t="s">
        <v>346</v>
      </c>
      <c r="E227" s="27" t="s">
        <v>15</v>
      </c>
      <c r="F227" s="77"/>
      <c r="G227" s="28" t="n">
        <v>2</v>
      </c>
      <c r="H227" s="28" t="n">
        <v>7</v>
      </c>
      <c r="I227" s="28" t="n">
        <v>0</v>
      </c>
      <c r="J227" s="28" t="n">
        <v>5</v>
      </c>
      <c r="K227" s="29" t="n">
        <v>3500</v>
      </c>
      <c r="L227" s="29" t="n">
        <v>7000</v>
      </c>
      <c r="M227" s="78" t="s">
        <v>61</v>
      </c>
    </row>
    <row r="228" customFormat="false" ht="12.75" hidden="false" customHeight="true" outlineLevel="0" collapsed="false">
      <c r="B228" s="22" t="s">
        <v>154</v>
      </c>
      <c r="C228" s="22" t="s">
        <v>349</v>
      </c>
      <c r="D228" s="22" t="s">
        <v>350</v>
      </c>
      <c r="E228" s="22" t="s">
        <v>15</v>
      </c>
      <c r="F228" s="80"/>
      <c r="G228" s="23" t="n">
        <v>1</v>
      </c>
      <c r="H228" s="23" t="n">
        <v>1</v>
      </c>
      <c r="I228" s="23" t="n">
        <v>0</v>
      </c>
      <c r="J228" s="23" t="n">
        <v>0</v>
      </c>
      <c r="K228" s="24" t="n">
        <v>4018</v>
      </c>
      <c r="L228" s="24" t="n">
        <v>4018</v>
      </c>
      <c r="M228" s="81" t="s">
        <v>61</v>
      </c>
    </row>
    <row r="229" customFormat="false" ht="12.75" hidden="false" customHeight="true" outlineLevel="0" collapsed="false">
      <c r="B229" s="27" t="s">
        <v>154</v>
      </c>
      <c r="C229" s="76" t="s">
        <v>351</v>
      </c>
      <c r="D229" s="76" t="s">
        <v>218</v>
      </c>
      <c r="E229" s="27" t="s">
        <v>15</v>
      </c>
      <c r="F229" s="77"/>
      <c r="G229" s="28" t="n">
        <v>0</v>
      </c>
      <c r="H229" s="28" t="n">
        <v>0</v>
      </c>
      <c r="I229" s="28" t="n">
        <v>2</v>
      </c>
      <c r="J229" s="28" t="n">
        <v>2</v>
      </c>
      <c r="K229" s="29" t="n">
        <v>12000</v>
      </c>
      <c r="L229" s="28"/>
      <c r="M229" s="78" t="s">
        <v>61</v>
      </c>
    </row>
    <row r="230" customFormat="false" ht="12.75" hidden="false" customHeight="true" outlineLevel="0" collapsed="false">
      <c r="B230" s="22" t="s">
        <v>154</v>
      </c>
      <c r="C230" s="79" t="s">
        <v>352</v>
      </c>
      <c r="D230" s="79" t="s">
        <v>158</v>
      </c>
      <c r="E230" s="22" t="s">
        <v>15</v>
      </c>
      <c r="F230" s="80"/>
      <c r="G230" s="23" t="n">
        <v>1</v>
      </c>
      <c r="H230" s="23" t="n">
        <v>1</v>
      </c>
      <c r="I230" s="23" t="n">
        <v>0</v>
      </c>
      <c r="J230" s="23" t="n">
        <v>0</v>
      </c>
      <c r="K230" s="23"/>
      <c r="L230" s="82" t="s">
        <v>104</v>
      </c>
      <c r="M230" s="81" t="s">
        <v>61</v>
      </c>
    </row>
    <row r="231" customFormat="false" ht="12.75" hidden="false" customHeight="true" outlineLevel="0" collapsed="false">
      <c r="B231" s="27" t="s">
        <v>154</v>
      </c>
      <c r="C231" s="76" t="s">
        <v>353</v>
      </c>
      <c r="D231" s="76" t="s">
        <v>354</v>
      </c>
      <c r="E231" s="27" t="s">
        <v>15</v>
      </c>
      <c r="F231" s="77"/>
      <c r="G231" s="28" t="n">
        <v>0</v>
      </c>
      <c r="H231" s="28" t="n">
        <v>0</v>
      </c>
      <c r="I231" s="28" t="n">
        <v>1</v>
      </c>
      <c r="J231" s="28" t="n">
        <v>1</v>
      </c>
      <c r="K231" s="29" t="n">
        <v>7800</v>
      </c>
      <c r="L231" s="28"/>
      <c r="M231" s="78" t="s">
        <v>61</v>
      </c>
    </row>
    <row r="232" customFormat="false" ht="12.75" hidden="false" customHeight="true" outlineLevel="0" collapsed="false">
      <c r="B232" s="22" t="s">
        <v>154</v>
      </c>
      <c r="C232" s="79" t="s">
        <v>355</v>
      </c>
      <c r="D232" s="79" t="s">
        <v>218</v>
      </c>
      <c r="E232" s="22" t="s">
        <v>15</v>
      </c>
      <c r="F232" s="80"/>
      <c r="G232" s="23" t="n">
        <v>0</v>
      </c>
      <c r="H232" s="23" t="n">
        <v>0</v>
      </c>
      <c r="I232" s="23" t="n">
        <v>3</v>
      </c>
      <c r="J232" s="23" t="n">
        <v>3</v>
      </c>
      <c r="K232" s="24" t="n">
        <v>12500</v>
      </c>
      <c r="L232" s="23"/>
      <c r="M232" s="81" t="s">
        <v>61</v>
      </c>
    </row>
    <row r="233" customFormat="false" ht="12.75" hidden="false" customHeight="true" outlineLevel="0" collapsed="false">
      <c r="B233" s="61"/>
      <c r="C233" s="62" t="s">
        <v>164</v>
      </c>
      <c r="D233" s="62"/>
      <c r="E233" s="62"/>
      <c r="F233" s="62"/>
      <c r="G233" s="63" t="n">
        <v>40</v>
      </c>
      <c r="H233" s="61"/>
      <c r="I233" s="61"/>
      <c r="J233" s="61"/>
      <c r="K233" s="61"/>
      <c r="L233" s="63" t="n">
        <v>271375</v>
      </c>
      <c r="M233" s="61"/>
    </row>
    <row r="234" customFormat="false" ht="12.75" hidden="false" customHeight="true" outlineLevel="0" collapsed="false">
      <c r="B234" s="27" t="s">
        <v>356</v>
      </c>
      <c r="C234" s="76" t="s">
        <v>357</v>
      </c>
      <c r="D234" s="76" t="s">
        <v>283</v>
      </c>
      <c r="E234" s="27" t="s">
        <v>15</v>
      </c>
      <c r="F234" s="77"/>
      <c r="G234" s="28" t="n">
        <v>30</v>
      </c>
      <c r="H234" s="28" t="n">
        <v>0</v>
      </c>
      <c r="I234" s="28" t="n">
        <v>31</v>
      </c>
      <c r="J234" s="28" t="n">
        <v>1</v>
      </c>
      <c r="K234" s="28"/>
      <c r="L234" s="83" t="s">
        <v>104</v>
      </c>
      <c r="M234" s="78" t="s">
        <v>61</v>
      </c>
    </row>
    <row r="235" customFormat="false" ht="12.75" hidden="false" customHeight="true" outlineLevel="0" collapsed="false">
      <c r="B235" s="61"/>
      <c r="C235" s="62" t="s">
        <v>358</v>
      </c>
      <c r="D235" s="62"/>
      <c r="E235" s="62"/>
      <c r="F235" s="62"/>
      <c r="G235" s="63" t="n">
        <v>30</v>
      </c>
      <c r="H235" s="61"/>
      <c r="I235" s="61"/>
      <c r="J235" s="61"/>
      <c r="K235" s="61"/>
      <c r="L235" s="63" t="n">
        <v>0</v>
      </c>
      <c r="M235" s="61"/>
    </row>
    <row r="236" customFormat="false" ht="12.75" hidden="false" customHeight="true" outlineLevel="0" collapsed="false">
      <c r="B236" s="27" t="s">
        <v>359</v>
      </c>
      <c r="C236" s="76" t="s">
        <v>360</v>
      </c>
      <c r="D236" s="76" t="s">
        <v>213</v>
      </c>
      <c r="E236" s="27" t="s">
        <v>15</v>
      </c>
      <c r="F236" s="77"/>
      <c r="G236" s="28" t="n">
        <v>105</v>
      </c>
      <c r="H236" s="28" t="n">
        <v>223</v>
      </c>
      <c r="I236" s="28" t="n">
        <v>0</v>
      </c>
      <c r="J236" s="28" t="n">
        <v>118</v>
      </c>
      <c r="K236" s="29" t="n">
        <v>1030</v>
      </c>
      <c r="L236" s="29" t="n">
        <v>108150</v>
      </c>
      <c r="M236" s="78" t="s">
        <v>61</v>
      </c>
    </row>
    <row r="237" customFormat="false" ht="12.75" hidden="false" customHeight="true" outlineLevel="0" collapsed="false">
      <c r="B237" s="61"/>
      <c r="C237" s="62" t="s">
        <v>361</v>
      </c>
      <c r="D237" s="62"/>
      <c r="E237" s="62"/>
      <c r="F237" s="62"/>
      <c r="G237" s="63" t="n">
        <v>105</v>
      </c>
      <c r="H237" s="61"/>
      <c r="I237" s="61"/>
      <c r="J237" s="61"/>
      <c r="K237" s="61"/>
      <c r="L237" s="63" t="n">
        <v>108150</v>
      </c>
      <c r="M237" s="61"/>
    </row>
    <row r="238" customFormat="false" ht="12.75" hidden="false" customHeight="true" outlineLevel="0" collapsed="false">
      <c r="B238" s="27" t="s">
        <v>362</v>
      </c>
      <c r="C238" s="76" t="s">
        <v>363</v>
      </c>
      <c r="D238" s="76" t="s">
        <v>364</v>
      </c>
      <c r="E238" s="27" t="s">
        <v>15</v>
      </c>
      <c r="F238" s="77"/>
      <c r="G238" s="28" t="n">
        <v>2</v>
      </c>
      <c r="H238" s="28" t="n">
        <v>2</v>
      </c>
      <c r="I238" s="28" t="n">
        <v>0</v>
      </c>
      <c r="J238" s="28" t="n">
        <v>0</v>
      </c>
      <c r="K238" s="28"/>
      <c r="L238" s="83" t="s">
        <v>104</v>
      </c>
      <c r="M238" s="78" t="s">
        <v>61</v>
      </c>
    </row>
    <row r="239" customFormat="false" ht="12.75" hidden="false" customHeight="true" outlineLevel="0" collapsed="false">
      <c r="B239" s="22" t="s">
        <v>362</v>
      </c>
      <c r="C239" s="79" t="s">
        <v>365</v>
      </c>
      <c r="D239" s="79" t="s">
        <v>364</v>
      </c>
      <c r="E239" s="22" t="s">
        <v>15</v>
      </c>
      <c r="F239" s="80"/>
      <c r="G239" s="23" t="n">
        <v>0</v>
      </c>
      <c r="H239" s="23" t="n">
        <v>2</v>
      </c>
      <c r="I239" s="23" t="n">
        <v>0</v>
      </c>
      <c r="J239" s="23" t="n">
        <v>2</v>
      </c>
      <c r="K239" s="24" t="n">
        <v>4500</v>
      </c>
      <c r="L239" s="23"/>
      <c r="M239" s="81" t="s">
        <v>61</v>
      </c>
    </row>
    <row r="240" customFormat="false" ht="12.75" hidden="false" customHeight="true" outlineLevel="0" collapsed="false">
      <c r="B240" s="61"/>
      <c r="C240" s="62" t="s">
        <v>366</v>
      </c>
      <c r="D240" s="62"/>
      <c r="E240" s="62"/>
      <c r="F240" s="62"/>
      <c r="G240" s="63" t="n">
        <v>2</v>
      </c>
      <c r="H240" s="61"/>
      <c r="I240" s="61"/>
      <c r="J240" s="61"/>
      <c r="K240" s="61"/>
      <c r="L240" s="63" t="n">
        <v>0</v>
      </c>
      <c r="M240" s="61"/>
    </row>
    <row r="241" customFormat="false" ht="13.5" hidden="false" customHeight="true" outlineLevel="0" collapsed="false">
      <c r="B241" s="66" t="s">
        <v>367</v>
      </c>
      <c r="C241" s="66"/>
      <c r="D241" s="66"/>
      <c r="E241" s="66"/>
      <c r="F241" s="66"/>
      <c r="G241" s="67" t="n">
        <v>2146</v>
      </c>
      <c r="H241" s="68"/>
      <c r="I241" s="68"/>
      <c r="J241" s="68"/>
      <c r="K241" s="68"/>
      <c r="L241" s="67" t="n">
        <v>1149683.08</v>
      </c>
      <c r="M241" s="68"/>
    </row>
    <row r="242" customFormat="false" ht="7.5" hidden="false" customHeight="true" outlineLevel="0" collapsed="false"/>
    <row r="243" customFormat="false" ht="15" hidden="false" customHeight="true" outlineLevel="0" collapsed="false">
      <c r="B243" s="75" t="s">
        <v>368</v>
      </c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</row>
    <row r="244" customFormat="false" ht="12.75" hidden="false" customHeight="true" outlineLevel="0" collapsed="false">
      <c r="B244" s="27" t="s">
        <v>280</v>
      </c>
      <c r="C244" s="76" t="s">
        <v>369</v>
      </c>
      <c r="D244" s="76" t="s">
        <v>275</v>
      </c>
      <c r="E244" s="27" t="s">
        <v>16</v>
      </c>
      <c r="F244" s="77"/>
      <c r="G244" s="28" t="n">
        <v>41</v>
      </c>
      <c r="H244" s="28" t="n">
        <v>89</v>
      </c>
      <c r="I244" s="28" t="n">
        <v>8</v>
      </c>
      <c r="J244" s="28" t="n">
        <v>56</v>
      </c>
      <c r="K244" s="29" t="n">
        <v>5833</v>
      </c>
      <c r="L244" s="29" t="n">
        <v>239153</v>
      </c>
      <c r="M244" s="78" t="s">
        <v>61</v>
      </c>
    </row>
    <row r="245" customFormat="false" ht="12.75" hidden="false" customHeight="true" outlineLevel="0" collapsed="false">
      <c r="B245" s="22" t="s">
        <v>280</v>
      </c>
      <c r="C245" s="79" t="s">
        <v>370</v>
      </c>
      <c r="D245" s="79" t="s">
        <v>213</v>
      </c>
      <c r="E245" s="22" t="s">
        <v>16</v>
      </c>
      <c r="F245" s="80"/>
      <c r="G245" s="23" t="n">
        <v>19</v>
      </c>
      <c r="H245" s="23" t="n">
        <v>20</v>
      </c>
      <c r="I245" s="23" t="n">
        <v>6</v>
      </c>
      <c r="J245" s="23" t="n">
        <v>7</v>
      </c>
      <c r="K245" s="24" t="n">
        <v>10356</v>
      </c>
      <c r="L245" s="24" t="n">
        <v>196764</v>
      </c>
      <c r="M245" s="81" t="s">
        <v>61</v>
      </c>
    </row>
    <row r="246" customFormat="false" ht="12.75" hidden="false" customHeight="true" outlineLevel="0" collapsed="false">
      <c r="B246" s="27" t="s">
        <v>280</v>
      </c>
      <c r="C246" s="76" t="s">
        <v>371</v>
      </c>
      <c r="D246" s="76" t="s">
        <v>372</v>
      </c>
      <c r="E246" s="27" t="s">
        <v>16</v>
      </c>
      <c r="F246" s="77"/>
      <c r="G246" s="28" t="n">
        <v>6</v>
      </c>
      <c r="H246" s="28" t="n">
        <v>9</v>
      </c>
      <c r="I246" s="28" t="n">
        <v>5</v>
      </c>
      <c r="J246" s="28" t="n">
        <v>8</v>
      </c>
      <c r="K246" s="29" t="n">
        <v>3940</v>
      </c>
      <c r="L246" s="29" t="n">
        <v>23640</v>
      </c>
      <c r="M246" s="78" t="s">
        <v>61</v>
      </c>
    </row>
    <row r="247" customFormat="false" ht="12.75" hidden="false" customHeight="true" outlineLevel="0" collapsed="false">
      <c r="B247" s="22" t="s">
        <v>280</v>
      </c>
      <c r="C247" s="79" t="s">
        <v>373</v>
      </c>
      <c r="D247" s="79" t="s">
        <v>374</v>
      </c>
      <c r="E247" s="22" t="s">
        <v>16</v>
      </c>
      <c r="F247" s="80"/>
      <c r="G247" s="23" t="n">
        <v>2</v>
      </c>
      <c r="H247" s="85" t="n">
        <v>-2</v>
      </c>
      <c r="I247" s="23" t="n">
        <v>9</v>
      </c>
      <c r="J247" s="23" t="n">
        <v>5</v>
      </c>
      <c r="K247" s="24" t="n">
        <v>3637.5</v>
      </c>
      <c r="L247" s="24" t="n">
        <v>7275</v>
      </c>
      <c r="M247" s="81" t="s">
        <v>61</v>
      </c>
    </row>
    <row r="248" customFormat="false" ht="12.75" hidden="false" customHeight="true" outlineLevel="0" collapsed="false">
      <c r="B248" s="58" t="s">
        <v>280</v>
      </c>
      <c r="C248" s="18" t="s">
        <v>375</v>
      </c>
      <c r="D248" s="18" t="s">
        <v>275</v>
      </c>
      <c r="E248" s="58" t="s">
        <v>16</v>
      </c>
      <c r="F248" s="64"/>
      <c r="G248" s="84" t="n">
        <v>-4</v>
      </c>
      <c r="H248" s="84" t="n">
        <v>-4</v>
      </c>
      <c r="I248" s="19" t="n">
        <v>0</v>
      </c>
      <c r="J248" s="19" t="n">
        <v>0</v>
      </c>
      <c r="K248" s="20" t="n">
        <v>5689</v>
      </c>
      <c r="L248" s="20" t="n">
        <v>-22756</v>
      </c>
      <c r="M248" s="60" t="s">
        <v>61</v>
      </c>
    </row>
    <row r="249" customFormat="false" ht="12.75" hidden="false" customHeight="true" outlineLevel="0" collapsed="false">
      <c r="B249" s="58" t="s">
        <v>280</v>
      </c>
      <c r="C249" s="18" t="s">
        <v>376</v>
      </c>
      <c r="D249" s="18" t="s">
        <v>213</v>
      </c>
      <c r="E249" s="58" t="s">
        <v>16</v>
      </c>
      <c r="F249" s="64"/>
      <c r="G249" s="84" t="n">
        <v>-13</v>
      </c>
      <c r="H249" s="84" t="n">
        <v>-13</v>
      </c>
      <c r="I249" s="19" t="n">
        <v>0</v>
      </c>
      <c r="J249" s="19" t="n">
        <v>0</v>
      </c>
      <c r="K249" s="20" t="n">
        <v>9231</v>
      </c>
      <c r="L249" s="20" t="n">
        <v>-120003</v>
      </c>
      <c r="M249" s="60" t="s">
        <v>61</v>
      </c>
    </row>
    <row r="250" customFormat="false" ht="12.75" hidden="false" customHeight="true" outlineLevel="0" collapsed="false">
      <c r="B250" s="61"/>
      <c r="C250" s="62" t="s">
        <v>285</v>
      </c>
      <c r="D250" s="62"/>
      <c r="E250" s="62"/>
      <c r="F250" s="62"/>
      <c r="G250" s="63" t="n">
        <v>51</v>
      </c>
      <c r="H250" s="61"/>
      <c r="I250" s="61"/>
      <c r="J250" s="61"/>
      <c r="K250" s="61"/>
      <c r="L250" s="63" t="n">
        <v>324073</v>
      </c>
      <c r="M250" s="61"/>
    </row>
    <row r="251" customFormat="false" ht="12.75" hidden="false" customHeight="true" outlineLevel="0" collapsed="false">
      <c r="B251" s="27" t="s">
        <v>377</v>
      </c>
      <c r="C251" s="76" t="s">
        <v>378</v>
      </c>
      <c r="D251" s="76" t="s">
        <v>275</v>
      </c>
      <c r="E251" s="27" t="s">
        <v>16</v>
      </c>
      <c r="F251" s="77"/>
      <c r="G251" s="28" t="n">
        <v>111</v>
      </c>
      <c r="H251" s="28" t="n">
        <v>153</v>
      </c>
      <c r="I251" s="28" t="n">
        <v>8</v>
      </c>
      <c r="J251" s="28" t="n">
        <v>50</v>
      </c>
      <c r="K251" s="29" t="n">
        <v>130</v>
      </c>
      <c r="L251" s="29" t="n">
        <v>14430</v>
      </c>
      <c r="M251" s="78" t="s">
        <v>61</v>
      </c>
    </row>
    <row r="252" customFormat="false" ht="12.75" hidden="false" customHeight="true" outlineLevel="0" collapsed="false">
      <c r="B252" s="22" t="s">
        <v>377</v>
      </c>
      <c r="C252" s="79" t="s">
        <v>379</v>
      </c>
      <c r="D252" s="79" t="s">
        <v>372</v>
      </c>
      <c r="E252" s="22" t="s">
        <v>16</v>
      </c>
      <c r="F252" s="80"/>
      <c r="G252" s="23" t="n">
        <v>12</v>
      </c>
      <c r="H252" s="23" t="n">
        <v>17</v>
      </c>
      <c r="I252" s="23" t="n">
        <v>25</v>
      </c>
      <c r="J252" s="23" t="n">
        <v>30</v>
      </c>
      <c r="K252" s="24" t="n">
        <v>71</v>
      </c>
      <c r="L252" s="24" t="n">
        <v>852</v>
      </c>
      <c r="M252" s="81" t="s">
        <v>61</v>
      </c>
    </row>
    <row r="253" customFormat="false" ht="12.75" hidden="false" customHeight="true" outlineLevel="0" collapsed="false">
      <c r="B253" s="27" t="s">
        <v>377</v>
      </c>
      <c r="C253" s="76" t="s">
        <v>380</v>
      </c>
      <c r="D253" s="76" t="s">
        <v>213</v>
      </c>
      <c r="E253" s="27" t="s">
        <v>16</v>
      </c>
      <c r="F253" s="77"/>
      <c r="G253" s="28" t="n">
        <v>3</v>
      </c>
      <c r="H253" s="28" t="n">
        <v>8</v>
      </c>
      <c r="I253" s="28" t="n">
        <v>6</v>
      </c>
      <c r="J253" s="28" t="n">
        <v>11</v>
      </c>
      <c r="K253" s="29" t="n">
        <v>200</v>
      </c>
      <c r="L253" s="29" t="n">
        <v>600</v>
      </c>
      <c r="M253" s="78" t="s">
        <v>61</v>
      </c>
    </row>
    <row r="254" customFormat="false" ht="12.75" hidden="false" customHeight="true" outlineLevel="0" collapsed="false">
      <c r="B254" s="22" t="s">
        <v>377</v>
      </c>
      <c r="C254" s="79" t="s">
        <v>381</v>
      </c>
      <c r="D254" s="79" t="s">
        <v>382</v>
      </c>
      <c r="E254" s="22" t="s">
        <v>16</v>
      </c>
      <c r="F254" s="80"/>
      <c r="G254" s="23" t="n">
        <v>1</v>
      </c>
      <c r="H254" s="23" t="n">
        <v>1</v>
      </c>
      <c r="I254" s="23" t="n">
        <v>0</v>
      </c>
      <c r="J254" s="23" t="n">
        <v>0</v>
      </c>
      <c r="K254" s="24" t="n">
        <v>300</v>
      </c>
      <c r="L254" s="24" t="n">
        <v>300</v>
      </c>
      <c r="M254" s="81" t="s">
        <v>61</v>
      </c>
    </row>
    <row r="255" customFormat="false" ht="12.75" hidden="false" customHeight="true" outlineLevel="0" collapsed="false">
      <c r="B255" s="61"/>
      <c r="C255" s="62" t="s">
        <v>383</v>
      </c>
      <c r="D255" s="62"/>
      <c r="E255" s="62"/>
      <c r="F255" s="62"/>
      <c r="G255" s="63" t="n">
        <v>127</v>
      </c>
      <c r="H255" s="61"/>
      <c r="I255" s="61"/>
      <c r="J255" s="61"/>
      <c r="K255" s="61"/>
      <c r="L255" s="63" t="n">
        <v>16182</v>
      </c>
      <c r="M255" s="61"/>
    </row>
    <row r="256" customFormat="false" ht="12.75" hidden="false" customHeight="true" outlineLevel="0" collapsed="false">
      <c r="B256" s="27" t="s">
        <v>384</v>
      </c>
      <c r="C256" s="76" t="s">
        <v>385</v>
      </c>
      <c r="D256" s="76" t="s">
        <v>382</v>
      </c>
      <c r="E256" s="27" t="s">
        <v>16</v>
      </c>
      <c r="F256" s="77"/>
      <c r="G256" s="28" t="n">
        <v>1</v>
      </c>
      <c r="H256" s="28" t="n">
        <v>1</v>
      </c>
      <c r="I256" s="28" t="n">
        <v>0</v>
      </c>
      <c r="J256" s="28" t="n">
        <v>0</v>
      </c>
      <c r="K256" s="29" t="n">
        <v>3000</v>
      </c>
      <c r="L256" s="29" t="n">
        <v>3000</v>
      </c>
      <c r="M256" s="78" t="s">
        <v>61</v>
      </c>
    </row>
    <row r="257" customFormat="false" ht="12.75" hidden="false" customHeight="true" outlineLevel="0" collapsed="false">
      <c r="B257" s="61"/>
      <c r="C257" s="62" t="s">
        <v>386</v>
      </c>
      <c r="D257" s="62"/>
      <c r="E257" s="62"/>
      <c r="F257" s="62"/>
      <c r="G257" s="63" t="n">
        <v>1</v>
      </c>
      <c r="H257" s="61"/>
      <c r="I257" s="61"/>
      <c r="J257" s="61"/>
      <c r="K257" s="61"/>
      <c r="L257" s="63" t="n">
        <v>3000</v>
      </c>
      <c r="M257" s="61"/>
    </row>
    <row r="258" customFormat="false" ht="12.75" hidden="false" customHeight="true" outlineLevel="0" collapsed="false">
      <c r="B258" s="27" t="s">
        <v>309</v>
      </c>
      <c r="C258" s="76" t="s">
        <v>387</v>
      </c>
      <c r="D258" s="76" t="s">
        <v>213</v>
      </c>
      <c r="E258" s="27" t="s">
        <v>16</v>
      </c>
      <c r="F258" s="77"/>
      <c r="G258" s="28" t="n">
        <v>2</v>
      </c>
      <c r="H258" s="28" t="n">
        <v>5</v>
      </c>
      <c r="I258" s="28" t="n">
        <v>11</v>
      </c>
      <c r="J258" s="28" t="n">
        <v>14</v>
      </c>
      <c r="K258" s="29" t="n">
        <v>1944</v>
      </c>
      <c r="L258" s="29" t="n">
        <v>3888</v>
      </c>
      <c r="M258" s="78" t="s">
        <v>61</v>
      </c>
    </row>
    <row r="259" customFormat="false" ht="12.75" hidden="false" customHeight="true" outlineLevel="0" collapsed="false">
      <c r="B259" s="22" t="s">
        <v>309</v>
      </c>
      <c r="C259" s="79" t="s">
        <v>388</v>
      </c>
      <c r="D259" s="79" t="s">
        <v>275</v>
      </c>
      <c r="E259" s="22" t="s">
        <v>16</v>
      </c>
      <c r="F259" s="80"/>
      <c r="G259" s="23" t="n">
        <v>2</v>
      </c>
      <c r="H259" s="23" t="n">
        <v>10</v>
      </c>
      <c r="I259" s="23" t="n">
        <v>7</v>
      </c>
      <c r="J259" s="23" t="n">
        <v>15</v>
      </c>
      <c r="K259" s="24" t="n">
        <v>905</v>
      </c>
      <c r="L259" s="24" t="n">
        <v>1810</v>
      </c>
      <c r="M259" s="81" t="s">
        <v>61</v>
      </c>
    </row>
    <row r="260" customFormat="false" ht="12.75" hidden="false" customHeight="true" outlineLevel="0" collapsed="false">
      <c r="B260" s="27" t="s">
        <v>309</v>
      </c>
      <c r="C260" s="76" t="s">
        <v>389</v>
      </c>
      <c r="D260" s="76" t="s">
        <v>372</v>
      </c>
      <c r="E260" s="27" t="s">
        <v>16</v>
      </c>
      <c r="F260" s="77"/>
      <c r="G260" s="28" t="n">
        <v>2</v>
      </c>
      <c r="H260" s="28" t="n">
        <v>21</v>
      </c>
      <c r="I260" s="28" t="n">
        <v>0</v>
      </c>
      <c r="J260" s="28" t="n">
        <v>19</v>
      </c>
      <c r="K260" s="29" t="n">
        <v>500</v>
      </c>
      <c r="L260" s="29" t="n">
        <v>1000</v>
      </c>
      <c r="M260" s="78" t="s">
        <v>61</v>
      </c>
    </row>
    <row r="261" customFormat="false" ht="12.75" hidden="false" customHeight="true" outlineLevel="0" collapsed="false">
      <c r="B261" s="22" t="s">
        <v>309</v>
      </c>
      <c r="C261" s="79" t="s">
        <v>390</v>
      </c>
      <c r="D261" s="79" t="s">
        <v>372</v>
      </c>
      <c r="E261" s="22" t="s">
        <v>16</v>
      </c>
      <c r="F261" s="80"/>
      <c r="G261" s="23" t="n">
        <v>1</v>
      </c>
      <c r="H261" s="23" t="n">
        <v>2</v>
      </c>
      <c r="I261" s="23" t="n">
        <v>0</v>
      </c>
      <c r="J261" s="23" t="n">
        <v>1</v>
      </c>
      <c r="K261" s="24" t="n">
        <v>500</v>
      </c>
      <c r="L261" s="24" t="n">
        <v>500</v>
      </c>
      <c r="M261" s="81" t="s">
        <v>61</v>
      </c>
    </row>
    <row r="262" customFormat="false" ht="12.75" hidden="false" customHeight="true" outlineLevel="0" collapsed="false">
      <c r="B262" s="27" t="s">
        <v>309</v>
      </c>
      <c r="C262" s="76" t="s">
        <v>391</v>
      </c>
      <c r="D262" s="76" t="s">
        <v>213</v>
      </c>
      <c r="E262" s="27" t="s">
        <v>16</v>
      </c>
      <c r="F262" s="77"/>
      <c r="G262" s="28" t="n">
        <v>0</v>
      </c>
      <c r="H262" s="28" t="n">
        <v>43</v>
      </c>
      <c r="I262" s="28" t="n">
        <v>0</v>
      </c>
      <c r="J262" s="28" t="n">
        <v>43</v>
      </c>
      <c r="K262" s="29" t="n">
        <v>1886.14</v>
      </c>
      <c r="L262" s="28"/>
      <c r="M262" s="78" t="s">
        <v>61</v>
      </c>
    </row>
    <row r="263" customFormat="false" ht="12.75" hidden="false" customHeight="true" outlineLevel="0" collapsed="false">
      <c r="B263" s="22" t="s">
        <v>309</v>
      </c>
      <c r="C263" s="79" t="s">
        <v>392</v>
      </c>
      <c r="D263" s="79" t="s">
        <v>275</v>
      </c>
      <c r="E263" s="22" t="s">
        <v>16</v>
      </c>
      <c r="F263" s="80"/>
      <c r="G263" s="23" t="n">
        <v>0</v>
      </c>
      <c r="H263" s="23" t="n">
        <v>1</v>
      </c>
      <c r="I263" s="23" t="n">
        <v>0</v>
      </c>
      <c r="J263" s="23" t="n">
        <v>1</v>
      </c>
      <c r="K263" s="24" t="n">
        <v>905</v>
      </c>
      <c r="L263" s="23"/>
      <c r="M263" s="81" t="s">
        <v>61</v>
      </c>
    </row>
    <row r="264" customFormat="false" ht="12.75" hidden="false" customHeight="true" outlineLevel="0" collapsed="false">
      <c r="B264" s="27" t="s">
        <v>309</v>
      </c>
      <c r="C264" s="76" t="s">
        <v>393</v>
      </c>
      <c r="D264" s="76" t="s">
        <v>275</v>
      </c>
      <c r="E264" s="27" t="s">
        <v>16</v>
      </c>
      <c r="F264" s="77"/>
      <c r="G264" s="28" t="n">
        <v>0</v>
      </c>
      <c r="H264" s="28" t="n">
        <v>3</v>
      </c>
      <c r="I264" s="28" t="n">
        <v>0</v>
      </c>
      <c r="J264" s="28" t="n">
        <v>3</v>
      </c>
      <c r="K264" s="29" t="n">
        <v>905</v>
      </c>
      <c r="L264" s="28"/>
      <c r="M264" s="78" t="s">
        <v>61</v>
      </c>
    </row>
    <row r="265" customFormat="false" ht="12.75" hidden="false" customHeight="true" outlineLevel="0" collapsed="false">
      <c r="B265" s="61"/>
      <c r="C265" s="62" t="s">
        <v>311</v>
      </c>
      <c r="D265" s="62"/>
      <c r="E265" s="62"/>
      <c r="F265" s="62"/>
      <c r="G265" s="63" t="n">
        <v>7</v>
      </c>
      <c r="H265" s="61"/>
      <c r="I265" s="61"/>
      <c r="J265" s="61"/>
      <c r="K265" s="61"/>
      <c r="L265" s="63" t="n">
        <v>7198</v>
      </c>
      <c r="M265" s="61"/>
    </row>
    <row r="266" customFormat="false" ht="12.75" hidden="false" customHeight="true" outlineLevel="0" collapsed="false">
      <c r="B266" s="27" t="s">
        <v>394</v>
      </c>
      <c r="C266" s="76" t="s">
        <v>395</v>
      </c>
      <c r="D266" s="76" t="s">
        <v>275</v>
      </c>
      <c r="E266" s="27" t="s">
        <v>16</v>
      </c>
      <c r="F266" s="77"/>
      <c r="G266" s="28" t="n">
        <v>15</v>
      </c>
      <c r="H266" s="28" t="n">
        <v>2</v>
      </c>
      <c r="I266" s="28" t="n">
        <v>31</v>
      </c>
      <c r="J266" s="28" t="n">
        <v>18</v>
      </c>
      <c r="K266" s="29" t="n">
        <v>300</v>
      </c>
      <c r="L266" s="29" t="n">
        <v>4500</v>
      </c>
      <c r="M266" s="78" t="s">
        <v>61</v>
      </c>
    </row>
    <row r="267" customFormat="false" ht="12.75" hidden="false" customHeight="true" outlineLevel="0" collapsed="false">
      <c r="B267" s="22" t="s">
        <v>394</v>
      </c>
      <c r="C267" s="79" t="s">
        <v>396</v>
      </c>
      <c r="D267" s="79" t="s">
        <v>372</v>
      </c>
      <c r="E267" s="22" t="s">
        <v>16</v>
      </c>
      <c r="F267" s="80"/>
      <c r="G267" s="23" t="n">
        <v>19</v>
      </c>
      <c r="H267" s="23" t="n">
        <v>20</v>
      </c>
      <c r="I267" s="23" t="n">
        <v>0</v>
      </c>
      <c r="J267" s="23" t="n">
        <v>1</v>
      </c>
      <c r="K267" s="24" t="n">
        <v>155</v>
      </c>
      <c r="L267" s="24" t="n">
        <v>2945</v>
      </c>
      <c r="M267" s="81" t="s">
        <v>61</v>
      </c>
    </row>
    <row r="268" customFormat="false" ht="12.75" hidden="false" customHeight="true" outlineLevel="0" collapsed="false">
      <c r="B268" s="27" t="s">
        <v>394</v>
      </c>
      <c r="C268" s="76" t="s">
        <v>397</v>
      </c>
      <c r="D268" s="76" t="s">
        <v>275</v>
      </c>
      <c r="E268" s="27" t="s">
        <v>16</v>
      </c>
      <c r="F268" s="77"/>
      <c r="G268" s="28" t="n">
        <v>8</v>
      </c>
      <c r="H268" s="28" t="n">
        <v>0</v>
      </c>
      <c r="I268" s="28" t="n">
        <v>28</v>
      </c>
      <c r="J268" s="28" t="n">
        <v>20</v>
      </c>
      <c r="K268" s="29" t="n">
        <v>300</v>
      </c>
      <c r="L268" s="29" t="n">
        <v>2400</v>
      </c>
      <c r="M268" s="78" t="s">
        <v>61</v>
      </c>
    </row>
    <row r="269" customFormat="false" ht="12.75" hidden="false" customHeight="true" outlineLevel="0" collapsed="false">
      <c r="B269" s="22" t="s">
        <v>394</v>
      </c>
      <c r="C269" s="79" t="s">
        <v>398</v>
      </c>
      <c r="D269" s="79" t="s">
        <v>372</v>
      </c>
      <c r="E269" s="22" t="s">
        <v>16</v>
      </c>
      <c r="F269" s="80"/>
      <c r="G269" s="23" t="n">
        <v>4</v>
      </c>
      <c r="H269" s="23" t="n">
        <v>25</v>
      </c>
      <c r="I269" s="23" t="n">
        <v>10</v>
      </c>
      <c r="J269" s="23" t="n">
        <v>31</v>
      </c>
      <c r="K269" s="24" t="n">
        <v>155</v>
      </c>
      <c r="L269" s="24" t="n">
        <v>620</v>
      </c>
      <c r="M269" s="81" t="s">
        <v>61</v>
      </c>
    </row>
    <row r="270" customFormat="false" ht="12.75" hidden="false" customHeight="true" outlineLevel="0" collapsed="false">
      <c r="B270" s="27" t="s">
        <v>394</v>
      </c>
      <c r="C270" s="76" t="s">
        <v>399</v>
      </c>
      <c r="D270" s="76" t="s">
        <v>213</v>
      </c>
      <c r="E270" s="27" t="s">
        <v>16</v>
      </c>
      <c r="F270" s="77"/>
      <c r="G270" s="28" t="n">
        <v>0</v>
      </c>
      <c r="H270" s="28" t="n">
        <v>4</v>
      </c>
      <c r="I270" s="28" t="n">
        <v>0</v>
      </c>
      <c r="J270" s="28" t="n">
        <v>4</v>
      </c>
      <c r="K270" s="29" t="n">
        <v>410</v>
      </c>
      <c r="L270" s="28"/>
      <c r="M270" s="78" t="s">
        <v>61</v>
      </c>
    </row>
    <row r="271" customFormat="false" ht="12.75" hidden="false" customHeight="true" outlineLevel="0" collapsed="false">
      <c r="B271" s="22" t="s">
        <v>394</v>
      </c>
      <c r="C271" s="79" t="s">
        <v>400</v>
      </c>
      <c r="D271" s="79" t="s">
        <v>213</v>
      </c>
      <c r="E271" s="22" t="s">
        <v>16</v>
      </c>
      <c r="F271" s="80"/>
      <c r="G271" s="23" t="n">
        <v>0</v>
      </c>
      <c r="H271" s="23" t="n">
        <v>5</v>
      </c>
      <c r="I271" s="23" t="n">
        <v>6</v>
      </c>
      <c r="J271" s="23" t="n">
        <v>11</v>
      </c>
      <c r="K271" s="24" t="n">
        <v>410</v>
      </c>
      <c r="L271" s="23"/>
      <c r="M271" s="81" t="s">
        <v>61</v>
      </c>
    </row>
    <row r="272" customFormat="false" ht="12.75" hidden="false" customHeight="true" outlineLevel="0" collapsed="false">
      <c r="B272" s="27" t="s">
        <v>394</v>
      </c>
      <c r="C272" s="76" t="s">
        <v>401</v>
      </c>
      <c r="D272" s="76" t="s">
        <v>213</v>
      </c>
      <c r="E272" s="27" t="s">
        <v>16</v>
      </c>
      <c r="F272" s="77"/>
      <c r="G272" s="28" t="n">
        <v>0</v>
      </c>
      <c r="H272" s="28" t="n">
        <v>4</v>
      </c>
      <c r="I272" s="28" t="n">
        <v>0</v>
      </c>
      <c r="J272" s="28" t="n">
        <v>4</v>
      </c>
      <c r="K272" s="29" t="n">
        <v>410</v>
      </c>
      <c r="L272" s="28"/>
      <c r="M272" s="78" t="s">
        <v>61</v>
      </c>
    </row>
    <row r="273" customFormat="false" ht="12.75" hidden="false" customHeight="true" outlineLevel="0" collapsed="false">
      <c r="B273" s="61"/>
      <c r="C273" s="62" t="s">
        <v>402</v>
      </c>
      <c r="D273" s="62"/>
      <c r="E273" s="62"/>
      <c r="F273" s="62"/>
      <c r="G273" s="63" t="n">
        <v>46</v>
      </c>
      <c r="H273" s="61"/>
      <c r="I273" s="61"/>
      <c r="J273" s="61"/>
      <c r="K273" s="61"/>
      <c r="L273" s="63" t="n">
        <v>10465</v>
      </c>
      <c r="M273" s="61"/>
    </row>
    <row r="274" customFormat="false" ht="13.5" hidden="false" customHeight="true" outlineLevel="0" collapsed="false">
      <c r="B274" s="66" t="s">
        <v>403</v>
      </c>
      <c r="C274" s="66"/>
      <c r="D274" s="66"/>
      <c r="E274" s="66"/>
      <c r="F274" s="66"/>
      <c r="G274" s="67" t="n">
        <v>232</v>
      </c>
      <c r="H274" s="68"/>
      <c r="I274" s="68"/>
      <c r="J274" s="68"/>
      <c r="K274" s="68"/>
      <c r="L274" s="67" t="n">
        <v>360918</v>
      </c>
      <c r="M274" s="68"/>
    </row>
    <row r="275" customFormat="false" ht="7.5" hidden="false" customHeight="true" outlineLevel="0" collapsed="false"/>
    <row r="276" customFormat="false" ht="15" hidden="false" customHeight="true" outlineLevel="0" collapsed="false">
      <c r="B276" s="75" t="s">
        <v>404</v>
      </c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</row>
    <row r="277" customFormat="false" ht="12.75" hidden="false" customHeight="true" outlineLevel="0" collapsed="false">
      <c r="B277" s="27" t="s">
        <v>154</v>
      </c>
      <c r="C277" s="76" t="s">
        <v>405</v>
      </c>
      <c r="D277" s="76" t="s">
        <v>406</v>
      </c>
      <c r="E277" s="27" t="s">
        <v>17</v>
      </c>
      <c r="F277" s="77"/>
      <c r="G277" s="28" t="n">
        <v>63</v>
      </c>
      <c r="H277" s="28" t="n">
        <v>63</v>
      </c>
      <c r="I277" s="28" t="n">
        <v>0</v>
      </c>
      <c r="J277" s="28" t="n">
        <v>0</v>
      </c>
      <c r="K277" s="29" t="n">
        <v>2300</v>
      </c>
      <c r="L277" s="29" t="n">
        <v>144900</v>
      </c>
      <c r="M277" s="78" t="s">
        <v>61</v>
      </c>
    </row>
    <row r="278" customFormat="false" ht="12.75" hidden="false" customHeight="true" outlineLevel="0" collapsed="false">
      <c r="B278" s="22" t="s">
        <v>154</v>
      </c>
      <c r="C278" s="79" t="s">
        <v>407</v>
      </c>
      <c r="D278" s="79" t="s">
        <v>406</v>
      </c>
      <c r="E278" s="22" t="s">
        <v>17</v>
      </c>
      <c r="F278" s="80"/>
      <c r="G278" s="23" t="n">
        <v>59</v>
      </c>
      <c r="H278" s="23" t="n">
        <v>70</v>
      </c>
      <c r="I278" s="23" t="n">
        <v>0</v>
      </c>
      <c r="J278" s="23" t="n">
        <v>11</v>
      </c>
      <c r="K278" s="24" t="n">
        <v>2261.4</v>
      </c>
      <c r="L278" s="24" t="n">
        <v>133422.6</v>
      </c>
      <c r="M278" s="81" t="s">
        <v>61</v>
      </c>
    </row>
    <row r="279" customFormat="false" ht="12.75" hidden="false" customHeight="true" outlineLevel="0" collapsed="false">
      <c r="B279" s="27" t="s">
        <v>154</v>
      </c>
      <c r="C279" s="76" t="s">
        <v>408</v>
      </c>
      <c r="D279" s="76" t="s">
        <v>406</v>
      </c>
      <c r="E279" s="27" t="s">
        <v>17</v>
      </c>
      <c r="F279" s="77"/>
      <c r="G279" s="28" t="n">
        <v>7</v>
      </c>
      <c r="H279" s="28" t="n">
        <v>5</v>
      </c>
      <c r="I279" s="28" t="n">
        <v>47</v>
      </c>
      <c r="J279" s="28" t="n">
        <v>45</v>
      </c>
      <c r="K279" s="29" t="n">
        <v>1702</v>
      </c>
      <c r="L279" s="29" t="n">
        <v>11914</v>
      </c>
      <c r="M279" s="78" t="s">
        <v>61</v>
      </c>
    </row>
    <row r="280" customFormat="false" ht="12.75" hidden="false" customHeight="true" outlineLevel="0" collapsed="false">
      <c r="B280" s="22" t="s">
        <v>154</v>
      </c>
      <c r="C280" s="79" t="s">
        <v>409</v>
      </c>
      <c r="D280" s="79" t="s">
        <v>406</v>
      </c>
      <c r="E280" s="22" t="s">
        <v>17</v>
      </c>
      <c r="F280" s="80"/>
      <c r="G280" s="23" t="n">
        <v>2</v>
      </c>
      <c r="H280" s="23" t="n">
        <v>4</v>
      </c>
      <c r="I280" s="23" t="n">
        <v>0</v>
      </c>
      <c r="J280" s="23" t="n">
        <v>2</v>
      </c>
      <c r="K280" s="24" t="n">
        <v>2261</v>
      </c>
      <c r="L280" s="24" t="n">
        <v>4522</v>
      </c>
      <c r="M280" s="81" t="s">
        <v>61</v>
      </c>
    </row>
    <row r="281" customFormat="false" ht="12.75" hidden="false" customHeight="true" outlineLevel="0" collapsed="false">
      <c r="B281" s="27" t="s">
        <v>154</v>
      </c>
      <c r="C281" s="76" t="s">
        <v>410</v>
      </c>
      <c r="D281" s="76" t="s">
        <v>406</v>
      </c>
      <c r="E281" s="27" t="s">
        <v>17</v>
      </c>
      <c r="F281" s="77"/>
      <c r="G281" s="28" t="n">
        <v>0</v>
      </c>
      <c r="H281" s="28" t="n">
        <v>10</v>
      </c>
      <c r="I281" s="28" t="n">
        <v>0</v>
      </c>
      <c r="J281" s="28" t="n">
        <v>10</v>
      </c>
      <c r="K281" s="29" t="n">
        <v>1702</v>
      </c>
      <c r="L281" s="28"/>
      <c r="M281" s="78" t="s">
        <v>61</v>
      </c>
    </row>
    <row r="282" customFormat="false" ht="12.75" hidden="false" customHeight="true" outlineLevel="0" collapsed="false">
      <c r="B282" s="22" t="s">
        <v>154</v>
      </c>
      <c r="C282" s="79" t="s">
        <v>411</v>
      </c>
      <c r="D282" s="79" t="s">
        <v>406</v>
      </c>
      <c r="E282" s="22" t="s">
        <v>17</v>
      </c>
      <c r="F282" s="80"/>
      <c r="G282" s="23" t="n">
        <v>6</v>
      </c>
      <c r="H282" s="23" t="n">
        <v>7</v>
      </c>
      <c r="I282" s="23" t="n">
        <v>0</v>
      </c>
      <c r="J282" s="23" t="n">
        <v>1</v>
      </c>
      <c r="K282" s="23"/>
      <c r="L282" s="82" t="s">
        <v>104</v>
      </c>
      <c r="M282" s="81" t="s">
        <v>61</v>
      </c>
    </row>
    <row r="283" customFormat="false" ht="12.75" hidden="false" customHeight="true" outlineLevel="0" collapsed="false">
      <c r="B283" s="61"/>
      <c r="C283" s="62" t="s">
        <v>164</v>
      </c>
      <c r="D283" s="62"/>
      <c r="E283" s="62"/>
      <c r="F283" s="62"/>
      <c r="G283" s="63" t="n">
        <v>137</v>
      </c>
      <c r="H283" s="61"/>
      <c r="I283" s="61"/>
      <c r="J283" s="61"/>
      <c r="K283" s="61"/>
      <c r="L283" s="63" t="n">
        <v>294758.6</v>
      </c>
      <c r="M283" s="61"/>
    </row>
    <row r="284" customFormat="false" ht="13.5" hidden="false" customHeight="true" outlineLevel="0" collapsed="false">
      <c r="B284" s="66" t="s">
        <v>412</v>
      </c>
      <c r="C284" s="66"/>
      <c r="D284" s="66"/>
      <c r="E284" s="66"/>
      <c r="F284" s="66"/>
      <c r="G284" s="67" t="n">
        <v>137</v>
      </c>
      <c r="H284" s="68"/>
      <c r="I284" s="68"/>
      <c r="J284" s="68"/>
      <c r="K284" s="68"/>
      <c r="L284" s="67" t="n">
        <v>294758.6</v>
      </c>
      <c r="M284" s="68"/>
    </row>
    <row r="285" customFormat="false" ht="7.5" hidden="false" customHeight="true" outlineLevel="0" collapsed="false"/>
    <row r="286" customFormat="false" ht="15" hidden="false" customHeight="true" outlineLevel="0" collapsed="false">
      <c r="B286" s="75" t="s">
        <v>413</v>
      </c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</row>
    <row r="287" customFormat="false" ht="12.75" hidden="false" customHeight="true" outlineLevel="0" collapsed="false">
      <c r="B287" s="27" t="s">
        <v>228</v>
      </c>
      <c r="C287" s="76" t="s">
        <v>414</v>
      </c>
      <c r="D287" s="76" t="s">
        <v>415</v>
      </c>
      <c r="E287" s="27" t="s">
        <v>18</v>
      </c>
      <c r="F287" s="77"/>
      <c r="G287" s="28" t="n">
        <v>7</v>
      </c>
      <c r="H287" s="28" t="n">
        <v>4</v>
      </c>
      <c r="I287" s="28" t="n">
        <v>5</v>
      </c>
      <c r="J287" s="28" t="n">
        <v>2</v>
      </c>
      <c r="K287" s="29" t="n">
        <v>130</v>
      </c>
      <c r="L287" s="29" t="n">
        <v>910</v>
      </c>
      <c r="M287" s="78" t="s">
        <v>61</v>
      </c>
    </row>
    <row r="288" customFormat="false" ht="12.75" hidden="false" customHeight="true" outlineLevel="0" collapsed="false">
      <c r="B288" s="22" t="s">
        <v>228</v>
      </c>
      <c r="C288" s="79" t="s">
        <v>416</v>
      </c>
      <c r="D288" s="79" t="s">
        <v>417</v>
      </c>
      <c r="E288" s="22" t="s">
        <v>18</v>
      </c>
      <c r="F288" s="80"/>
      <c r="G288" s="23" t="n">
        <v>6</v>
      </c>
      <c r="H288" s="23" t="n">
        <v>6</v>
      </c>
      <c r="I288" s="23" t="n">
        <v>0</v>
      </c>
      <c r="J288" s="23" t="n">
        <v>0</v>
      </c>
      <c r="K288" s="24" t="n">
        <v>130</v>
      </c>
      <c r="L288" s="24" t="n">
        <v>780</v>
      </c>
      <c r="M288" s="81" t="s">
        <v>61</v>
      </c>
    </row>
    <row r="289" customFormat="false" ht="12.75" hidden="false" customHeight="true" outlineLevel="0" collapsed="false">
      <c r="B289" s="27" t="s">
        <v>228</v>
      </c>
      <c r="C289" s="76" t="s">
        <v>418</v>
      </c>
      <c r="D289" s="76" t="s">
        <v>417</v>
      </c>
      <c r="E289" s="27" t="s">
        <v>18</v>
      </c>
      <c r="F289" s="77"/>
      <c r="G289" s="28" t="n">
        <v>6</v>
      </c>
      <c r="H289" s="28" t="n">
        <v>1</v>
      </c>
      <c r="I289" s="28" t="n">
        <v>5</v>
      </c>
      <c r="J289" s="28" t="n">
        <v>0</v>
      </c>
      <c r="K289" s="29" t="n">
        <v>130</v>
      </c>
      <c r="L289" s="29" t="n">
        <v>780</v>
      </c>
      <c r="M289" s="78" t="s">
        <v>61</v>
      </c>
    </row>
    <row r="290" customFormat="false" ht="12.75" hidden="false" customHeight="true" outlineLevel="0" collapsed="false">
      <c r="B290" s="22" t="s">
        <v>228</v>
      </c>
      <c r="C290" s="79" t="s">
        <v>419</v>
      </c>
      <c r="D290" s="79" t="s">
        <v>420</v>
      </c>
      <c r="E290" s="22" t="s">
        <v>18</v>
      </c>
      <c r="F290" s="80"/>
      <c r="G290" s="23" t="n">
        <v>1</v>
      </c>
      <c r="H290" s="23" t="n">
        <v>1</v>
      </c>
      <c r="I290" s="23" t="n">
        <v>0</v>
      </c>
      <c r="J290" s="23" t="n">
        <v>0</v>
      </c>
      <c r="K290" s="24" t="n">
        <v>600</v>
      </c>
      <c r="L290" s="24" t="n">
        <v>600</v>
      </c>
      <c r="M290" s="81" t="s">
        <v>61</v>
      </c>
    </row>
    <row r="291" customFormat="false" ht="12.75" hidden="false" customHeight="true" outlineLevel="0" collapsed="false">
      <c r="B291" s="27" t="s">
        <v>228</v>
      </c>
      <c r="C291" s="76" t="s">
        <v>421</v>
      </c>
      <c r="D291" s="76" t="s">
        <v>417</v>
      </c>
      <c r="E291" s="27" t="s">
        <v>18</v>
      </c>
      <c r="F291" s="77"/>
      <c r="G291" s="28" t="n">
        <v>3</v>
      </c>
      <c r="H291" s="28" t="n">
        <v>6</v>
      </c>
      <c r="I291" s="28" t="n">
        <v>0</v>
      </c>
      <c r="J291" s="28" t="n">
        <v>3</v>
      </c>
      <c r="K291" s="29" t="n">
        <v>118</v>
      </c>
      <c r="L291" s="29" t="n">
        <v>354</v>
      </c>
      <c r="M291" s="78" t="s">
        <v>61</v>
      </c>
    </row>
    <row r="292" customFormat="false" ht="12.75" hidden="false" customHeight="true" outlineLevel="0" collapsed="false">
      <c r="B292" s="22" t="s">
        <v>228</v>
      </c>
      <c r="C292" s="79" t="s">
        <v>422</v>
      </c>
      <c r="D292" s="79" t="s">
        <v>423</v>
      </c>
      <c r="E292" s="22" t="s">
        <v>18</v>
      </c>
      <c r="F292" s="80"/>
      <c r="G292" s="23" t="n">
        <v>1</v>
      </c>
      <c r="H292" s="23" t="n">
        <v>1</v>
      </c>
      <c r="I292" s="23" t="n">
        <v>0</v>
      </c>
      <c r="J292" s="23" t="n">
        <v>0</v>
      </c>
      <c r="K292" s="24" t="n">
        <v>210</v>
      </c>
      <c r="L292" s="24" t="n">
        <v>210</v>
      </c>
      <c r="M292" s="81" t="s">
        <v>61</v>
      </c>
    </row>
    <row r="293" customFormat="false" ht="12.75" hidden="false" customHeight="true" outlineLevel="0" collapsed="false">
      <c r="B293" s="27" t="s">
        <v>228</v>
      </c>
      <c r="C293" s="76" t="s">
        <v>424</v>
      </c>
      <c r="D293" s="76" t="s">
        <v>417</v>
      </c>
      <c r="E293" s="27" t="s">
        <v>18</v>
      </c>
      <c r="F293" s="77"/>
      <c r="G293" s="28" t="n">
        <v>1</v>
      </c>
      <c r="H293" s="28" t="n">
        <v>2</v>
      </c>
      <c r="I293" s="28" t="n">
        <v>0</v>
      </c>
      <c r="J293" s="28" t="n">
        <v>1</v>
      </c>
      <c r="K293" s="29" t="n">
        <v>118</v>
      </c>
      <c r="L293" s="29" t="n">
        <v>118</v>
      </c>
      <c r="M293" s="78" t="s">
        <v>61</v>
      </c>
    </row>
    <row r="294" customFormat="false" ht="12.75" hidden="false" customHeight="true" outlineLevel="0" collapsed="false">
      <c r="B294" s="61"/>
      <c r="C294" s="62" t="s">
        <v>232</v>
      </c>
      <c r="D294" s="62"/>
      <c r="E294" s="62"/>
      <c r="F294" s="62"/>
      <c r="G294" s="63" t="n">
        <v>25</v>
      </c>
      <c r="H294" s="61"/>
      <c r="I294" s="61"/>
      <c r="J294" s="61"/>
      <c r="K294" s="61"/>
      <c r="L294" s="63" t="n">
        <v>3752</v>
      </c>
      <c r="M294" s="61"/>
    </row>
    <row r="295" customFormat="false" ht="12.75" hidden="false" customHeight="true" outlineLevel="0" collapsed="false">
      <c r="B295" s="27" t="s">
        <v>425</v>
      </c>
      <c r="C295" s="76" t="s">
        <v>426</v>
      </c>
      <c r="D295" s="76" t="s">
        <v>427</v>
      </c>
      <c r="E295" s="27" t="s">
        <v>18</v>
      </c>
      <c r="F295" s="77"/>
      <c r="G295" s="28" t="n">
        <v>28</v>
      </c>
      <c r="H295" s="28" t="n">
        <v>29</v>
      </c>
      <c r="I295" s="28" t="n">
        <v>0</v>
      </c>
      <c r="J295" s="28" t="n">
        <v>1</v>
      </c>
      <c r="K295" s="29" t="n">
        <v>420</v>
      </c>
      <c r="L295" s="29" t="n">
        <v>11760</v>
      </c>
      <c r="M295" s="78" t="s">
        <v>61</v>
      </c>
    </row>
    <row r="296" customFormat="false" ht="12.75" hidden="false" customHeight="true" outlineLevel="0" collapsed="false">
      <c r="B296" s="22" t="s">
        <v>425</v>
      </c>
      <c r="C296" s="79" t="s">
        <v>428</v>
      </c>
      <c r="D296" s="79" t="s">
        <v>429</v>
      </c>
      <c r="E296" s="22" t="s">
        <v>18</v>
      </c>
      <c r="F296" s="80"/>
      <c r="G296" s="23" t="n">
        <v>20</v>
      </c>
      <c r="H296" s="23" t="n">
        <v>20</v>
      </c>
      <c r="I296" s="23" t="n">
        <v>0</v>
      </c>
      <c r="J296" s="23" t="n">
        <v>0</v>
      </c>
      <c r="K296" s="24" t="n">
        <v>300</v>
      </c>
      <c r="L296" s="24" t="n">
        <v>6000</v>
      </c>
      <c r="M296" s="81" t="s">
        <v>61</v>
      </c>
    </row>
    <row r="297" customFormat="false" ht="12.75" hidden="false" customHeight="true" outlineLevel="0" collapsed="false">
      <c r="B297" s="27" t="s">
        <v>425</v>
      </c>
      <c r="C297" s="76" t="s">
        <v>430</v>
      </c>
      <c r="D297" s="76" t="s">
        <v>431</v>
      </c>
      <c r="E297" s="27" t="s">
        <v>18</v>
      </c>
      <c r="F297" s="77"/>
      <c r="G297" s="28" t="n">
        <v>5</v>
      </c>
      <c r="H297" s="28" t="n">
        <v>5</v>
      </c>
      <c r="I297" s="28" t="n">
        <v>0</v>
      </c>
      <c r="J297" s="28" t="n">
        <v>0</v>
      </c>
      <c r="K297" s="29" t="n">
        <v>454</v>
      </c>
      <c r="L297" s="29" t="n">
        <v>2270</v>
      </c>
      <c r="M297" s="78" t="s">
        <v>61</v>
      </c>
    </row>
    <row r="298" customFormat="false" ht="12.75" hidden="false" customHeight="true" outlineLevel="0" collapsed="false">
      <c r="B298" s="22" t="s">
        <v>425</v>
      </c>
      <c r="C298" s="22" t="s">
        <v>432</v>
      </c>
      <c r="D298" s="22" t="s">
        <v>433</v>
      </c>
      <c r="E298" s="22" t="s">
        <v>18</v>
      </c>
      <c r="F298" s="80"/>
      <c r="G298" s="23" t="n">
        <v>7</v>
      </c>
      <c r="H298" s="23" t="n">
        <v>7</v>
      </c>
      <c r="I298" s="23" t="n">
        <v>0</v>
      </c>
      <c r="J298" s="23" t="n">
        <v>0</v>
      </c>
      <c r="K298" s="24" t="n">
        <v>228</v>
      </c>
      <c r="L298" s="24" t="n">
        <v>1596</v>
      </c>
      <c r="M298" s="81" t="s">
        <v>61</v>
      </c>
    </row>
    <row r="299" customFormat="false" ht="12.75" hidden="false" customHeight="true" outlineLevel="0" collapsed="false">
      <c r="B299" s="27" t="s">
        <v>425</v>
      </c>
      <c r="C299" s="76" t="s">
        <v>434</v>
      </c>
      <c r="D299" s="76" t="s">
        <v>431</v>
      </c>
      <c r="E299" s="27" t="s">
        <v>18</v>
      </c>
      <c r="F299" s="77"/>
      <c r="G299" s="28" t="n">
        <v>11</v>
      </c>
      <c r="H299" s="28" t="n">
        <v>11</v>
      </c>
      <c r="I299" s="28" t="n">
        <v>0</v>
      </c>
      <c r="J299" s="28" t="n">
        <v>0</v>
      </c>
      <c r="K299" s="29" t="n">
        <v>109</v>
      </c>
      <c r="L299" s="29" t="n">
        <v>1199</v>
      </c>
      <c r="M299" s="78" t="s">
        <v>61</v>
      </c>
    </row>
    <row r="300" customFormat="false" ht="12.75" hidden="false" customHeight="true" outlineLevel="0" collapsed="false">
      <c r="B300" s="22" t="s">
        <v>425</v>
      </c>
      <c r="C300" s="79" t="s">
        <v>435</v>
      </c>
      <c r="D300" s="79" t="s">
        <v>436</v>
      </c>
      <c r="E300" s="22" t="s">
        <v>18</v>
      </c>
      <c r="F300" s="80"/>
      <c r="G300" s="23" t="n">
        <v>4</v>
      </c>
      <c r="H300" s="23" t="n">
        <v>4</v>
      </c>
      <c r="I300" s="23" t="n">
        <v>0</v>
      </c>
      <c r="J300" s="23" t="n">
        <v>0</v>
      </c>
      <c r="K300" s="24" t="n">
        <v>213.5</v>
      </c>
      <c r="L300" s="24" t="n">
        <v>854</v>
      </c>
      <c r="M300" s="81" t="s">
        <v>61</v>
      </c>
    </row>
    <row r="301" customFormat="false" ht="12.75" hidden="false" customHeight="true" outlineLevel="0" collapsed="false">
      <c r="B301" s="27" t="s">
        <v>425</v>
      </c>
      <c r="C301" s="76" t="s">
        <v>437</v>
      </c>
      <c r="D301" s="76" t="s">
        <v>431</v>
      </c>
      <c r="E301" s="27" t="s">
        <v>18</v>
      </c>
      <c r="F301" s="77"/>
      <c r="G301" s="28" t="n">
        <v>3</v>
      </c>
      <c r="H301" s="28" t="n">
        <v>3</v>
      </c>
      <c r="I301" s="28" t="n">
        <v>0</v>
      </c>
      <c r="J301" s="28" t="n">
        <v>0</v>
      </c>
      <c r="K301" s="29" t="n">
        <v>278</v>
      </c>
      <c r="L301" s="29" t="n">
        <v>834</v>
      </c>
      <c r="M301" s="78" t="s">
        <v>61</v>
      </c>
    </row>
    <row r="302" customFormat="false" ht="12.75" hidden="false" customHeight="true" outlineLevel="0" collapsed="false">
      <c r="B302" s="22" t="s">
        <v>425</v>
      </c>
      <c r="C302" s="79" t="s">
        <v>438</v>
      </c>
      <c r="D302" s="79" t="s">
        <v>431</v>
      </c>
      <c r="E302" s="22" t="s">
        <v>18</v>
      </c>
      <c r="F302" s="80"/>
      <c r="G302" s="23" t="n">
        <v>3</v>
      </c>
      <c r="H302" s="23" t="n">
        <v>3</v>
      </c>
      <c r="I302" s="23" t="n">
        <v>0</v>
      </c>
      <c r="J302" s="23" t="n">
        <v>0</v>
      </c>
      <c r="K302" s="24" t="n">
        <v>178</v>
      </c>
      <c r="L302" s="24" t="n">
        <v>534</v>
      </c>
      <c r="M302" s="81" t="s">
        <v>61</v>
      </c>
    </row>
    <row r="303" customFormat="false" ht="12.75" hidden="false" customHeight="true" outlineLevel="0" collapsed="false">
      <c r="B303" s="27" t="s">
        <v>425</v>
      </c>
      <c r="C303" s="76" t="s">
        <v>439</v>
      </c>
      <c r="D303" s="76" t="s">
        <v>440</v>
      </c>
      <c r="E303" s="27" t="s">
        <v>18</v>
      </c>
      <c r="F303" s="77"/>
      <c r="G303" s="28" t="n">
        <v>10</v>
      </c>
      <c r="H303" s="28" t="n">
        <v>10</v>
      </c>
      <c r="I303" s="28" t="n">
        <v>0</v>
      </c>
      <c r="J303" s="28" t="n">
        <v>0</v>
      </c>
      <c r="K303" s="29" t="n">
        <v>50</v>
      </c>
      <c r="L303" s="29" t="n">
        <v>500</v>
      </c>
      <c r="M303" s="78" t="s">
        <v>61</v>
      </c>
    </row>
    <row r="304" customFormat="false" ht="12.75" hidden="false" customHeight="true" outlineLevel="0" collapsed="false">
      <c r="B304" s="22" t="s">
        <v>425</v>
      </c>
      <c r="C304" s="79" t="s">
        <v>441</v>
      </c>
      <c r="D304" s="79" t="s">
        <v>364</v>
      </c>
      <c r="E304" s="22" t="s">
        <v>18</v>
      </c>
      <c r="F304" s="80"/>
      <c r="G304" s="23" t="n">
        <v>1</v>
      </c>
      <c r="H304" s="23" t="n">
        <v>1</v>
      </c>
      <c r="I304" s="23" t="n">
        <v>0</v>
      </c>
      <c r="J304" s="23" t="n">
        <v>0</v>
      </c>
      <c r="K304" s="24" t="n">
        <v>286</v>
      </c>
      <c r="L304" s="24" t="n">
        <v>286</v>
      </c>
      <c r="M304" s="81" t="s">
        <v>61</v>
      </c>
    </row>
    <row r="305" customFormat="false" ht="12.75" hidden="false" customHeight="true" outlineLevel="0" collapsed="false">
      <c r="B305" s="27" t="s">
        <v>425</v>
      </c>
      <c r="C305" s="76" t="s">
        <v>442</v>
      </c>
      <c r="D305" s="76" t="s">
        <v>431</v>
      </c>
      <c r="E305" s="27" t="s">
        <v>18</v>
      </c>
      <c r="F305" s="77"/>
      <c r="G305" s="28" t="n">
        <v>1</v>
      </c>
      <c r="H305" s="28" t="n">
        <v>1</v>
      </c>
      <c r="I305" s="28" t="n">
        <v>0</v>
      </c>
      <c r="J305" s="28" t="n">
        <v>0</v>
      </c>
      <c r="K305" s="29" t="n">
        <v>252</v>
      </c>
      <c r="L305" s="29" t="n">
        <v>252</v>
      </c>
      <c r="M305" s="78" t="s">
        <v>61</v>
      </c>
    </row>
    <row r="306" customFormat="false" ht="12.75" hidden="false" customHeight="true" outlineLevel="0" collapsed="false">
      <c r="B306" s="22" t="s">
        <v>425</v>
      </c>
      <c r="C306" s="79" t="s">
        <v>443</v>
      </c>
      <c r="D306" s="79" t="s">
        <v>436</v>
      </c>
      <c r="E306" s="22" t="s">
        <v>18</v>
      </c>
      <c r="F306" s="80"/>
      <c r="G306" s="23" t="n">
        <v>1</v>
      </c>
      <c r="H306" s="23" t="n">
        <v>1</v>
      </c>
      <c r="I306" s="23" t="n">
        <v>0</v>
      </c>
      <c r="J306" s="23" t="n">
        <v>0</v>
      </c>
      <c r="K306" s="24" t="n">
        <v>213.5</v>
      </c>
      <c r="L306" s="24" t="n">
        <v>213.5</v>
      </c>
      <c r="M306" s="81" t="s">
        <v>61</v>
      </c>
    </row>
    <row r="307" customFormat="false" ht="12.75" hidden="false" customHeight="true" outlineLevel="0" collapsed="false">
      <c r="B307" s="27" t="s">
        <v>425</v>
      </c>
      <c r="C307" s="76" t="s">
        <v>444</v>
      </c>
      <c r="D307" s="76" t="s">
        <v>91</v>
      </c>
      <c r="E307" s="27" t="s">
        <v>18</v>
      </c>
      <c r="F307" s="77"/>
      <c r="G307" s="28" t="n">
        <v>34</v>
      </c>
      <c r="H307" s="28" t="n">
        <v>34</v>
      </c>
      <c r="I307" s="28" t="n">
        <v>0</v>
      </c>
      <c r="J307" s="28" t="n">
        <v>0</v>
      </c>
      <c r="K307" s="29" t="n">
        <v>5</v>
      </c>
      <c r="L307" s="29" t="n">
        <v>170</v>
      </c>
      <c r="M307" s="78" t="s">
        <v>61</v>
      </c>
    </row>
    <row r="308" customFormat="false" ht="12.75" hidden="false" customHeight="true" outlineLevel="0" collapsed="false">
      <c r="B308" s="22" t="s">
        <v>425</v>
      </c>
      <c r="C308" s="22" t="s">
        <v>445</v>
      </c>
      <c r="D308" s="22" t="s">
        <v>433</v>
      </c>
      <c r="E308" s="22" t="s">
        <v>18</v>
      </c>
      <c r="F308" s="80"/>
      <c r="G308" s="23" t="n">
        <v>6</v>
      </c>
      <c r="H308" s="23" t="n">
        <v>6</v>
      </c>
      <c r="I308" s="23" t="n">
        <v>0</v>
      </c>
      <c r="J308" s="23" t="n">
        <v>0</v>
      </c>
      <c r="K308" s="24" t="n">
        <v>20</v>
      </c>
      <c r="L308" s="24" t="n">
        <v>120</v>
      </c>
      <c r="M308" s="81" t="s">
        <v>61</v>
      </c>
    </row>
    <row r="309" customFormat="false" ht="12.75" hidden="false" customHeight="true" outlineLevel="0" collapsed="false">
      <c r="B309" s="27" t="s">
        <v>425</v>
      </c>
      <c r="C309" s="27" t="s">
        <v>446</v>
      </c>
      <c r="D309" s="27" t="s">
        <v>447</v>
      </c>
      <c r="E309" s="27" t="s">
        <v>18</v>
      </c>
      <c r="F309" s="77"/>
      <c r="G309" s="28" t="n">
        <v>1</v>
      </c>
      <c r="H309" s="28" t="n">
        <v>1</v>
      </c>
      <c r="I309" s="28" t="n">
        <v>0</v>
      </c>
      <c r="J309" s="28" t="n">
        <v>0</v>
      </c>
      <c r="K309" s="29" t="n">
        <v>80</v>
      </c>
      <c r="L309" s="29" t="n">
        <v>80</v>
      </c>
      <c r="M309" s="78" t="s">
        <v>61</v>
      </c>
    </row>
    <row r="310" customFormat="false" ht="12.75" hidden="false" customHeight="true" outlineLevel="0" collapsed="false">
      <c r="B310" s="22" t="s">
        <v>425</v>
      </c>
      <c r="C310" s="79" t="s">
        <v>448</v>
      </c>
      <c r="D310" s="79" t="s">
        <v>449</v>
      </c>
      <c r="E310" s="22" t="s">
        <v>18</v>
      </c>
      <c r="F310" s="80"/>
      <c r="G310" s="23" t="n">
        <v>1</v>
      </c>
      <c r="H310" s="23" t="n">
        <v>1</v>
      </c>
      <c r="I310" s="23" t="n">
        <v>0</v>
      </c>
      <c r="J310" s="23" t="n">
        <v>0</v>
      </c>
      <c r="K310" s="24" t="n">
        <v>62</v>
      </c>
      <c r="L310" s="24" t="n">
        <v>62</v>
      </c>
      <c r="M310" s="81" t="s">
        <v>61</v>
      </c>
    </row>
    <row r="311" customFormat="false" ht="12.75" hidden="false" customHeight="true" outlineLevel="0" collapsed="false">
      <c r="B311" s="27" t="s">
        <v>425</v>
      </c>
      <c r="C311" s="76" t="s">
        <v>450</v>
      </c>
      <c r="D311" s="76" t="s">
        <v>451</v>
      </c>
      <c r="E311" s="27" t="s">
        <v>18</v>
      </c>
      <c r="F311" s="77"/>
      <c r="G311" s="28" t="n">
        <v>2</v>
      </c>
      <c r="H311" s="28" t="n">
        <v>2</v>
      </c>
      <c r="I311" s="28" t="n">
        <v>0</v>
      </c>
      <c r="J311" s="28" t="n">
        <v>0</v>
      </c>
      <c r="K311" s="29" t="n">
        <v>31</v>
      </c>
      <c r="L311" s="29" t="n">
        <v>62</v>
      </c>
      <c r="M311" s="78" t="s">
        <v>61</v>
      </c>
    </row>
    <row r="312" customFormat="false" ht="12.75" hidden="false" customHeight="true" outlineLevel="0" collapsed="false">
      <c r="B312" s="22" t="s">
        <v>425</v>
      </c>
      <c r="C312" s="79" t="s">
        <v>452</v>
      </c>
      <c r="D312" s="79" t="s">
        <v>453</v>
      </c>
      <c r="E312" s="22" t="s">
        <v>18</v>
      </c>
      <c r="F312" s="80"/>
      <c r="G312" s="23" t="n">
        <v>20</v>
      </c>
      <c r="H312" s="23" t="n">
        <v>20</v>
      </c>
      <c r="I312" s="23" t="n">
        <v>1</v>
      </c>
      <c r="J312" s="23" t="n">
        <v>1</v>
      </c>
      <c r="K312" s="23"/>
      <c r="L312" s="82" t="s">
        <v>104</v>
      </c>
      <c r="M312" s="81" t="s">
        <v>61</v>
      </c>
    </row>
    <row r="313" customFormat="false" ht="12.75" hidden="false" customHeight="true" outlineLevel="0" collapsed="false">
      <c r="B313" s="27" t="s">
        <v>425</v>
      </c>
      <c r="C313" s="76" t="s">
        <v>454</v>
      </c>
      <c r="D313" s="76" t="s">
        <v>453</v>
      </c>
      <c r="E313" s="27" t="s">
        <v>18</v>
      </c>
      <c r="F313" s="77"/>
      <c r="G313" s="28" t="n">
        <v>35</v>
      </c>
      <c r="H313" s="28" t="n">
        <v>38</v>
      </c>
      <c r="I313" s="28" t="n">
        <v>3</v>
      </c>
      <c r="J313" s="28" t="n">
        <v>6</v>
      </c>
      <c r="K313" s="28"/>
      <c r="L313" s="83" t="s">
        <v>104</v>
      </c>
      <c r="M313" s="78" t="s">
        <v>61</v>
      </c>
    </row>
    <row r="314" customFormat="false" ht="12.75" hidden="false" customHeight="true" outlineLevel="0" collapsed="false">
      <c r="B314" s="61"/>
      <c r="C314" s="62" t="s">
        <v>455</v>
      </c>
      <c r="D314" s="62"/>
      <c r="E314" s="62"/>
      <c r="F314" s="62"/>
      <c r="G314" s="63" t="n">
        <v>193</v>
      </c>
      <c r="H314" s="61"/>
      <c r="I314" s="61"/>
      <c r="J314" s="61"/>
      <c r="K314" s="61"/>
      <c r="L314" s="63" t="n">
        <v>26792.5</v>
      </c>
      <c r="M314" s="61"/>
    </row>
    <row r="315" customFormat="false" ht="12.75" hidden="false" customHeight="true" outlineLevel="0" collapsed="false">
      <c r="B315" s="27" t="s">
        <v>456</v>
      </c>
      <c r="C315" s="27" t="s">
        <v>457</v>
      </c>
      <c r="D315" s="27" t="s">
        <v>458</v>
      </c>
      <c r="E315" s="27" t="s">
        <v>18</v>
      </c>
      <c r="F315" s="77"/>
      <c r="G315" s="28" t="n">
        <v>174</v>
      </c>
      <c r="H315" s="28" t="n">
        <v>174</v>
      </c>
      <c r="I315" s="28" t="n">
        <v>0</v>
      </c>
      <c r="J315" s="28" t="n">
        <v>0</v>
      </c>
      <c r="K315" s="29" t="n">
        <v>10</v>
      </c>
      <c r="L315" s="29" t="n">
        <v>1740</v>
      </c>
      <c r="M315" s="78" t="s">
        <v>61</v>
      </c>
    </row>
    <row r="316" customFormat="false" ht="12.75" hidden="false" customHeight="true" outlineLevel="0" collapsed="false">
      <c r="B316" s="22" t="s">
        <v>456</v>
      </c>
      <c r="C316" s="22" t="s">
        <v>459</v>
      </c>
      <c r="D316" s="22" t="s">
        <v>458</v>
      </c>
      <c r="E316" s="22" t="s">
        <v>18</v>
      </c>
      <c r="F316" s="80"/>
      <c r="G316" s="23" t="n">
        <v>20</v>
      </c>
      <c r="H316" s="23" t="n">
        <v>20</v>
      </c>
      <c r="I316" s="23" t="n">
        <v>0</v>
      </c>
      <c r="J316" s="23" t="n">
        <v>0</v>
      </c>
      <c r="K316" s="24" t="n">
        <v>10</v>
      </c>
      <c r="L316" s="24" t="n">
        <v>200</v>
      </c>
      <c r="M316" s="81" t="s">
        <v>61</v>
      </c>
    </row>
    <row r="317" customFormat="false" ht="12.75" hidden="false" customHeight="true" outlineLevel="0" collapsed="false">
      <c r="B317" s="27" t="s">
        <v>456</v>
      </c>
      <c r="C317" s="27" t="s">
        <v>460</v>
      </c>
      <c r="D317" s="27" t="s">
        <v>458</v>
      </c>
      <c r="E317" s="27" t="s">
        <v>18</v>
      </c>
      <c r="F317" s="77"/>
      <c r="G317" s="28" t="n">
        <v>14</v>
      </c>
      <c r="H317" s="28" t="n">
        <v>14</v>
      </c>
      <c r="I317" s="28" t="n">
        <v>0</v>
      </c>
      <c r="J317" s="28" t="n">
        <v>0</v>
      </c>
      <c r="K317" s="29" t="n">
        <v>10</v>
      </c>
      <c r="L317" s="29" t="n">
        <v>140</v>
      </c>
      <c r="M317" s="78" t="s">
        <v>61</v>
      </c>
    </row>
    <row r="318" customFormat="false" ht="12.75" hidden="false" customHeight="true" outlineLevel="0" collapsed="false">
      <c r="B318" s="22" t="s">
        <v>456</v>
      </c>
      <c r="C318" s="22" t="s">
        <v>461</v>
      </c>
      <c r="D318" s="22" t="s">
        <v>458</v>
      </c>
      <c r="E318" s="22" t="s">
        <v>18</v>
      </c>
      <c r="F318" s="80"/>
      <c r="G318" s="23" t="n">
        <v>8</v>
      </c>
      <c r="H318" s="23" t="n">
        <v>8</v>
      </c>
      <c r="I318" s="23" t="n">
        <v>0</v>
      </c>
      <c r="J318" s="23" t="n">
        <v>0</v>
      </c>
      <c r="K318" s="24" t="n">
        <v>10</v>
      </c>
      <c r="L318" s="24" t="n">
        <v>80</v>
      </c>
      <c r="M318" s="81" t="s">
        <v>61</v>
      </c>
    </row>
    <row r="319" customFormat="false" ht="12.75" hidden="false" customHeight="true" outlineLevel="0" collapsed="false">
      <c r="B319" s="27" t="s">
        <v>456</v>
      </c>
      <c r="C319" s="27" t="s">
        <v>462</v>
      </c>
      <c r="D319" s="27" t="s">
        <v>458</v>
      </c>
      <c r="E319" s="27" t="s">
        <v>18</v>
      </c>
      <c r="F319" s="77"/>
      <c r="G319" s="28" t="n">
        <v>6</v>
      </c>
      <c r="H319" s="28" t="n">
        <v>6</v>
      </c>
      <c r="I319" s="28" t="n">
        <v>0</v>
      </c>
      <c r="J319" s="28" t="n">
        <v>0</v>
      </c>
      <c r="K319" s="29" t="n">
        <v>10</v>
      </c>
      <c r="L319" s="29" t="n">
        <v>60</v>
      </c>
      <c r="M319" s="78" t="s">
        <v>61</v>
      </c>
    </row>
    <row r="320" customFormat="false" ht="12.75" hidden="false" customHeight="true" outlineLevel="0" collapsed="false">
      <c r="B320" s="61"/>
      <c r="C320" s="62" t="s">
        <v>463</v>
      </c>
      <c r="D320" s="62"/>
      <c r="E320" s="62"/>
      <c r="F320" s="62"/>
      <c r="G320" s="63" t="n">
        <v>222</v>
      </c>
      <c r="H320" s="61"/>
      <c r="I320" s="61"/>
      <c r="J320" s="61"/>
      <c r="K320" s="61"/>
      <c r="L320" s="63" t="n">
        <v>2220</v>
      </c>
      <c r="M320" s="61"/>
    </row>
    <row r="321" customFormat="false" ht="12.75" hidden="false" customHeight="true" outlineLevel="0" collapsed="false">
      <c r="B321" s="27" t="s">
        <v>265</v>
      </c>
      <c r="C321" s="76" t="s">
        <v>464</v>
      </c>
      <c r="D321" s="76" t="s">
        <v>267</v>
      </c>
      <c r="E321" s="27" t="s">
        <v>18</v>
      </c>
      <c r="F321" s="77"/>
      <c r="G321" s="28" t="n">
        <v>4</v>
      </c>
      <c r="H321" s="28" t="n">
        <v>4</v>
      </c>
      <c r="I321" s="28" t="n">
        <v>0</v>
      </c>
      <c r="J321" s="28" t="n">
        <v>0</v>
      </c>
      <c r="K321" s="29" t="n">
        <v>2010</v>
      </c>
      <c r="L321" s="29" t="n">
        <v>8040</v>
      </c>
      <c r="M321" s="78" t="s">
        <v>61</v>
      </c>
    </row>
    <row r="322" customFormat="false" ht="12.75" hidden="false" customHeight="true" outlineLevel="0" collapsed="false">
      <c r="B322" s="22" t="s">
        <v>265</v>
      </c>
      <c r="C322" s="79" t="s">
        <v>465</v>
      </c>
      <c r="D322" s="79" t="s">
        <v>267</v>
      </c>
      <c r="E322" s="22" t="s">
        <v>18</v>
      </c>
      <c r="F322" s="80"/>
      <c r="G322" s="23" t="n">
        <v>4</v>
      </c>
      <c r="H322" s="23" t="n">
        <v>4</v>
      </c>
      <c r="I322" s="23" t="n">
        <v>0</v>
      </c>
      <c r="J322" s="23" t="n">
        <v>0</v>
      </c>
      <c r="K322" s="24" t="n">
        <v>1852.5</v>
      </c>
      <c r="L322" s="24" t="n">
        <v>7410</v>
      </c>
      <c r="M322" s="81" t="s">
        <v>61</v>
      </c>
    </row>
    <row r="323" customFormat="false" ht="12.75" hidden="false" customHeight="true" outlineLevel="0" collapsed="false">
      <c r="B323" s="27" t="s">
        <v>265</v>
      </c>
      <c r="C323" s="76" t="s">
        <v>466</v>
      </c>
      <c r="D323" s="76" t="s">
        <v>267</v>
      </c>
      <c r="E323" s="27" t="s">
        <v>18</v>
      </c>
      <c r="F323" s="77"/>
      <c r="G323" s="28" t="n">
        <v>3</v>
      </c>
      <c r="H323" s="28" t="n">
        <v>3</v>
      </c>
      <c r="I323" s="28" t="n">
        <v>0</v>
      </c>
      <c r="J323" s="28" t="n">
        <v>0</v>
      </c>
      <c r="K323" s="29" t="n">
        <v>2400</v>
      </c>
      <c r="L323" s="29" t="n">
        <v>7200</v>
      </c>
      <c r="M323" s="78" t="s">
        <v>61</v>
      </c>
    </row>
    <row r="324" customFormat="false" ht="12.75" hidden="false" customHeight="true" outlineLevel="0" collapsed="false">
      <c r="B324" s="22" t="s">
        <v>265</v>
      </c>
      <c r="C324" s="79" t="s">
        <v>467</v>
      </c>
      <c r="D324" s="79" t="s">
        <v>267</v>
      </c>
      <c r="E324" s="22" t="s">
        <v>18</v>
      </c>
      <c r="F324" s="80"/>
      <c r="G324" s="23" t="n">
        <v>4</v>
      </c>
      <c r="H324" s="23" t="n">
        <v>4</v>
      </c>
      <c r="I324" s="23" t="n">
        <v>0</v>
      </c>
      <c r="J324" s="23" t="n">
        <v>0</v>
      </c>
      <c r="K324" s="24" t="n">
        <v>1482</v>
      </c>
      <c r="L324" s="24" t="n">
        <v>5928</v>
      </c>
      <c r="M324" s="81" t="s">
        <v>61</v>
      </c>
    </row>
    <row r="325" customFormat="false" ht="12.75" hidden="false" customHeight="true" outlineLevel="0" collapsed="false">
      <c r="B325" s="27" t="s">
        <v>265</v>
      </c>
      <c r="C325" s="76" t="s">
        <v>468</v>
      </c>
      <c r="D325" s="76" t="s">
        <v>267</v>
      </c>
      <c r="E325" s="27" t="s">
        <v>18</v>
      </c>
      <c r="F325" s="77"/>
      <c r="G325" s="28" t="n">
        <v>2</v>
      </c>
      <c r="H325" s="28" t="n">
        <v>2</v>
      </c>
      <c r="I325" s="28" t="n">
        <v>0</v>
      </c>
      <c r="J325" s="28" t="n">
        <v>0</v>
      </c>
      <c r="K325" s="29" t="n">
        <v>2400</v>
      </c>
      <c r="L325" s="29" t="n">
        <v>4800</v>
      </c>
      <c r="M325" s="78" t="s">
        <v>61</v>
      </c>
    </row>
    <row r="326" customFormat="false" ht="12.75" hidden="false" customHeight="true" outlineLevel="0" collapsed="false">
      <c r="B326" s="22" t="s">
        <v>265</v>
      </c>
      <c r="C326" s="79" t="s">
        <v>469</v>
      </c>
      <c r="D326" s="79" t="s">
        <v>267</v>
      </c>
      <c r="E326" s="22" t="s">
        <v>18</v>
      </c>
      <c r="F326" s="80"/>
      <c r="G326" s="23" t="n">
        <v>2</v>
      </c>
      <c r="H326" s="23" t="n">
        <v>2</v>
      </c>
      <c r="I326" s="23" t="n">
        <v>0</v>
      </c>
      <c r="J326" s="23" t="n">
        <v>0</v>
      </c>
      <c r="K326" s="24" t="n">
        <v>1898</v>
      </c>
      <c r="L326" s="24" t="n">
        <v>3796</v>
      </c>
      <c r="M326" s="81" t="s">
        <v>61</v>
      </c>
    </row>
    <row r="327" customFormat="false" ht="12.75" hidden="false" customHeight="true" outlineLevel="0" collapsed="false">
      <c r="B327" s="27" t="s">
        <v>265</v>
      </c>
      <c r="C327" s="76" t="s">
        <v>470</v>
      </c>
      <c r="D327" s="76" t="s">
        <v>267</v>
      </c>
      <c r="E327" s="27" t="s">
        <v>18</v>
      </c>
      <c r="F327" s="77"/>
      <c r="G327" s="28" t="n">
        <v>2</v>
      </c>
      <c r="H327" s="28" t="n">
        <v>2</v>
      </c>
      <c r="I327" s="28" t="n">
        <v>0</v>
      </c>
      <c r="J327" s="28" t="n">
        <v>0</v>
      </c>
      <c r="K327" s="29" t="n">
        <v>1898</v>
      </c>
      <c r="L327" s="29" t="n">
        <v>3796</v>
      </c>
      <c r="M327" s="78" t="s">
        <v>61</v>
      </c>
    </row>
    <row r="328" customFormat="false" ht="12.75" hidden="false" customHeight="true" outlineLevel="0" collapsed="false">
      <c r="B328" s="22" t="s">
        <v>265</v>
      </c>
      <c r="C328" s="79" t="s">
        <v>471</v>
      </c>
      <c r="D328" s="79" t="s">
        <v>267</v>
      </c>
      <c r="E328" s="22" t="s">
        <v>18</v>
      </c>
      <c r="F328" s="80"/>
      <c r="G328" s="23" t="n">
        <v>2</v>
      </c>
      <c r="H328" s="23" t="n">
        <v>2</v>
      </c>
      <c r="I328" s="23" t="n">
        <v>0</v>
      </c>
      <c r="J328" s="23" t="n">
        <v>0</v>
      </c>
      <c r="K328" s="24" t="n">
        <v>1833</v>
      </c>
      <c r="L328" s="24" t="n">
        <v>3666</v>
      </c>
      <c r="M328" s="81" t="s">
        <v>61</v>
      </c>
    </row>
    <row r="329" customFormat="false" ht="12.75" hidden="false" customHeight="true" outlineLevel="0" collapsed="false">
      <c r="B329" s="27" t="s">
        <v>265</v>
      </c>
      <c r="C329" s="76" t="s">
        <v>472</v>
      </c>
      <c r="D329" s="76" t="s">
        <v>267</v>
      </c>
      <c r="E329" s="27" t="s">
        <v>18</v>
      </c>
      <c r="F329" s="77"/>
      <c r="G329" s="28" t="n">
        <v>2</v>
      </c>
      <c r="H329" s="28" t="n">
        <v>2</v>
      </c>
      <c r="I329" s="28" t="n">
        <v>0</v>
      </c>
      <c r="J329" s="28" t="n">
        <v>0</v>
      </c>
      <c r="K329" s="29" t="n">
        <v>1482</v>
      </c>
      <c r="L329" s="29" t="n">
        <v>2964</v>
      </c>
      <c r="M329" s="78" t="s">
        <v>61</v>
      </c>
    </row>
    <row r="330" customFormat="false" ht="12.75" hidden="false" customHeight="true" outlineLevel="0" collapsed="false">
      <c r="B330" s="22" t="s">
        <v>265</v>
      </c>
      <c r="C330" s="79" t="s">
        <v>473</v>
      </c>
      <c r="D330" s="79" t="s">
        <v>267</v>
      </c>
      <c r="E330" s="22" t="s">
        <v>18</v>
      </c>
      <c r="F330" s="80"/>
      <c r="G330" s="23" t="n">
        <v>1</v>
      </c>
      <c r="H330" s="23" t="n">
        <v>1</v>
      </c>
      <c r="I330" s="23" t="n">
        <v>0</v>
      </c>
      <c r="J330" s="23" t="n">
        <v>0</v>
      </c>
      <c r="K330" s="24" t="n">
        <v>2400</v>
      </c>
      <c r="L330" s="24" t="n">
        <v>2400</v>
      </c>
      <c r="M330" s="81" t="s">
        <v>61</v>
      </c>
    </row>
    <row r="331" customFormat="false" ht="12.75" hidden="false" customHeight="true" outlineLevel="0" collapsed="false">
      <c r="B331" s="27" t="s">
        <v>265</v>
      </c>
      <c r="C331" s="76" t="s">
        <v>474</v>
      </c>
      <c r="D331" s="76" t="s">
        <v>267</v>
      </c>
      <c r="E331" s="27" t="s">
        <v>18</v>
      </c>
      <c r="F331" s="77"/>
      <c r="G331" s="28" t="n">
        <v>1</v>
      </c>
      <c r="H331" s="28" t="n">
        <v>1</v>
      </c>
      <c r="I331" s="28" t="n">
        <v>0</v>
      </c>
      <c r="J331" s="28" t="n">
        <v>0</v>
      </c>
      <c r="K331" s="29" t="n">
        <v>2400</v>
      </c>
      <c r="L331" s="29" t="n">
        <v>2400</v>
      </c>
      <c r="M331" s="78" t="s">
        <v>61</v>
      </c>
    </row>
    <row r="332" customFormat="false" ht="12.75" hidden="false" customHeight="true" outlineLevel="0" collapsed="false">
      <c r="B332" s="22" t="s">
        <v>265</v>
      </c>
      <c r="C332" s="79" t="s">
        <v>475</v>
      </c>
      <c r="D332" s="79" t="s">
        <v>267</v>
      </c>
      <c r="E332" s="22" t="s">
        <v>18</v>
      </c>
      <c r="F332" s="80"/>
      <c r="G332" s="23" t="n">
        <v>1</v>
      </c>
      <c r="H332" s="23" t="n">
        <v>1</v>
      </c>
      <c r="I332" s="23" t="n">
        <v>0</v>
      </c>
      <c r="J332" s="23" t="n">
        <v>0</v>
      </c>
      <c r="K332" s="24" t="n">
        <v>1957</v>
      </c>
      <c r="L332" s="24" t="n">
        <v>1957</v>
      </c>
      <c r="M332" s="81" t="s">
        <v>61</v>
      </c>
    </row>
    <row r="333" customFormat="false" ht="12.75" hidden="false" customHeight="true" outlineLevel="0" collapsed="false">
      <c r="B333" s="27" t="s">
        <v>265</v>
      </c>
      <c r="C333" s="76" t="s">
        <v>476</v>
      </c>
      <c r="D333" s="76" t="s">
        <v>267</v>
      </c>
      <c r="E333" s="27" t="s">
        <v>18</v>
      </c>
      <c r="F333" s="77"/>
      <c r="G333" s="28" t="n">
        <v>2</v>
      </c>
      <c r="H333" s="28" t="n">
        <v>2</v>
      </c>
      <c r="I333" s="28" t="n">
        <v>0</v>
      </c>
      <c r="J333" s="28" t="n">
        <v>0</v>
      </c>
      <c r="K333" s="29" t="n">
        <v>822.5</v>
      </c>
      <c r="L333" s="29" t="n">
        <v>1645</v>
      </c>
      <c r="M333" s="78" t="s">
        <v>61</v>
      </c>
    </row>
    <row r="334" customFormat="false" ht="12.75" hidden="false" customHeight="true" outlineLevel="0" collapsed="false">
      <c r="B334" s="22" t="s">
        <v>265</v>
      </c>
      <c r="C334" s="79" t="s">
        <v>477</v>
      </c>
      <c r="D334" s="79" t="s">
        <v>267</v>
      </c>
      <c r="E334" s="22" t="s">
        <v>18</v>
      </c>
      <c r="F334" s="80"/>
      <c r="G334" s="23" t="n">
        <v>1</v>
      </c>
      <c r="H334" s="23" t="n">
        <v>4</v>
      </c>
      <c r="I334" s="23" t="n">
        <v>0</v>
      </c>
      <c r="J334" s="23" t="n">
        <v>3</v>
      </c>
      <c r="K334" s="24" t="n">
        <v>1619.38</v>
      </c>
      <c r="L334" s="24" t="n">
        <v>1619.38</v>
      </c>
      <c r="M334" s="81" t="s">
        <v>61</v>
      </c>
    </row>
    <row r="335" customFormat="false" ht="12.75" hidden="false" customHeight="true" outlineLevel="0" collapsed="false">
      <c r="B335" s="27" t="s">
        <v>265</v>
      </c>
      <c r="C335" s="76" t="s">
        <v>478</v>
      </c>
      <c r="D335" s="76" t="s">
        <v>267</v>
      </c>
      <c r="E335" s="27" t="s">
        <v>18</v>
      </c>
      <c r="F335" s="77"/>
      <c r="G335" s="28" t="n">
        <v>1</v>
      </c>
      <c r="H335" s="28" t="n">
        <v>1</v>
      </c>
      <c r="I335" s="28" t="n">
        <v>0</v>
      </c>
      <c r="J335" s="28" t="n">
        <v>0</v>
      </c>
      <c r="K335" s="29" t="n">
        <v>1528</v>
      </c>
      <c r="L335" s="29" t="n">
        <v>1528</v>
      </c>
      <c r="M335" s="78" t="s">
        <v>61</v>
      </c>
    </row>
    <row r="336" customFormat="false" ht="12.75" hidden="false" customHeight="true" outlineLevel="0" collapsed="false">
      <c r="B336" s="22" t="s">
        <v>265</v>
      </c>
      <c r="C336" s="79" t="s">
        <v>479</v>
      </c>
      <c r="D336" s="79" t="s">
        <v>267</v>
      </c>
      <c r="E336" s="22" t="s">
        <v>18</v>
      </c>
      <c r="F336" s="80"/>
      <c r="G336" s="23" t="n">
        <v>1</v>
      </c>
      <c r="H336" s="23" t="n">
        <v>1</v>
      </c>
      <c r="I336" s="23" t="n">
        <v>0</v>
      </c>
      <c r="J336" s="23" t="n">
        <v>0</v>
      </c>
      <c r="K336" s="24" t="n">
        <v>1482</v>
      </c>
      <c r="L336" s="24" t="n">
        <v>1482</v>
      </c>
      <c r="M336" s="81" t="s">
        <v>61</v>
      </c>
    </row>
    <row r="337" customFormat="false" ht="12.75" hidden="false" customHeight="true" outlineLevel="0" collapsed="false">
      <c r="B337" s="27" t="s">
        <v>265</v>
      </c>
      <c r="C337" s="76" t="s">
        <v>480</v>
      </c>
      <c r="D337" s="76" t="s">
        <v>267</v>
      </c>
      <c r="E337" s="27" t="s">
        <v>18</v>
      </c>
      <c r="F337" s="77"/>
      <c r="G337" s="28" t="n">
        <v>1</v>
      </c>
      <c r="H337" s="28" t="n">
        <v>1</v>
      </c>
      <c r="I337" s="28" t="n">
        <v>0</v>
      </c>
      <c r="J337" s="28" t="n">
        <v>0</v>
      </c>
      <c r="K337" s="29" t="n">
        <v>1090</v>
      </c>
      <c r="L337" s="29" t="n">
        <v>1090</v>
      </c>
      <c r="M337" s="78" t="s">
        <v>61</v>
      </c>
    </row>
    <row r="338" customFormat="false" ht="12.75" hidden="false" customHeight="true" outlineLevel="0" collapsed="false">
      <c r="B338" s="22" t="s">
        <v>265</v>
      </c>
      <c r="C338" s="79" t="s">
        <v>481</v>
      </c>
      <c r="D338" s="79" t="s">
        <v>267</v>
      </c>
      <c r="E338" s="22" t="s">
        <v>18</v>
      </c>
      <c r="F338" s="80"/>
      <c r="G338" s="23" t="n">
        <v>1</v>
      </c>
      <c r="H338" s="23" t="n">
        <v>1</v>
      </c>
      <c r="I338" s="23" t="n">
        <v>0</v>
      </c>
      <c r="J338" s="23" t="n">
        <v>0</v>
      </c>
      <c r="K338" s="24" t="n">
        <v>1090</v>
      </c>
      <c r="L338" s="24" t="n">
        <v>1090</v>
      </c>
      <c r="M338" s="81" t="s">
        <v>61</v>
      </c>
    </row>
    <row r="339" customFormat="false" ht="12.75" hidden="false" customHeight="true" outlineLevel="0" collapsed="false">
      <c r="B339" s="27" t="s">
        <v>265</v>
      </c>
      <c r="C339" s="76" t="s">
        <v>482</v>
      </c>
      <c r="D339" s="76" t="s">
        <v>267</v>
      </c>
      <c r="E339" s="27" t="s">
        <v>18</v>
      </c>
      <c r="F339" s="77"/>
      <c r="G339" s="28" t="n">
        <v>1</v>
      </c>
      <c r="H339" s="28" t="n">
        <v>1</v>
      </c>
      <c r="I339" s="28" t="n">
        <v>0</v>
      </c>
      <c r="J339" s="28" t="n">
        <v>0</v>
      </c>
      <c r="K339" s="29" t="n">
        <v>822.5</v>
      </c>
      <c r="L339" s="29" t="n">
        <v>822.5</v>
      </c>
      <c r="M339" s="78" t="s">
        <v>61</v>
      </c>
    </row>
    <row r="340" customFormat="false" ht="12.75" hidden="false" customHeight="true" outlineLevel="0" collapsed="false">
      <c r="B340" s="22" t="s">
        <v>265</v>
      </c>
      <c r="C340" s="79" t="s">
        <v>483</v>
      </c>
      <c r="D340" s="79" t="s">
        <v>267</v>
      </c>
      <c r="E340" s="22" t="s">
        <v>18</v>
      </c>
      <c r="F340" s="80"/>
      <c r="G340" s="23" t="n">
        <v>1</v>
      </c>
      <c r="H340" s="23" t="n">
        <v>1</v>
      </c>
      <c r="I340" s="23" t="n">
        <v>0</v>
      </c>
      <c r="J340" s="23" t="n">
        <v>0</v>
      </c>
      <c r="K340" s="24" t="n">
        <v>822.5</v>
      </c>
      <c r="L340" s="24" t="n">
        <v>822.5</v>
      </c>
      <c r="M340" s="81" t="s">
        <v>61</v>
      </c>
    </row>
    <row r="341" customFormat="false" ht="12.75" hidden="false" customHeight="true" outlineLevel="0" collapsed="false">
      <c r="B341" s="27" t="s">
        <v>265</v>
      </c>
      <c r="C341" s="76" t="s">
        <v>484</v>
      </c>
      <c r="D341" s="76" t="s">
        <v>267</v>
      </c>
      <c r="E341" s="27" t="s">
        <v>18</v>
      </c>
      <c r="F341" s="77"/>
      <c r="G341" s="28" t="n">
        <v>1</v>
      </c>
      <c r="H341" s="28" t="n">
        <v>1</v>
      </c>
      <c r="I341" s="28" t="n">
        <v>0</v>
      </c>
      <c r="J341" s="28" t="n">
        <v>0</v>
      </c>
      <c r="K341" s="29" t="n">
        <v>822.5</v>
      </c>
      <c r="L341" s="29" t="n">
        <v>822.5</v>
      </c>
      <c r="M341" s="78" t="s">
        <v>61</v>
      </c>
    </row>
    <row r="342" customFormat="false" ht="12.75" hidden="false" customHeight="true" outlineLevel="0" collapsed="false">
      <c r="B342" s="22" t="s">
        <v>265</v>
      </c>
      <c r="C342" s="79" t="s">
        <v>485</v>
      </c>
      <c r="D342" s="79" t="s">
        <v>267</v>
      </c>
      <c r="E342" s="22" t="s">
        <v>18</v>
      </c>
      <c r="F342" s="80"/>
      <c r="G342" s="23" t="n">
        <v>1</v>
      </c>
      <c r="H342" s="23" t="n">
        <v>2</v>
      </c>
      <c r="I342" s="23" t="n">
        <v>0</v>
      </c>
      <c r="J342" s="23" t="n">
        <v>1</v>
      </c>
      <c r="K342" s="24" t="n">
        <v>822.5</v>
      </c>
      <c r="L342" s="24" t="n">
        <v>822.5</v>
      </c>
      <c r="M342" s="81" t="s">
        <v>61</v>
      </c>
    </row>
    <row r="343" customFormat="false" ht="12.75" hidden="false" customHeight="true" outlineLevel="0" collapsed="false">
      <c r="B343" s="27" t="s">
        <v>265</v>
      </c>
      <c r="C343" s="76" t="s">
        <v>486</v>
      </c>
      <c r="D343" s="76" t="s">
        <v>487</v>
      </c>
      <c r="E343" s="27" t="s">
        <v>18</v>
      </c>
      <c r="F343" s="77"/>
      <c r="G343" s="28" t="n">
        <v>1</v>
      </c>
      <c r="H343" s="28" t="n">
        <v>1</v>
      </c>
      <c r="I343" s="28" t="n">
        <v>0</v>
      </c>
      <c r="J343" s="28" t="n">
        <v>0</v>
      </c>
      <c r="K343" s="29" t="n">
        <v>800</v>
      </c>
      <c r="L343" s="29" t="n">
        <v>800</v>
      </c>
      <c r="M343" s="78" t="s">
        <v>61</v>
      </c>
    </row>
    <row r="344" customFormat="false" ht="12.75" hidden="false" customHeight="true" outlineLevel="0" collapsed="false">
      <c r="B344" s="22" t="s">
        <v>265</v>
      </c>
      <c r="C344" s="79" t="s">
        <v>488</v>
      </c>
      <c r="D344" s="79" t="s">
        <v>267</v>
      </c>
      <c r="E344" s="22" t="s">
        <v>18</v>
      </c>
      <c r="F344" s="80"/>
      <c r="G344" s="23" t="n">
        <v>0</v>
      </c>
      <c r="H344" s="23" t="n">
        <v>1</v>
      </c>
      <c r="I344" s="23" t="n">
        <v>0</v>
      </c>
      <c r="J344" s="23" t="n">
        <v>1</v>
      </c>
      <c r="K344" s="24" t="n">
        <v>1833</v>
      </c>
      <c r="L344" s="23"/>
      <c r="M344" s="81" t="s">
        <v>61</v>
      </c>
    </row>
    <row r="345" customFormat="false" ht="12.75" hidden="false" customHeight="true" outlineLevel="0" collapsed="false">
      <c r="B345" s="27" t="s">
        <v>265</v>
      </c>
      <c r="C345" s="76" t="s">
        <v>489</v>
      </c>
      <c r="D345" s="76" t="s">
        <v>267</v>
      </c>
      <c r="E345" s="27" t="s">
        <v>18</v>
      </c>
      <c r="F345" s="77"/>
      <c r="G345" s="28" t="n">
        <v>0</v>
      </c>
      <c r="H345" s="28" t="n">
        <v>1</v>
      </c>
      <c r="I345" s="28" t="n">
        <v>0</v>
      </c>
      <c r="J345" s="28" t="n">
        <v>1</v>
      </c>
      <c r="K345" s="29" t="n">
        <v>1750</v>
      </c>
      <c r="L345" s="28"/>
      <c r="M345" s="78" t="s">
        <v>61</v>
      </c>
    </row>
    <row r="346" customFormat="false" ht="12.75" hidden="false" customHeight="true" outlineLevel="0" collapsed="false">
      <c r="B346" s="22" t="s">
        <v>265</v>
      </c>
      <c r="C346" s="79" t="s">
        <v>490</v>
      </c>
      <c r="D346" s="79" t="s">
        <v>267</v>
      </c>
      <c r="E346" s="22" t="s">
        <v>18</v>
      </c>
      <c r="F346" s="80"/>
      <c r="G346" s="23" t="n">
        <v>0</v>
      </c>
      <c r="H346" s="23" t="n">
        <v>1</v>
      </c>
      <c r="I346" s="23" t="n">
        <v>0</v>
      </c>
      <c r="J346" s="23" t="n">
        <v>1</v>
      </c>
      <c r="K346" s="24" t="n">
        <v>1528</v>
      </c>
      <c r="L346" s="23"/>
      <c r="M346" s="81" t="s">
        <v>61</v>
      </c>
    </row>
    <row r="347" customFormat="false" ht="12.75" hidden="false" customHeight="true" outlineLevel="0" collapsed="false">
      <c r="B347" s="27" t="s">
        <v>265</v>
      </c>
      <c r="C347" s="76" t="s">
        <v>491</v>
      </c>
      <c r="D347" s="76" t="s">
        <v>267</v>
      </c>
      <c r="E347" s="27" t="s">
        <v>18</v>
      </c>
      <c r="F347" s="77"/>
      <c r="G347" s="28" t="n">
        <v>0</v>
      </c>
      <c r="H347" s="28" t="n">
        <v>3</v>
      </c>
      <c r="I347" s="28" t="n">
        <v>0</v>
      </c>
      <c r="J347" s="28" t="n">
        <v>3</v>
      </c>
      <c r="K347" s="29" t="n">
        <v>2010</v>
      </c>
      <c r="L347" s="28"/>
      <c r="M347" s="78" t="s">
        <v>61</v>
      </c>
    </row>
    <row r="348" customFormat="false" ht="12.75" hidden="false" customHeight="true" outlineLevel="0" collapsed="false">
      <c r="B348" s="61"/>
      <c r="C348" s="62" t="s">
        <v>270</v>
      </c>
      <c r="D348" s="62"/>
      <c r="E348" s="62"/>
      <c r="F348" s="62"/>
      <c r="G348" s="63" t="n">
        <v>40</v>
      </c>
      <c r="H348" s="61"/>
      <c r="I348" s="61"/>
      <c r="J348" s="61"/>
      <c r="K348" s="61"/>
      <c r="L348" s="63" t="n">
        <v>66901.38</v>
      </c>
      <c r="M348" s="61"/>
    </row>
    <row r="349" customFormat="false" ht="12.75" hidden="false" customHeight="true" outlineLevel="0" collapsed="false">
      <c r="B349" s="27" t="s">
        <v>492</v>
      </c>
      <c r="C349" s="76" t="s">
        <v>493</v>
      </c>
      <c r="D349" s="76" t="s">
        <v>494</v>
      </c>
      <c r="E349" s="27" t="s">
        <v>18</v>
      </c>
      <c r="F349" s="77"/>
      <c r="G349" s="28" t="n">
        <v>13</v>
      </c>
      <c r="H349" s="28" t="n">
        <v>13</v>
      </c>
      <c r="I349" s="28" t="n">
        <v>0</v>
      </c>
      <c r="J349" s="28" t="n">
        <v>0</v>
      </c>
      <c r="K349" s="29" t="n">
        <v>150</v>
      </c>
      <c r="L349" s="29" t="n">
        <v>1950</v>
      </c>
      <c r="M349" s="78" t="s">
        <v>61</v>
      </c>
    </row>
    <row r="350" customFormat="false" ht="12.75" hidden="false" customHeight="true" outlineLevel="0" collapsed="false">
      <c r="B350" s="22" t="s">
        <v>492</v>
      </c>
      <c r="C350" s="79" t="s">
        <v>495</v>
      </c>
      <c r="D350" s="79" t="s">
        <v>289</v>
      </c>
      <c r="E350" s="22" t="s">
        <v>18</v>
      </c>
      <c r="F350" s="80"/>
      <c r="G350" s="23" t="n">
        <v>59</v>
      </c>
      <c r="H350" s="23" t="n">
        <v>59</v>
      </c>
      <c r="I350" s="23" t="n">
        <v>0</v>
      </c>
      <c r="J350" s="23" t="n">
        <v>0</v>
      </c>
      <c r="K350" s="24" t="n">
        <v>30</v>
      </c>
      <c r="L350" s="24" t="n">
        <v>1770</v>
      </c>
      <c r="M350" s="81" t="s">
        <v>61</v>
      </c>
    </row>
    <row r="351" customFormat="false" ht="12.75" hidden="false" customHeight="true" outlineLevel="0" collapsed="false">
      <c r="B351" s="27" t="s">
        <v>492</v>
      </c>
      <c r="C351" s="76" t="s">
        <v>496</v>
      </c>
      <c r="D351" s="76" t="s">
        <v>497</v>
      </c>
      <c r="E351" s="27" t="s">
        <v>18</v>
      </c>
      <c r="F351" s="77"/>
      <c r="G351" s="28" t="n">
        <v>10</v>
      </c>
      <c r="H351" s="28" t="n">
        <v>10</v>
      </c>
      <c r="I351" s="28" t="n">
        <v>0</v>
      </c>
      <c r="J351" s="28" t="n">
        <v>0</v>
      </c>
      <c r="K351" s="29" t="n">
        <v>150</v>
      </c>
      <c r="L351" s="29" t="n">
        <v>1500</v>
      </c>
      <c r="M351" s="78" t="s">
        <v>61</v>
      </c>
    </row>
    <row r="352" customFormat="false" ht="12.75" hidden="false" customHeight="true" outlineLevel="0" collapsed="false">
      <c r="B352" s="22" t="s">
        <v>492</v>
      </c>
      <c r="C352" s="79" t="s">
        <v>498</v>
      </c>
      <c r="D352" s="79" t="s">
        <v>494</v>
      </c>
      <c r="E352" s="22" t="s">
        <v>18</v>
      </c>
      <c r="F352" s="80"/>
      <c r="G352" s="23" t="n">
        <v>6</v>
      </c>
      <c r="H352" s="23" t="n">
        <v>6</v>
      </c>
      <c r="I352" s="23" t="n">
        <v>0</v>
      </c>
      <c r="J352" s="23" t="n">
        <v>0</v>
      </c>
      <c r="K352" s="24" t="n">
        <v>120</v>
      </c>
      <c r="L352" s="24" t="n">
        <v>720</v>
      </c>
      <c r="M352" s="81" t="s">
        <v>61</v>
      </c>
    </row>
    <row r="353" customFormat="false" ht="12.75" hidden="false" customHeight="true" outlineLevel="0" collapsed="false">
      <c r="B353" s="27" t="s">
        <v>492</v>
      </c>
      <c r="C353" s="76" t="s">
        <v>499</v>
      </c>
      <c r="D353" s="76" t="s">
        <v>494</v>
      </c>
      <c r="E353" s="27" t="s">
        <v>18</v>
      </c>
      <c r="F353" s="77"/>
      <c r="G353" s="28" t="n">
        <v>4</v>
      </c>
      <c r="H353" s="28" t="n">
        <v>4</v>
      </c>
      <c r="I353" s="28" t="n">
        <v>0</v>
      </c>
      <c r="J353" s="28" t="n">
        <v>0</v>
      </c>
      <c r="K353" s="29" t="n">
        <v>155</v>
      </c>
      <c r="L353" s="29" t="n">
        <v>620</v>
      </c>
      <c r="M353" s="78" t="s">
        <v>61</v>
      </c>
    </row>
    <row r="354" customFormat="false" ht="12.75" hidden="false" customHeight="true" outlineLevel="0" collapsed="false">
      <c r="B354" s="22" t="s">
        <v>492</v>
      </c>
      <c r="C354" s="79" t="s">
        <v>500</v>
      </c>
      <c r="D354" s="79" t="s">
        <v>494</v>
      </c>
      <c r="E354" s="22" t="s">
        <v>18</v>
      </c>
      <c r="F354" s="80"/>
      <c r="G354" s="23" t="n">
        <v>4</v>
      </c>
      <c r="H354" s="23" t="n">
        <v>4</v>
      </c>
      <c r="I354" s="23" t="n">
        <v>0</v>
      </c>
      <c r="J354" s="23" t="n">
        <v>0</v>
      </c>
      <c r="K354" s="24" t="n">
        <v>145</v>
      </c>
      <c r="L354" s="24" t="n">
        <v>580</v>
      </c>
      <c r="M354" s="81" t="s">
        <v>61</v>
      </c>
    </row>
    <row r="355" customFormat="false" ht="12.75" hidden="false" customHeight="true" outlineLevel="0" collapsed="false">
      <c r="B355" s="27" t="s">
        <v>492</v>
      </c>
      <c r="C355" s="76" t="s">
        <v>501</v>
      </c>
      <c r="D355" s="76" t="s">
        <v>502</v>
      </c>
      <c r="E355" s="27" t="s">
        <v>18</v>
      </c>
      <c r="F355" s="77"/>
      <c r="G355" s="28" t="n">
        <v>17</v>
      </c>
      <c r="H355" s="28" t="n">
        <v>17</v>
      </c>
      <c r="I355" s="28" t="n">
        <v>0</v>
      </c>
      <c r="J355" s="28" t="n">
        <v>0</v>
      </c>
      <c r="K355" s="29" t="n">
        <v>30</v>
      </c>
      <c r="L355" s="29" t="n">
        <v>510</v>
      </c>
      <c r="M355" s="78" t="s">
        <v>61</v>
      </c>
    </row>
    <row r="356" customFormat="false" ht="12.75" hidden="false" customHeight="true" outlineLevel="0" collapsed="false">
      <c r="B356" s="22" t="s">
        <v>492</v>
      </c>
      <c r="C356" s="79" t="s">
        <v>503</v>
      </c>
      <c r="D356" s="79" t="s">
        <v>502</v>
      </c>
      <c r="E356" s="22" t="s">
        <v>18</v>
      </c>
      <c r="F356" s="80"/>
      <c r="G356" s="23" t="n">
        <v>9</v>
      </c>
      <c r="H356" s="23" t="n">
        <v>9</v>
      </c>
      <c r="I356" s="23" t="n">
        <v>0</v>
      </c>
      <c r="J356" s="23" t="n">
        <v>0</v>
      </c>
      <c r="K356" s="24" t="n">
        <v>30</v>
      </c>
      <c r="L356" s="24" t="n">
        <v>270</v>
      </c>
      <c r="M356" s="81" t="s">
        <v>61</v>
      </c>
    </row>
    <row r="357" customFormat="false" ht="12.75" hidden="false" customHeight="true" outlineLevel="0" collapsed="false">
      <c r="B357" s="27" t="s">
        <v>492</v>
      </c>
      <c r="C357" s="76" t="s">
        <v>504</v>
      </c>
      <c r="D357" s="76" t="s">
        <v>502</v>
      </c>
      <c r="E357" s="27" t="s">
        <v>18</v>
      </c>
      <c r="F357" s="77"/>
      <c r="G357" s="28" t="n">
        <v>8</v>
      </c>
      <c r="H357" s="28" t="n">
        <v>8</v>
      </c>
      <c r="I357" s="28" t="n">
        <v>0</v>
      </c>
      <c r="J357" s="28" t="n">
        <v>0</v>
      </c>
      <c r="K357" s="29" t="n">
        <v>30</v>
      </c>
      <c r="L357" s="29" t="n">
        <v>240</v>
      </c>
      <c r="M357" s="78" t="s">
        <v>61</v>
      </c>
    </row>
    <row r="358" customFormat="false" ht="12.75" hidden="false" customHeight="true" outlineLevel="0" collapsed="false">
      <c r="B358" s="22" t="s">
        <v>492</v>
      </c>
      <c r="C358" s="79" t="s">
        <v>505</v>
      </c>
      <c r="D358" s="79" t="s">
        <v>494</v>
      </c>
      <c r="E358" s="22" t="s">
        <v>18</v>
      </c>
      <c r="F358" s="80"/>
      <c r="G358" s="23" t="n">
        <v>1</v>
      </c>
      <c r="H358" s="23" t="n">
        <v>1</v>
      </c>
      <c r="I358" s="23" t="n">
        <v>0</v>
      </c>
      <c r="J358" s="23" t="n">
        <v>0</v>
      </c>
      <c r="K358" s="24" t="n">
        <v>150</v>
      </c>
      <c r="L358" s="24" t="n">
        <v>150</v>
      </c>
      <c r="M358" s="81" t="s">
        <v>61</v>
      </c>
    </row>
    <row r="359" customFormat="false" ht="12.75" hidden="false" customHeight="true" outlineLevel="0" collapsed="false">
      <c r="B359" s="27" t="s">
        <v>492</v>
      </c>
      <c r="C359" s="76" t="s">
        <v>506</v>
      </c>
      <c r="D359" s="76" t="s">
        <v>494</v>
      </c>
      <c r="E359" s="27" t="s">
        <v>18</v>
      </c>
      <c r="F359" s="77"/>
      <c r="G359" s="28" t="n">
        <v>1</v>
      </c>
      <c r="H359" s="28" t="n">
        <v>1</v>
      </c>
      <c r="I359" s="28" t="n">
        <v>0</v>
      </c>
      <c r="J359" s="28" t="n">
        <v>0</v>
      </c>
      <c r="K359" s="29" t="n">
        <v>150</v>
      </c>
      <c r="L359" s="29" t="n">
        <v>150</v>
      </c>
      <c r="M359" s="78" t="s">
        <v>61</v>
      </c>
    </row>
    <row r="360" customFormat="false" ht="12.75" hidden="false" customHeight="true" outlineLevel="0" collapsed="false">
      <c r="B360" s="22" t="s">
        <v>492</v>
      </c>
      <c r="C360" s="79" t="s">
        <v>507</v>
      </c>
      <c r="D360" s="79" t="s">
        <v>494</v>
      </c>
      <c r="E360" s="22" t="s">
        <v>18</v>
      </c>
      <c r="F360" s="80"/>
      <c r="G360" s="23" t="n">
        <v>1</v>
      </c>
      <c r="H360" s="23" t="n">
        <v>1</v>
      </c>
      <c r="I360" s="23" t="n">
        <v>0</v>
      </c>
      <c r="J360" s="23" t="n">
        <v>0</v>
      </c>
      <c r="K360" s="24" t="n">
        <v>145</v>
      </c>
      <c r="L360" s="24" t="n">
        <v>145</v>
      </c>
      <c r="M360" s="81" t="s">
        <v>61</v>
      </c>
    </row>
    <row r="361" customFormat="false" ht="12.75" hidden="false" customHeight="true" outlineLevel="0" collapsed="false">
      <c r="B361" s="27" t="s">
        <v>492</v>
      </c>
      <c r="C361" s="76" t="s">
        <v>508</v>
      </c>
      <c r="D361" s="76" t="s">
        <v>502</v>
      </c>
      <c r="E361" s="27" t="s">
        <v>18</v>
      </c>
      <c r="F361" s="77"/>
      <c r="G361" s="28" t="n">
        <v>2</v>
      </c>
      <c r="H361" s="28" t="n">
        <v>2</v>
      </c>
      <c r="I361" s="28" t="n">
        <v>0</v>
      </c>
      <c r="J361" s="28" t="n">
        <v>0</v>
      </c>
      <c r="K361" s="29" t="n">
        <v>30</v>
      </c>
      <c r="L361" s="29" t="n">
        <v>60</v>
      </c>
      <c r="M361" s="78" t="s">
        <v>61</v>
      </c>
    </row>
    <row r="362" customFormat="false" ht="12.75" hidden="false" customHeight="true" outlineLevel="0" collapsed="false">
      <c r="B362" s="61"/>
      <c r="C362" s="62" t="s">
        <v>509</v>
      </c>
      <c r="D362" s="62"/>
      <c r="E362" s="62"/>
      <c r="F362" s="62"/>
      <c r="G362" s="63" t="n">
        <v>135</v>
      </c>
      <c r="H362" s="61"/>
      <c r="I362" s="61"/>
      <c r="J362" s="61"/>
      <c r="K362" s="61"/>
      <c r="L362" s="63" t="n">
        <v>8665</v>
      </c>
      <c r="M362" s="61"/>
    </row>
    <row r="363" customFormat="false" ht="12.75" hidden="false" customHeight="true" outlineLevel="0" collapsed="false">
      <c r="B363" s="27" t="s">
        <v>510</v>
      </c>
      <c r="C363" s="76" t="s">
        <v>511</v>
      </c>
      <c r="D363" s="76" t="s">
        <v>512</v>
      </c>
      <c r="E363" s="27" t="s">
        <v>18</v>
      </c>
      <c r="F363" s="77"/>
      <c r="G363" s="28" t="n">
        <v>4</v>
      </c>
      <c r="H363" s="28" t="n">
        <v>4</v>
      </c>
      <c r="I363" s="28" t="n">
        <v>0</v>
      </c>
      <c r="J363" s="28" t="n">
        <v>0</v>
      </c>
      <c r="K363" s="29" t="n">
        <v>921</v>
      </c>
      <c r="L363" s="29" t="n">
        <v>3684</v>
      </c>
      <c r="M363" s="78" t="s">
        <v>61</v>
      </c>
    </row>
    <row r="364" customFormat="false" ht="12.75" hidden="false" customHeight="true" outlineLevel="0" collapsed="false">
      <c r="B364" s="22" t="s">
        <v>510</v>
      </c>
      <c r="C364" s="79" t="s">
        <v>513</v>
      </c>
      <c r="D364" s="79" t="s">
        <v>514</v>
      </c>
      <c r="E364" s="22" t="s">
        <v>18</v>
      </c>
      <c r="F364" s="80"/>
      <c r="G364" s="23" t="n">
        <v>1</v>
      </c>
      <c r="H364" s="23" t="n">
        <v>2</v>
      </c>
      <c r="I364" s="23" t="n">
        <v>0</v>
      </c>
      <c r="J364" s="23" t="n">
        <v>1</v>
      </c>
      <c r="K364" s="24" t="n">
        <v>2546</v>
      </c>
      <c r="L364" s="24" t="n">
        <v>2546</v>
      </c>
      <c r="M364" s="81" t="s">
        <v>61</v>
      </c>
    </row>
    <row r="365" customFormat="false" ht="12.75" hidden="false" customHeight="true" outlineLevel="0" collapsed="false">
      <c r="B365" s="27" t="s">
        <v>510</v>
      </c>
      <c r="C365" s="76" t="s">
        <v>515</v>
      </c>
      <c r="D365" s="76" t="s">
        <v>512</v>
      </c>
      <c r="E365" s="27" t="s">
        <v>18</v>
      </c>
      <c r="F365" s="77"/>
      <c r="G365" s="28" t="n">
        <v>2</v>
      </c>
      <c r="H365" s="28" t="n">
        <v>2</v>
      </c>
      <c r="I365" s="28" t="n">
        <v>0</v>
      </c>
      <c r="J365" s="28" t="n">
        <v>0</v>
      </c>
      <c r="K365" s="29" t="n">
        <v>921</v>
      </c>
      <c r="L365" s="29" t="n">
        <v>1842</v>
      </c>
      <c r="M365" s="78" t="s">
        <v>61</v>
      </c>
    </row>
    <row r="366" customFormat="false" ht="12.75" hidden="false" customHeight="true" outlineLevel="0" collapsed="false">
      <c r="B366" s="22" t="s">
        <v>510</v>
      </c>
      <c r="C366" s="79" t="s">
        <v>516</v>
      </c>
      <c r="D366" s="79" t="s">
        <v>514</v>
      </c>
      <c r="E366" s="22" t="s">
        <v>18</v>
      </c>
      <c r="F366" s="80"/>
      <c r="G366" s="23" t="n">
        <v>1</v>
      </c>
      <c r="H366" s="23" t="n">
        <v>2</v>
      </c>
      <c r="I366" s="23" t="n">
        <v>0</v>
      </c>
      <c r="J366" s="23" t="n">
        <v>1</v>
      </c>
      <c r="K366" s="24" t="n">
        <v>1273</v>
      </c>
      <c r="L366" s="24" t="n">
        <v>1273</v>
      </c>
      <c r="M366" s="81" t="s">
        <v>61</v>
      </c>
    </row>
    <row r="367" customFormat="false" ht="12.75" hidden="false" customHeight="true" outlineLevel="0" collapsed="false">
      <c r="B367" s="27" t="s">
        <v>510</v>
      </c>
      <c r="C367" s="76" t="s">
        <v>517</v>
      </c>
      <c r="D367" s="76" t="s">
        <v>512</v>
      </c>
      <c r="E367" s="27" t="s">
        <v>18</v>
      </c>
      <c r="F367" s="77"/>
      <c r="G367" s="28" t="n">
        <v>1</v>
      </c>
      <c r="H367" s="28" t="n">
        <v>1</v>
      </c>
      <c r="I367" s="28" t="n">
        <v>0</v>
      </c>
      <c r="J367" s="28" t="n">
        <v>0</v>
      </c>
      <c r="K367" s="29" t="n">
        <v>921</v>
      </c>
      <c r="L367" s="29" t="n">
        <v>921</v>
      </c>
      <c r="M367" s="78" t="s">
        <v>61</v>
      </c>
    </row>
    <row r="368" customFormat="false" ht="12.75" hidden="false" customHeight="true" outlineLevel="0" collapsed="false">
      <c r="B368" s="22" t="s">
        <v>510</v>
      </c>
      <c r="C368" s="79" t="s">
        <v>518</v>
      </c>
      <c r="D368" s="79" t="s">
        <v>512</v>
      </c>
      <c r="E368" s="22" t="s">
        <v>18</v>
      </c>
      <c r="F368" s="80"/>
      <c r="G368" s="23" t="n">
        <v>1</v>
      </c>
      <c r="H368" s="23" t="n">
        <v>1</v>
      </c>
      <c r="I368" s="23" t="n">
        <v>0</v>
      </c>
      <c r="J368" s="23" t="n">
        <v>0</v>
      </c>
      <c r="K368" s="24" t="n">
        <v>921</v>
      </c>
      <c r="L368" s="24" t="n">
        <v>921</v>
      </c>
      <c r="M368" s="81" t="s">
        <v>61</v>
      </c>
    </row>
    <row r="369" customFormat="false" ht="12.75" hidden="false" customHeight="true" outlineLevel="0" collapsed="false">
      <c r="B369" s="27" t="s">
        <v>510</v>
      </c>
      <c r="C369" s="76" t="s">
        <v>519</v>
      </c>
      <c r="D369" s="76" t="s">
        <v>512</v>
      </c>
      <c r="E369" s="27" t="s">
        <v>18</v>
      </c>
      <c r="F369" s="77"/>
      <c r="G369" s="28" t="n">
        <v>1</v>
      </c>
      <c r="H369" s="28" t="n">
        <v>1</v>
      </c>
      <c r="I369" s="28" t="n">
        <v>0</v>
      </c>
      <c r="J369" s="28" t="n">
        <v>0</v>
      </c>
      <c r="K369" s="29" t="n">
        <v>921</v>
      </c>
      <c r="L369" s="29" t="n">
        <v>921</v>
      </c>
      <c r="M369" s="78" t="s">
        <v>61</v>
      </c>
    </row>
    <row r="370" customFormat="false" ht="12.75" hidden="false" customHeight="true" outlineLevel="0" collapsed="false">
      <c r="B370" s="22" t="s">
        <v>510</v>
      </c>
      <c r="C370" s="79" t="s">
        <v>520</v>
      </c>
      <c r="D370" s="79" t="s">
        <v>521</v>
      </c>
      <c r="E370" s="22" t="s">
        <v>18</v>
      </c>
      <c r="F370" s="80"/>
      <c r="G370" s="23" t="n">
        <v>2</v>
      </c>
      <c r="H370" s="23" t="n">
        <v>2</v>
      </c>
      <c r="I370" s="23" t="n">
        <v>0</v>
      </c>
      <c r="J370" s="23" t="n">
        <v>0</v>
      </c>
      <c r="K370" s="24" t="n">
        <v>425</v>
      </c>
      <c r="L370" s="24" t="n">
        <v>850</v>
      </c>
      <c r="M370" s="81" t="s">
        <v>61</v>
      </c>
    </row>
    <row r="371" customFormat="false" ht="12.75" hidden="false" customHeight="true" outlineLevel="0" collapsed="false">
      <c r="B371" s="27" t="s">
        <v>510</v>
      </c>
      <c r="C371" s="76" t="s">
        <v>522</v>
      </c>
      <c r="D371" s="76" t="s">
        <v>514</v>
      </c>
      <c r="E371" s="27" t="s">
        <v>18</v>
      </c>
      <c r="F371" s="77"/>
      <c r="G371" s="28" t="n">
        <v>1</v>
      </c>
      <c r="H371" s="28" t="n">
        <v>1</v>
      </c>
      <c r="I371" s="28" t="n">
        <v>0</v>
      </c>
      <c r="J371" s="28" t="n">
        <v>0</v>
      </c>
      <c r="K371" s="29" t="n">
        <v>800</v>
      </c>
      <c r="L371" s="29" t="n">
        <v>800</v>
      </c>
      <c r="M371" s="78" t="s">
        <v>61</v>
      </c>
    </row>
    <row r="372" customFormat="false" ht="12.75" hidden="false" customHeight="true" outlineLevel="0" collapsed="false">
      <c r="B372" s="22" t="s">
        <v>510</v>
      </c>
      <c r="C372" s="79" t="s">
        <v>523</v>
      </c>
      <c r="D372" s="79" t="s">
        <v>521</v>
      </c>
      <c r="E372" s="22" t="s">
        <v>18</v>
      </c>
      <c r="F372" s="80"/>
      <c r="G372" s="23" t="n">
        <v>1</v>
      </c>
      <c r="H372" s="23" t="n">
        <v>1</v>
      </c>
      <c r="I372" s="23" t="n">
        <v>0</v>
      </c>
      <c r="J372" s="23" t="n">
        <v>0</v>
      </c>
      <c r="K372" s="24" t="n">
        <v>425</v>
      </c>
      <c r="L372" s="24" t="n">
        <v>425</v>
      </c>
      <c r="M372" s="81" t="s">
        <v>61</v>
      </c>
    </row>
    <row r="373" customFormat="false" ht="12.75" hidden="false" customHeight="true" outlineLevel="0" collapsed="false">
      <c r="B373" s="27" t="s">
        <v>510</v>
      </c>
      <c r="C373" s="76" t="s">
        <v>524</v>
      </c>
      <c r="D373" s="76" t="s">
        <v>521</v>
      </c>
      <c r="E373" s="27" t="s">
        <v>18</v>
      </c>
      <c r="F373" s="77"/>
      <c r="G373" s="28" t="n">
        <v>1</v>
      </c>
      <c r="H373" s="28" t="n">
        <v>1</v>
      </c>
      <c r="I373" s="28" t="n">
        <v>0</v>
      </c>
      <c r="J373" s="28" t="n">
        <v>0</v>
      </c>
      <c r="K373" s="29" t="n">
        <v>425</v>
      </c>
      <c r="L373" s="29" t="n">
        <v>425</v>
      </c>
      <c r="M373" s="78" t="s">
        <v>61</v>
      </c>
    </row>
    <row r="374" customFormat="false" ht="12.75" hidden="false" customHeight="true" outlineLevel="0" collapsed="false">
      <c r="B374" s="22" t="s">
        <v>510</v>
      </c>
      <c r="C374" s="79" t="s">
        <v>525</v>
      </c>
      <c r="D374" s="79" t="s">
        <v>526</v>
      </c>
      <c r="E374" s="22" t="s">
        <v>18</v>
      </c>
      <c r="F374" s="80"/>
      <c r="G374" s="23" t="n">
        <v>1</v>
      </c>
      <c r="H374" s="23" t="n">
        <v>1</v>
      </c>
      <c r="I374" s="23" t="n">
        <v>0</v>
      </c>
      <c r="J374" s="23" t="n">
        <v>0</v>
      </c>
      <c r="K374" s="24" t="n">
        <v>299</v>
      </c>
      <c r="L374" s="24" t="n">
        <v>299</v>
      </c>
      <c r="M374" s="81" t="s">
        <v>61</v>
      </c>
    </row>
    <row r="375" customFormat="false" ht="12.75" hidden="false" customHeight="true" outlineLevel="0" collapsed="false">
      <c r="B375" s="27" t="s">
        <v>510</v>
      </c>
      <c r="C375" s="76" t="s">
        <v>527</v>
      </c>
      <c r="D375" s="76" t="s">
        <v>526</v>
      </c>
      <c r="E375" s="27" t="s">
        <v>18</v>
      </c>
      <c r="F375" s="77"/>
      <c r="G375" s="28" t="n">
        <v>1</v>
      </c>
      <c r="H375" s="28" t="n">
        <v>1</v>
      </c>
      <c r="I375" s="28" t="n">
        <v>0</v>
      </c>
      <c r="J375" s="28" t="n">
        <v>0</v>
      </c>
      <c r="K375" s="29" t="n">
        <v>299</v>
      </c>
      <c r="L375" s="29" t="n">
        <v>299</v>
      </c>
      <c r="M375" s="78" t="s">
        <v>61</v>
      </c>
    </row>
    <row r="376" customFormat="false" ht="12.75" hidden="false" customHeight="true" outlineLevel="0" collapsed="false">
      <c r="B376" s="22" t="s">
        <v>510</v>
      </c>
      <c r="C376" s="79" t="s">
        <v>528</v>
      </c>
      <c r="D376" s="79" t="s">
        <v>526</v>
      </c>
      <c r="E376" s="22" t="s">
        <v>18</v>
      </c>
      <c r="F376" s="80"/>
      <c r="G376" s="23" t="n">
        <v>1</v>
      </c>
      <c r="H376" s="23" t="n">
        <v>1</v>
      </c>
      <c r="I376" s="23" t="n">
        <v>0</v>
      </c>
      <c r="J376" s="23" t="n">
        <v>0</v>
      </c>
      <c r="K376" s="24" t="n">
        <v>299</v>
      </c>
      <c r="L376" s="24" t="n">
        <v>299</v>
      </c>
      <c r="M376" s="81" t="s">
        <v>61</v>
      </c>
    </row>
    <row r="377" customFormat="false" ht="12.75" hidden="false" customHeight="true" outlineLevel="0" collapsed="false">
      <c r="B377" s="27" t="s">
        <v>510</v>
      </c>
      <c r="C377" s="76" t="s">
        <v>529</v>
      </c>
      <c r="D377" s="76" t="s">
        <v>526</v>
      </c>
      <c r="E377" s="27" t="s">
        <v>18</v>
      </c>
      <c r="F377" s="77"/>
      <c r="G377" s="28" t="n">
        <v>1</v>
      </c>
      <c r="H377" s="28" t="n">
        <v>1</v>
      </c>
      <c r="I377" s="28" t="n">
        <v>0</v>
      </c>
      <c r="J377" s="28" t="n">
        <v>0</v>
      </c>
      <c r="K377" s="29" t="n">
        <v>299</v>
      </c>
      <c r="L377" s="29" t="n">
        <v>299</v>
      </c>
      <c r="M377" s="78" t="s">
        <v>61</v>
      </c>
    </row>
    <row r="378" customFormat="false" ht="12.75" hidden="false" customHeight="true" outlineLevel="0" collapsed="false">
      <c r="B378" s="61"/>
      <c r="C378" s="62" t="s">
        <v>530</v>
      </c>
      <c r="D378" s="62"/>
      <c r="E378" s="62"/>
      <c r="F378" s="62"/>
      <c r="G378" s="63" t="n">
        <v>20</v>
      </c>
      <c r="H378" s="61"/>
      <c r="I378" s="61"/>
      <c r="J378" s="61"/>
      <c r="K378" s="61"/>
      <c r="L378" s="63" t="n">
        <v>15804</v>
      </c>
      <c r="M378" s="61"/>
    </row>
    <row r="379" customFormat="false" ht="12.75" hidden="false" customHeight="true" outlineLevel="0" collapsed="false">
      <c r="B379" s="27" t="s">
        <v>531</v>
      </c>
      <c r="C379" s="76" t="s">
        <v>532</v>
      </c>
      <c r="D379" s="76" t="s">
        <v>533</v>
      </c>
      <c r="E379" s="27" t="s">
        <v>18</v>
      </c>
      <c r="F379" s="77"/>
      <c r="G379" s="28" t="n">
        <v>31</v>
      </c>
      <c r="H379" s="28" t="n">
        <v>31</v>
      </c>
      <c r="I379" s="28" t="n">
        <v>0</v>
      </c>
      <c r="J379" s="28" t="n">
        <v>0</v>
      </c>
      <c r="K379" s="29" t="n">
        <v>622</v>
      </c>
      <c r="L379" s="29" t="n">
        <v>19282</v>
      </c>
      <c r="M379" s="78" t="s">
        <v>61</v>
      </c>
    </row>
    <row r="380" customFormat="false" ht="12.75" hidden="false" customHeight="true" outlineLevel="0" collapsed="false">
      <c r="B380" s="22" t="s">
        <v>531</v>
      </c>
      <c r="C380" s="22" t="s">
        <v>534</v>
      </c>
      <c r="D380" s="22" t="s">
        <v>535</v>
      </c>
      <c r="E380" s="22" t="s">
        <v>18</v>
      </c>
      <c r="F380" s="80"/>
      <c r="G380" s="23" t="n">
        <v>18</v>
      </c>
      <c r="H380" s="23" t="n">
        <v>18</v>
      </c>
      <c r="I380" s="23" t="n">
        <v>0</v>
      </c>
      <c r="J380" s="23" t="n">
        <v>0</v>
      </c>
      <c r="K380" s="24" t="n">
        <v>909</v>
      </c>
      <c r="L380" s="24" t="n">
        <v>16362</v>
      </c>
      <c r="M380" s="81" t="s">
        <v>61</v>
      </c>
    </row>
    <row r="381" customFormat="false" ht="12.75" hidden="false" customHeight="true" outlineLevel="0" collapsed="false">
      <c r="B381" s="27" t="s">
        <v>531</v>
      </c>
      <c r="C381" s="76" t="s">
        <v>536</v>
      </c>
      <c r="D381" s="76" t="s">
        <v>537</v>
      </c>
      <c r="E381" s="27" t="s">
        <v>18</v>
      </c>
      <c r="F381" s="77"/>
      <c r="G381" s="28" t="n">
        <v>5</v>
      </c>
      <c r="H381" s="28" t="n">
        <v>5</v>
      </c>
      <c r="I381" s="28" t="n">
        <v>0</v>
      </c>
      <c r="J381" s="28" t="n">
        <v>0</v>
      </c>
      <c r="K381" s="29" t="n">
        <v>1456</v>
      </c>
      <c r="L381" s="29" t="n">
        <v>7280</v>
      </c>
      <c r="M381" s="78" t="s">
        <v>61</v>
      </c>
    </row>
    <row r="382" customFormat="false" ht="12.75" hidden="false" customHeight="true" outlineLevel="0" collapsed="false">
      <c r="B382" s="22" t="s">
        <v>531</v>
      </c>
      <c r="C382" s="79" t="s">
        <v>538</v>
      </c>
      <c r="D382" s="79" t="s">
        <v>533</v>
      </c>
      <c r="E382" s="22" t="s">
        <v>18</v>
      </c>
      <c r="F382" s="80"/>
      <c r="G382" s="23" t="n">
        <v>6</v>
      </c>
      <c r="H382" s="23" t="n">
        <v>6</v>
      </c>
      <c r="I382" s="23" t="n">
        <v>0</v>
      </c>
      <c r="J382" s="23" t="n">
        <v>0</v>
      </c>
      <c r="K382" s="24" t="n">
        <v>1120</v>
      </c>
      <c r="L382" s="24" t="n">
        <v>6720</v>
      </c>
      <c r="M382" s="81" t="s">
        <v>61</v>
      </c>
    </row>
    <row r="383" customFormat="false" ht="12.75" hidden="false" customHeight="true" outlineLevel="0" collapsed="false">
      <c r="B383" s="27" t="s">
        <v>531</v>
      </c>
      <c r="C383" s="76" t="s">
        <v>539</v>
      </c>
      <c r="D383" s="76" t="s">
        <v>533</v>
      </c>
      <c r="E383" s="27" t="s">
        <v>18</v>
      </c>
      <c r="F383" s="77"/>
      <c r="G383" s="28" t="n">
        <v>4</v>
      </c>
      <c r="H383" s="28" t="n">
        <v>4</v>
      </c>
      <c r="I383" s="28" t="n">
        <v>0</v>
      </c>
      <c r="J383" s="28" t="n">
        <v>0</v>
      </c>
      <c r="K383" s="29" t="n">
        <v>1652</v>
      </c>
      <c r="L383" s="29" t="n">
        <v>6608</v>
      </c>
      <c r="M383" s="78" t="s">
        <v>61</v>
      </c>
    </row>
    <row r="384" customFormat="false" ht="12.75" hidden="false" customHeight="true" outlineLevel="0" collapsed="false">
      <c r="B384" s="22" t="s">
        <v>531</v>
      </c>
      <c r="C384" s="79" t="s">
        <v>540</v>
      </c>
      <c r="D384" s="79" t="s">
        <v>541</v>
      </c>
      <c r="E384" s="22" t="s">
        <v>18</v>
      </c>
      <c r="F384" s="80"/>
      <c r="G384" s="23" t="n">
        <v>22</v>
      </c>
      <c r="H384" s="23" t="n">
        <v>22</v>
      </c>
      <c r="I384" s="23" t="n">
        <v>0</v>
      </c>
      <c r="J384" s="23" t="n">
        <v>0</v>
      </c>
      <c r="K384" s="24" t="n">
        <v>294</v>
      </c>
      <c r="L384" s="24" t="n">
        <v>6468</v>
      </c>
      <c r="M384" s="81" t="s">
        <v>61</v>
      </c>
    </row>
    <row r="385" customFormat="false" ht="12.75" hidden="false" customHeight="true" outlineLevel="0" collapsed="false">
      <c r="B385" s="27" t="s">
        <v>531</v>
      </c>
      <c r="C385" s="76" t="s">
        <v>542</v>
      </c>
      <c r="D385" s="76" t="s">
        <v>533</v>
      </c>
      <c r="E385" s="27" t="s">
        <v>18</v>
      </c>
      <c r="F385" s="77"/>
      <c r="G385" s="28" t="n">
        <v>4</v>
      </c>
      <c r="H385" s="28" t="n">
        <v>4</v>
      </c>
      <c r="I385" s="28" t="n">
        <v>0</v>
      </c>
      <c r="J385" s="28" t="n">
        <v>0</v>
      </c>
      <c r="K385" s="29" t="n">
        <v>1204</v>
      </c>
      <c r="L385" s="29" t="n">
        <v>4816</v>
      </c>
      <c r="M385" s="78" t="s">
        <v>61</v>
      </c>
    </row>
    <row r="386" customFormat="false" ht="12.75" hidden="false" customHeight="true" outlineLevel="0" collapsed="false">
      <c r="B386" s="22" t="s">
        <v>531</v>
      </c>
      <c r="C386" s="79" t="s">
        <v>543</v>
      </c>
      <c r="D386" s="79" t="s">
        <v>541</v>
      </c>
      <c r="E386" s="22" t="s">
        <v>18</v>
      </c>
      <c r="F386" s="80"/>
      <c r="G386" s="23" t="n">
        <v>2</v>
      </c>
      <c r="H386" s="23" t="n">
        <v>2</v>
      </c>
      <c r="I386" s="23" t="n">
        <v>0</v>
      </c>
      <c r="J386" s="23" t="n">
        <v>0</v>
      </c>
      <c r="K386" s="24" t="n">
        <v>1715</v>
      </c>
      <c r="L386" s="24" t="n">
        <v>3430</v>
      </c>
      <c r="M386" s="81" t="s">
        <v>61</v>
      </c>
    </row>
    <row r="387" customFormat="false" ht="12.75" hidden="false" customHeight="true" outlineLevel="0" collapsed="false">
      <c r="B387" s="27" t="s">
        <v>531</v>
      </c>
      <c r="C387" s="76" t="s">
        <v>544</v>
      </c>
      <c r="D387" s="76" t="s">
        <v>533</v>
      </c>
      <c r="E387" s="27" t="s">
        <v>18</v>
      </c>
      <c r="F387" s="77"/>
      <c r="G387" s="28" t="n">
        <v>3</v>
      </c>
      <c r="H387" s="28" t="n">
        <v>3</v>
      </c>
      <c r="I387" s="28" t="n">
        <v>0</v>
      </c>
      <c r="J387" s="28" t="n">
        <v>0</v>
      </c>
      <c r="K387" s="29" t="n">
        <v>1001</v>
      </c>
      <c r="L387" s="29" t="n">
        <v>3003</v>
      </c>
      <c r="M387" s="78" t="s">
        <v>61</v>
      </c>
    </row>
    <row r="388" customFormat="false" ht="12.75" hidden="false" customHeight="true" outlineLevel="0" collapsed="false">
      <c r="B388" s="22" t="s">
        <v>531</v>
      </c>
      <c r="C388" s="79" t="s">
        <v>545</v>
      </c>
      <c r="D388" s="79" t="s">
        <v>533</v>
      </c>
      <c r="E388" s="22" t="s">
        <v>18</v>
      </c>
      <c r="F388" s="80"/>
      <c r="G388" s="23" t="n">
        <v>2</v>
      </c>
      <c r="H388" s="23" t="n">
        <v>2</v>
      </c>
      <c r="I388" s="23" t="n">
        <v>0</v>
      </c>
      <c r="J388" s="23" t="n">
        <v>0</v>
      </c>
      <c r="K388" s="24" t="n">
        <v>1092</v>
      </c>
      <c r="L388" s="24" t="n">
        <v>2184</v>
      </c>
      <c r="M388" s="81" t="s">
        <v>61</v>
      </c>
    </row>
    <row r="389" customFormat="false" ht="12.75" hidden="false" customHeight="true" outlineLevel="0" collapsed="false">
      <c r="B389" s="27" t="s">
        <v>531</v>
      </c>
      <c r="C389" s="76" t="s">
        <v>546</v>
      </c>
      <c r="D389" s="76" t="s">
        <v>541</v>
      </c>
      <c r="E389" s="27" t="s">
        <v>18</v>
      </c>
      <c r="F389" s="77"/>
      <c r="G389" s="28" t="n">
        <v>1</v>
      </c>
      <c r="H389" s="28" t="n">
        <v>1</v>
      </c>
      <c r="I389" s="28" t="n">
        <v>0</v>
      </c>
      <c r="J389" s="28" t="n">
        <v>0</v>
      </c>
      <c r="K389" s="29" t="n">
        <v>2030</v>
      </c>
      <c r="L389" s="29" t="n">
        <v>2030</v>
      </c>
      <c r="M389" s="78" t="s">
        <v>61</v>
      </c>
    </row>
    <row r="390" customFormat="false" ht="12.75" hidden="false" customHeight="true" outlineLevel="0" collapsed="false">
      <c r="B390" s="22" t="s">
        <v>531</v>
      </c>
      <c r="C390" s="79" t="s">
        <v>547</v>
      </c>
      <c r="D390" s="79" t="s">
        <v>548</v>
      </c>
      <c r="E390" s="22" t="s">
        <v>18</v>
      </c>
      <c r="F390" s="80"/>
      <c r="G390" s="23" t="n">
        <v>1</v>
      </c>
      <c r="H390" s="23" t="n">
        <v>1</v>
      </c>
      <c r="I390" s="23" t="n">
        <v>0</v>
      </c>
      <c r="J390" s="23" t="n">
        <v>0</v>
      </c>
      <c r="K390" s="24" t="n">
        <v>1794</v>
      </c>
      <c r="L390" s="24" t="n">
        <v>1794</v>
      </c>
      <c r="M390" s="81" t="s">
        <v>61</v>
      </c>
    </row>
    <row r="391" customFormat="false" ht="12.75" hidden="false" customHeight="true" outlineLevel="0" collapsed="false">
      <c r="B391" s="27" t="s">
        <v>531</v>
      </c>
      <c r="C391" s="76" t="s">
        <v>549</v>
      </c>
      <c r="D391" s="76" t="s">
        <v>548</v>
      </c>
      <c r="E391" s="27" t="s">
        <v>18</v>
      </c>
      <c r="F391" s="77"/>
      <c r="G391" s="28" t="n">
        <v>1</v>
      </c>
      <c r="H391" s="28" t="n">
        <v>1</v>
      </c>
      <c r="I391" s="28" t="n">
        <v>0</v>
      </c>
      <c r="J391" s="28" t="n">
        <v>0</v>
      </c>
      <c r="K391" s="29" t="n">
        <v>1794</v>
      </c>
      <c r="L391" s="29" t="n">
        <v>1794</v>
      </c>
      <c r="M391" s="78" t="s">
        <v>61</v>
      </c>
    </row>
    <row r="392" customFormat="false" ht="12.75" hidden="false" customHeight="true" outlineLevel="0" collapsed="false">
      <c r="B392" s="22" t="s">
        <v>531</v>
      </c>
      <c r="C392" s="79" t="s">
        <v>550</v>
      </c>
      <c r="D392" s="79" t="s">
        <v>548</v>
      </c>
      <c r="E392" s="22" t="s">
        <v>18</v>
      </c>
      <c r="F392" s="80"/>
      <c r="G392" s="23" t="n">
        <v>1</v>
      </c>
      <c r="H392" s="23" t="n">
        <v>1</v>
      </c>
      <c r="I392" s="23" t="n">
        <v>0</v>
      </c>
      <c r="J392" s="23" t="n">
        <v>0</v>
      </c>
      <c r="K392" s="24" t="n">
        <v>1794</v>
      </c>
      <c r="L392" s="24" t="n">
        <v>1794</v>
      </c>
      <c r="M392" s="81" t="s">
        <v>61</v>
      </c>
    </row>
    <row r="393" customFormat="false" ht="12.75" hidden="false" customHeight="true" outlineLevel="0" collapsed="false">
      <c r="B393" s="27" t="s">
        <v>531</v>
      </c>
      <c r="C393" s="76" t="s">
        <v>551</v>
      </c>
      <c r="D393" s="76" t="s">
        <v>533</v>
      </c>
      <c r="E393" s="27" t="s">
        <v>18</v>
      </c>
      <c r="F393" s="77"/>
      <c r="G393" s="28" t="n">
        <v>2</v>
      </c>
      <c r="H393" s="28" t="n">
        <v>3</v>
      </c>
      <c r="I393" s="28" t="n">
        <v>0</v>
      </c>
      <c r="J393" s="28" t="n">
        <v>1</v>
      </c>
      <c r="K393" s="29" t="n">
        <v>854</v>
      </c>
      <c r="L393" s="29" t="n">
        <v>1708</v>
      </c>
      <c r="M393" s="78" t="s">
        <v>61</v>
      </c>
    </row>
    <row r="394" customFormat="false" ht="12.75" hidden="false" customHeight="true" outlineLevel="0" collapsed="false">
      <c r="B394" s="22" t="s">
        <v>531</v>
      </c>
      <c r="C394" s="79" t="s">
        <v>552</v>
      </c>
      <c r="D394" s="79" t="s">
        <v>541</v>
      </c>
      <c r="E394" s="22" t="s">
        <v>18</v>
      </c>
      <c r="F394" s="80"/>
      <c r="G394" s="23" t="n">
        <v>2</v>
      </c>
      <c r="H394" s="23" t="n">
        <v>2</v>
      </c>
      <c r="I394" s="23" t="n">
        <v>0</v>
      </c>
      <c r="J394" s="23" t="n">
        <v>0</v>
      </c>
      <c r="K394" s="24" t="n">
        <v>854</v>
      </c>
      <c r="L394" s="24" t="n">
        <v>1708</v>
      </c>
      <c r="M394" s="81" t="s">
        <v>61</v>
      </c>
    </row>
    <row r="395" customFormat="false" ht="12.75" hidden="false" customHeight="true" outlineLevel="0" collapsed="false">
      <c r="B395" s="27" t="s">
        <v>531</v>
      </c>
      <c r="C395" s="76" t="s">
        <v>553</v>
      </c>
      <c r="D395" s="76" t="s">
        <v>537</v>
      </c>
      <c r="E395" s="27" t="s">
        <v>18</v>
      </c>
      <c r="F395" s="77"/>
      <c r="G395" s="28" t="n">
        <v>1</v>
      </c>
      <c r="H395" s="28" t="n">
        <v>1</v>
      </c>
      <c r="I395" s="28" t="n">
        <v>0</v>
      </c>
      <c r="J395" s="28" t="n">
        <v>0</v>
      </c>
      <c r="K395" s="29" t="n">
        <v>1596</v>
      </c>
      <c r="L395" s="29" t="n">
        <v>1596</v>
      </c>
      <c r="M395" s="78" t="s">
        <v>61</v>
      </c>
    </row>
    <row r="396" customFormat="false" ht="12.75" hidden="false" customHeight="true" outlineLevel="0" collapsed="false">
      <c r="B396" s="22" t="s">
        <v>531</v>
      </c>
      <c r="C396" s="79" t="s">
        <v>554</v>
      </c>
      <c r="D396" s="79" t="s">
        <v>533</v>
      </c>
      <c r="E396" s="22" t="s">
        <v>18</v>
      </c>
      <c r="F396" s="80"/>
      <c r="G396" s="23" t="n">
        <v>1</v>
      </c>
      <c r="H396" s="23" t="n">
        <v>1</v>
      </c>
      <c r="I396" s="23" t="n">
        <v>0</v>
      </c>
      <c r="J396" s="23" t="n">
        <v>0</v>
      </c>
      <c r="K396" s="24" t="n">
        <v>1295</v>
      </c>
      <c r="L396" s="24" t="n">
        <v>1295</v>
      </c>
      <c r="M396" s="81" t="s">
        <v>61</v>
      </c>
    </row>
    <row r="397" customFormat="false" ht="12.75" hidden="false" customHeight="true" outlineLevel="0" collapsed="false">
      <c r="B397" s="27" t="s">
        <v>531</v>
      </c>
      <c r="C397" s="76" t="s">
        <v>555</v>
      </c>
      <c r="D397" s="76" t="s">
        <v>533</v>
      </c>
      <c r="E397" s="27" t="s">
        <v>18</v>
      </c>
      <c r="F397" s="77"/>
      <c r="G397" s="28" t="n">
        <v>2</v>
      </c>
      <c r="H397" s="28" t="n">
        <v>2</v>
      </c>
      <c r="I397" s="28" t="n">
        <v>0</v>
      </c>
      <c r="J397" s="28" t="n">
        <v>0</v>
      </c>
      <c r="K397" s="29" t="n">
        <v>608</v>
      </c>
      <c r="L397" s="29" t="n">
        <v>1216</v>
      </c>
      <c r="M397" s="78" t="s">
        <v>61</v>
      </c>
    </row>
    <row r="398" customFormat="false" ht="12.75" hidden="false" customHeight="true" outlineLevel="0" collapsed="false">
      <c r="B398" s="22" t="s">
        <v>531</v>
      </c>
      <c r="C398" s="22" t="s">
        <v>556</v>
      </c>
      <c r="D398" s="22" t="s">
        <v>535</v>
      </c>
      <c r="E398" s="22" t="s">
        <v>18</v>
      </c>
      <c r="F398" s="80"/>
      <c r="G398" s="23" t="n">
        <v>1</v>
      </c>
      <c r="H398" s="23" t="n">
        <v>1</v>
      </c>
      <c r="I398" s="23" t="n">
        <v>0</v>
      </c>
      <c r="J398" s="23" t="n">
        <v>0</v>
      </c>
      <c r="K398" s="24" t="n">
        <v>1155</v>
      </c>
      <c r="L398" s="24" t="n">
        <v>1155</v>
      </c>
      <c r="M398" s="81" t="s">
        <v>61</v>
      </c>
    </row>
    <row r="399" customFormat="false" ht="12.75" hidden="false" customHeight="true" outlineLevel="0" collapsed="false">
      <c r="B399" s="27" t="s">
        <v>531</v>
      </c>
      <c r="C399" s="76" t="s">
        <v>557</v>
      </c>
      <c r="D399" s="76" t="s">
        <v>533</v>
      </c>
      <c r="E399" s="27" t="s">
        <v>18</v>
      </c>
      <c r="F399" s="77"/>
      <c r="G399" s="28" t="n">
        <v>1</v>
      </c>
      <c r="H399" s="28" t="n">
        <v>1</v>
      </c>
      <c r="I399" s="28" t="n">
        <v>0</v>
      </c>
      <c r="J399" s="28" t="n">
        <v>0</v>
      </c>
      <c r="K399" s="29" t="n">
        <v>1119</v>
      </c>
      <c r="L399" s="29" t="n">
        <v>1119</v>
      </c>
      <c r="M399" s="78" t="s">
        <v>61</v>
      </c>
    </row>
    <row r="400" customFormat="false" ht="12.75" hidden="false" customHeight="true" outlineLevel="0" collapsed="false">
      <c r="B400" s="22" t="s">
        <v>531</v>
      </c>
      <c r="C400" s="79" t="s">
        <v>558</v>
      </c>
      <c r="D400" s="79" t="s">
        <v>533</v>
      </c>
      <c r="E400" s="22" t="s">
        <v>18</v>
      </c>
      <c r="F400" s="80"/>
      <c r="G400" s="23" t="n">
        <v>1</v>
      </c>
      <c r="H400" s="23" t="n">
        <v>1</v>
      </c>
      <c r="I400" s="23" t="n">
        <v>0</v>
      </c>
      <c r="J400" s="23" t="n">
        <v>0</v>
      </c>
      <c r="K400" s="24" t="n">
        <v>1092</v>
      </c>
      <c r="L400" s="24" t="n">
        <v>1092</v>
      </c>
      <c r="M400" s="81" t="s">
        <v>61</v>
      </c>
    </row>
    <row r="401" customFormat="false" ht="12.75" hidden="false" customHeight="true" outlineLevel="0" collapsed="false">
      <c r="B401" s="27" t="s">
        <v>531</v>
      </c>
      <c r="C401" s="76" t="s">
        <v>559</v>
      </c>
      <c r="D401" s="76" t="s">
        <v>533</v>
      </c>
      <c r="E401" s="27" t="s">
        <v>18</v>
      </c>
      <c r="F401" s="77"/>
      <c r="G401" s="28" t="n">
        <v>7</v>
      </c>
      <c r="H401" s="28" t="n">
        <v>7</v>
      </c>
      <c r="I401" s="28" t="n">
        <v>0</v>
      </c>
      <c r="J401" s="28" t="n">
        <v>0</v>
      </c>
      <c r="K401" s="29" t="n">
        <v>140</v>
      </c>
      <c r="L401" s="29" t="n">
        <v>980</v>
      </c>
      <c r="M401" s="78" t="s">
        <v>61</v>
      </c>
    </row>
    <row r="402" customFormat="false" ht="12.75" hidden="false" customHeight="true" outlineLevel="0" collapsed="false">
      <c r="B402" s="22" t="s">
        <v>531</v>
      </c>
      <c r="C402" s="79" t="s">
        <v>560</v>
      </c>
      <c r="D402" s="79" t="s">
        <v>548</v>
      </c>
      <c r="E402" s="22" t="s">
        <v>18</v>
      </c>
      <c r="F402" s="80"/>
      <c r="G402" s="23" t="n">
        <v>1</v>
      </c>
      <c r="H402" s="23" t="n">
        <v>1</v>
      </c>
      <c r="I402" s="23" t="n">
        <v>0</v>
      </c>
      <c r="J402" s="23" t="n">
        <v>0</v>
      </c>
      <c r="K402" s="24" t="n">
        <v>930</v>
      </c>
      <c r="L402" s="24" t="n">
        <v>930</v>
      </c>
      <c r="M402" s="81" t="s">
        <v>61</v>
      </c>
    </row>
    <row r="403" customFormat="false" ht="12.75" hidden="false" customHeight="true" outlineLevel="0" collapsed="false">
      <c r="B403" s="27" t="s">
        <v>531</v>
      </c>
      <c r="C403" s="76" t="s">
        <v>561</v>
      </c>
      <c r="D403" s="76" t="s">
        <v>548</v>
      </c>
      <c r="E403" s="27" t="s">
        <v>18</v>
      </c>
      <c r="F403" s="77"/>
      <c r="G403" s="28" t="n">
        <v>1</v>
      </c>
      <c r="H403" s="28" t="n">
        <v>1</v>
      </c>
      <c r="I403" s="28" t="n">
        <v>0</v>
      </c>
      <c r="J403" s="28" t="n">
        <v>0</v>
      </c>
      <c r="K403" s="29" t="n">
        <v>930</v>
      </c>
      <c r="L403" s="29" t="n">
        <v>930</v>
      </c>
      <c r="M403" s="78" t="s">
        <v>61</v>
      </c>
    </row>
    <row r="404" customFormat="false" ht="12.75" hidden="false" customHeight="true" outlineLevel="0" collapsed="false">
      <c r="B404" s="22" t="s">
        <v>531</v>
      </c>
      <c r="C404" s="79" t="s">
        <v>562</v>
      </c>
      <c r="D404" s="79" t="s">
        <v>548</v>
      </c>
      <c r="E404" s="22" t="s">
        <v>18</v>
      </c>
      <c r="F404" s="80"/>
      <c r="G404" s="23" t="n">
        <v>1</v>
      </c>
      <c r="H404" s="23" t="n">
        <v>1</v>
      </c>
      <c r="I404" s="23" t="n">
        <v>0</v>
      </c>
      <c r="J404" s="23" t="n">
        <v>0</v>
      </c>
      <c r="K404" s="24" t="n">
        <v>930</v>
      </c>
      <c r="L404" s="24" t="n">
        <v>930</v>
      </c>
      <c r="M404" s="81" t="s">
        <v>61</v>
      </c>
    </row>
    <row r="405" customFormat="false" ht="12.75" hidden="false" customHeight="true" outlineLevel="0" collapsed="false">
      <c r="B405" s="27" t="s">
        <v>531</v>
      </c>
      <c r="C405" s="76" t="s">
        <v>563</v>
      </c>
      <c r="D405" s="76" t="s">
        <v>548</v>
      </c>
      <c r="E405" s="27" t="s">
        <v>18</v>
      </c>
      <c r="F405" s="77"/>
      <c r="G405" s="28" t="n">
        <v>1</v>
      </c>
      <c r="H405" s="28" t="n">
        <v>1</v>
      </c>
      <c r="I405" s="28" t="n">
        <v>0</v>
      </c>
      <c r="J405" s="28" t="n">
        <v>0</v>
      </c>
      <c r="K405" s="29" t="n">
        <v>930</v>
      </c>
      <c r="L405" s="29" t="n">
        <v>930</v>
      </c>
      <c r="M405" s="78" t="s">
        <v>61</v>
      </c>
    </row>
    <row r="406" customFormat="false" ht="12.75" hidden="false" customHeight="true" outlineLevel="0" collapsed="false">
      <c r="B406" s="22" t="s">
        <v>531</v>
      </c>
      <c r="C406" s="79" t="s">
        <v>564</v>
      </c>
      <c r="D406" s="79" t="s">
        <v>548</v>
      </c>
      <c r="E406" s="22" t="s">
        <v>18</v>
      </c>
      <c r="F406" s="80"/>
      <c r="G406" s="23" t="n">
        <v>1</v>
      </c>
      <c r="H406" s="23" t="n">
        <v>1</v>
      </c>
      <c r="I406" s="23" t="n">
        <v>0</v>
      </c>
      <c r="J406" s="23" t="n">
        <v>0</v>
      </c>
      <c r="K406" s="24" t="n">
        <v>930</v>
      </c>
      <c r="L406" s="24" t="n">
        <v>930</v>
      </c>
      <c r="M406" s="81" t="s">
        <v>61</v>
      </c>
    </row>
    <row r="407" customFormat="false" ht="12.75" hidden="false" customHeight="true" outlineLevel="0" collapsed="false">
      <c r="B407" s="27" t="s">
        <v>531</v>
      </c>
      <c r="C407" s="76" t="s">
        <v>565</v>
      </c>
      <c r="D407" s="76" t="s">
        <v>541</v>
      </c>
      <c r="E407" s="27" t="s">
        <v>18</v>
      </c>
      <c r="F407" s="77"/>
      <c r="G407" s="28" t="n">
        <v>1</v>
      </c>
      <c r="H407" s="28" t="n">
        <v>1</v>
      </c>
      <c r="I407" s="28" t="n">
        <v>0</v>
      </c>
      <c r="J407" s="28" t="n">
        <v>0</v>
      </c>
      <c r="K407" s="29" t="n">
        <v>700</v>
      </c>
      <c r="L407" s="29" t="n">
        <v>700</v>
      </c>
      <c r="M407" s="78" t="s">
        <v>61</v>
      </c>
    </row>
    <row r="408" customFormat="false" ht="12.75" hidden="false" customHeight="true" outlineLevel="0" collapsed="false">
      <c r="B408" s="22" t="s">
        <v>531</v>
      </c>
      <c r="C408" s="22" t="s">
        <v>566</v>
      </c>
      <c r="D408" s="22" t="s">
        <v>535</v>
      </c>
      <c r="E408" s="22" t="s">
        <v>18</v>
      </c>
      <c r="F408" s="80"/>
      <c r="G408" s="23" t="n">
        <v>1</v>
      </c>
      <c r="H408" s="23" t="n">
        <v>1</v>
      </c>
      <c r="I408" s="23" t="n">
        <v>0</v>
      </c>
      <c r="J408" s="23" t="n">
        <v>0</v>
      </c>
      <c r="K408" s="24" t="n">
        <v>622</v>
      </c>
      <c r="L408" s="24" t="n">
        <v>622</v>
      </c>
      <c r="M408" s="81" t="s">
        <v>61</v>
      </c>
    </row>
    <row r="409" customFormat="false" ht="12.75" hidden="false" customHeight="true" outlineLevel="0" collapsed="false">
      <c r="B409" s="27" t="s">
        <v>531</v>
      </c>
      <c r="C409" s="76" t="s">
        <v>567</v>
      </c>
      <c r="D409" s="76" t="s">
        <v>533</v>
      </c>
      <c r="E409" s="27" t="s">
        <v>18</v>
      </c>
      <c r="F409" s="77"/>
      <c r="G409" s="28" t="n">
        <v>1</v>
      </c>
      <c r="H409" s="28" t="n">
        <v>1</v>
      </c>
      <c r="I409" s="28" t="n">
        <v>0</v>
      </c>
      <c r="J409" s="28" t="n">
        <v>0</v>
      </c>
      <c r="K409" s="29" t="n">
        <v>581</v>
      </c>
      <c r="L409" s="29" t="n">
        <v>581</v>
      </c>
      <c r="M409" s="78" t="s">
        <v>61</v>
      </c>
    </row>
    <row r="410" customFormat="false" ht="12.75" hidden="false" customHeight="true" outlineLevel="0" collapsed="false">
      <c r="B410" s="22" t="s">
        <v>531</v>
      </c>
      <c r="C410" s="79" t="s">
        <v>568</v>
      </c>
      <c r="D410" s="79" t="s">
        <v>533</v>
      </c>
      <c r="E410" s="22" t="s">
        <v>18</v>
      </c>
      <c r="F410" s="80"/>
      <c r="G410" s="23" t="n">
        <v>2</v>
      </c>
      <c r="H410" s="23" t="n">
        <v>2</v>
      </c>
      <c r="I410" s="23" t="n">
        <v>0</v>
      </c>
      <c r="J410" s="23" t="n">
        <v>0</v>
      </c>
      <c r="K410" s="24" t="n">
        <v>260</v>
      </c>
      <c r="L410" s="24" t="n">
        <v>520</v>
      </c>
      <c r="M410" s="81" t="s">
        <v>61</v>
      </c>
    </row>
    <row r="411" customFormat="false" ht="12.75" hidden="false" customHeight="true" outlineLevel="0" collapsed="false">
      <c r="B411" s="27" t="s">
        <v>531</v>
      </c>
      <c r="C411" s="76" t="s">
        <v>569</v>
      </c>
      <c r="D411" s="76" t="s">
        <v>548</v>
      </c>
      <c r="E411" s="27" t="s">
        <v>18</v>
      </c>
      <c r="F411" s="77"/>
      <c r="G411" s="28" t="n">
        <v>1</v>
      </c>
      <c r="H411" s="28" t="n">
        <v>1</v>
      </c>
      <c r="I411" s="28" t="n">
        <v>0</v>
      </c>
      <c r="J411" s="28" t="n">
        <v>0</v>
      </c>
      <c r="K411" s="29" t="n">
        <v>426</v>
      </c>
      <c r="L411" s="29" t="n">
        <v>426</v>
      </c>
      <c r="M411" s="78" t="s">
        <v>61</v>
      </c>
    </row>
    <row r="412" customFormat="false" ht="12.75" hidden="false" customHeight="true" outlineLevel="0" collapsed="false">
      <c r="B412" s="22" t="s">
        <v>531</v>
      </c>
      <c r="C412" s="79" t="s">
        <v>570</v>
      </c>
      <c r="D412" s="79" t="s">
        <v>548</v>
      </c>
      <c r="E412" s="22" t="s">
        <v>18</v>
      </c>
      <c r="F412" s="80"/>
      <c r="G412" s="23" t="n">
        <v>1</v>
      </c>
      <c r="H412" s="23" t="n">
        <v>1</v>
      </c>
      <c r="I412" s="23" t="n">
        <v>0</v>
      </c>
      <c r="J412" s="23" t="n">
        <v>0</v>
      </c>
      <c r="K412" s="24" t="n">
        <v>426</v>
      </c>
      <c r="L412" s="24" t="n">
        <v>426</v>
      </c>
      <c r="M412" s="81" t="s">
        <v>61</v>
      </c>
    </row>
    <row r="413" customFormat="false" ht="12.75" hidden="false" customHeight="true" outlineLevel="0" collapsed="false">
      <c r="B413" s="27" t="s">
        <v>531</v>
      </c>
      <c r="C413" s="76" t="s">
        <v>571</v>
      </c>
      <c r="D413" s="76" t="s">
        <v>548</v>
      </c>
      <c r="E413" s="27" t="s">
        <v>18</v>
      </c>
      <c r="F413" s="77"/>
      <c r="G413" s="28" t="n">
        <v>1</v>
      </c>
      <c r="H413" s="28" t="n">
        <v>1</v>
      </c>
      <c r="I413" s="28" t="n">
        <v>0</v>
      </c>
      <c r="J413" s="28" t="n">
        <v>0</v>
      </c>
      <c r="K413" s="29" t="n">
        <v>426</v>
      </c>
      <c r="L413" s="29" t="n">
        <v>426</v>
      </c>
      <c r="M413" s="78" t="s">
        <v>61</v>
      </c>
    </row>
    <row r="414" customFormat="false" ht="12.75" hidden="false" customHeight="true" outlineLevel="0" collapsed="false">
      <c r="B414" s="22" t="s">
        <v>531</v>
      </c>
      <c r="C414" s="79" t="s">
        <v>572</v>
      </c>
      <c r="D414" s="79" t="s">
        <v>573</v>
      </c>
      <c r="E414" s="22" t="s">
        <v>18</v>
      </c>
      <c r="F414" s="80"/>
      <c r="G414" s="23" t="n">
        <v>1</v>
      </c>
      <c r="H414" s="23" t="n">
        <v>1</v>
      </c>
      <c r="I414" s="23" t="n">
        <v>0</v>
      </c>
      <c r="J414" s="23" t="n">
        <v>0</v>
      </c>
      <c r="K414" s="24" t="n">
        <v>246</v>
      </c>
      <c r="L414" s="24" t="n">
        <v>246</v>
      </c>
      <c r="M414" s="81" t="s">
        <v>61</v>
      </c>
    </row>
    <row r="415" customFormat="false" ht="12.75" hidden="false" customHeight="true" outlineLevel="0" collapsed="false">
      <c r="B415" s="27" t="s">
        <v>531</v>
      </c>
      <c r="C415" s="76" t="s">
        <v>574</v>
      </c>
      <c r="D415" s="76" t="s">
        <v>548</v>
      </c>
      <c r="E415" s="27" t="s">
        <v>18</v>
      </c>
      <c r="F415" s="77"/>
      <c r="G415" s="28" t="n">
        <v>1</v>
      </c>
      <c r="H415" s="28" t="n">
        <v>1</v>
      </c>
      <c r="I415" s="28" t="n">
        <v>0</v>
      </c>
      <c r="J415" s="28" t="n">
        <v>0</v>
      </c>
      <c r="K415" s="29" t="n">
        <v>246</v>
      </c>
      <c r="L415" s="29" t="n">
        <v>246</v>
      </c>
      <c r="M415" s="78" t="s">
        <v>61</v>
      </c>
    </row>
    <row r="416" customFormat="false" ht="12.75" hidden="false" customHeight="true" outlineLevel="0" collapsed="false">
      <c r="B416" s="58" t="s">
        <v>531</v>
      </c>
      <c r="C416" s="18" t="s">
        <v>575</v>
      </c>
      <c r="D416" s="18" t="s">
        <v>576</v>
      </c>
      <c r="E416" s="58" t="s">
        <v>18</v>
      </c>
      <c r="F416" s="64"/>
      <c r="G416" s="84" t="n">
        <v>-1</v>
      </c>
      <c r="H416" s="84" t="n">
        <v>-1</v>
      </c>
      <c r="I416" s="19" t="n">
        <v>0</v>
      </c>
      <c r="J416" s="19" t="n">
        <v>0</v>
      </c>
      <c r="K416" s="20" t="n">
        <v>353.4</v>
      </c>
      <c r="L416" s="20" t="n">
        <v>-353.4</v>
      </c>
      <c r="M416" s="60" t="s">
        <v>61</v>
      </c>
    </row>
    <row r="417" customFormat="false" ht="12.75" hidden="false" customHeight="true" outlineLevel="0" collapsed="false">
      <c r="B417" s="58" t="s">
        <v>531</v>
      </c>
      <c r="C417" s="18" t="s">
        <v>577</v>
      </c>
      <c r="D417" s="18" t="s">
        <v>576</v>
      </c>
      <c r="E417" s="58" t="s">
        <v>18</v>
      </c>
      <c r="F417" s="64"/>
      <c r="G417" s="84" t="n">
        <v>-1</v>
      </c>
      <c r="H417" s="84" t="n">
        <v>-1</v>
      </c>
      <c r="I417" s="19" t="n">
        <v>0</v>
      </c>
      <c r="J417" s="19" t="n">
        <v>0</v>
      </c>
      <c r="K417" s="20" t="n">
        <v>443.4</v>
      </c>
      <c r="L417" s="20" t="n">
        <v>-443.4</v>
      </c>
      <c r="M417" s="60" t="s">
        <v>61</v>
      </c>
    </row>
    <row r="418" customFormat="false" ht="12.75" hidden="false" customHeight="true" outlineLevel="0" collapsed="false">
      <c r="B418" s="61"/>
      <c r="C418" s="62" t="s">
        <v>578</v>
      </c>
      <c r="D418" s="62"/>
      <c r="E418" s="62"/>
      <c r="F418" s="62"/>
      <c r="G418" s="63" t="n">
        <v>132</v>
      </c>
      <c r="H418" s="61"/>
      <c r="I418" s="61"/>
      <c r="J418" s="61"/>
      <c r="K418" s="61"/>
      <c r="L418" s="63" t="n">
        <v>103480.2</v>
      </c>
      <c r="M418" s="61"/>
    </row>
    <row r="419" customFormat="false" ht="13.5" hidden="false" customHeight="true" outlineLevel="0" collapsed="false">
      <c r="B419" s="66" t="s">
        <v>579</v>
      </c>
      <c r="C419" s="66"/>
      <c r="D419" s="66"/>
      <c r="E419" s="66"/>
      <c r="F419" s="66"/>
      <c r="G419" s="67" t="n">
        <v>767</v>
      </c>
      <c r="H419" s="68"/>
      <c r="I419" s="68"/>
      <c r="J419" s="68"/>
      <c r="K419" s="68"/>
      <c r="L419" s="67" t="n">
        <v>227615.08</v>
      </c>
      <c r="M419" s="68"/>
    </row>
    <row r="420" customFormat="false" ht="7.5" hidden="false" customHeight="true" outlineLevel="0" collapsed="false"/>
    <row r="421" customFormat="false" ht="15" hidden="false" customHeight="true" outlineLevel="0" collapsed="false">
      <c r="B421" s="75" t="s">
        <v>580</v>
      </c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</row>
    <row r="422" customFormat="false" ht="12.75" hidden="false" customHeight="true" outlineLevel="0" collapsed="false">
      <c r="B422" s="27" t="s">
        <v>84</v>
      </c>
      <c r="C422" s="76" t="s">
        <v>581</v>
      </c>
      <c r="D422" s="76" t="s">
        <v>86</v>
      </c>
      <c r="E422" s="27" t="s">
        <v>19</v>
      </c>
      <c r="F422" s="77"/>
      <c r="G422" s="28" t="n">
        <v>0</v>
      </c>
      <c r="H422" s="28" t="n">
        <v>1</v>
      </c>
      <c r="I422" s="28" t="n">
        <v>0</v>
      </c>
      <c r="J422" s="28" t="n">
        <v>1</v>
      </c>
      <c r="K422" s="28"/>
      <c r="L422" s="28"/>
      <c r="M422" s="78" t="s">
        <v>61</v>
      </c>
    </row>
    <row r="423" customFormat="false" ht="12.75" hidden="false" customHeight="true" outlineLevel="0" collapsed="false">
      <c r="B423" s="22" t="s">
        <v>84</v>
      </c>
      <c r="C423" s="79" t="s">
        <v>582</v>
      </c>
      <c r="D423" s="79" t="s">
        <v>583</v>
      </c>
      <c r="E423" s="22" t="s">
        <v>19</v>
      </c>
      <c r="F423" s="80"/>
      <c r="G423" s="23" t="n">
        <v>1</v>
      </c>
      <c r="H423" s="23" t="n">
        <v>1</v>
      </c>
      <c r="I423" s="23" t="n">
        <v>0</v>
      </c>
      <c r="J423" s="23" t="n">
        <v>0</v>
      </c>
      <c r="K423" s="23"/>
      <c r="L423" s="82" t="s">
        <v>104</v>
      </c>
      <c r="M423" s="81" t="s">
        <v>61</v>
      </c>
    </row>
    <row r="424" customFormat="false" ht="12.75" hidden="false" customHeight="true" outlineLevel="0" collapsed="false">
      <c r="B424" s="61"/>
      <c r="C424" s="62" t="s">
        <v>105</v>
      </c>
      <c r="D424" s="62"/>
      <c r="E424" s="62"/>
      <c r="F424" s="62"/>
      <c r="G424" s="63" t="n">
        <v>1</v>
      </c>
      <c r="H424" s="61"/>
      <c r="I424" s="61"/>
      <c r="J424" s="61"/>
      <c r="K424" s="61"/>
      <c r="L424" s="63" t="n">
        <v>0</v>
      </c>
      <c r="M424" s="61"/>
    </row>
    <row r="425" customFormat="false" ht="12.75" hidden="false" customHeight="true" outlineLevel="0" collapsed="false">
      <c r="B425" s="27" t="s">
        <v>127</v>
      </c>
      <c r="C425" s="76" t="s">
        <v>584</v>
      </c>
      <c r="D425" s="76" t="s">
        <v>585</v>
      </c>
      <c r="E425" s="27" t="s">
        <v>19</v>
      </c>
      <c r="F425" s="77"/>
      <c r="G425" s="28" t="n">
        <v>1</v>
      </c>
      <c r="H425" s="28" t="n">
        <v>1</v>
      </c>
      <c r="I425" s="28" t="n">
        <v>0</v>
      </c>
      <c r="J425" s="28" t="n">
        <v>0</v>
      </c>
      <c r="K425" s="28"/>
      <c r="L425" s="83" t="s">
        <v>104</v>
      </c>
      <c r="M425" s="78" t="s">
        <v>61</v>
      </c>
    </row>
    <row r="426" customFormat="false" ht="12.75" hidden="false" customHeight="true" outlineLevel="0" collapsed="false">
      <c r="B426" s="22" t="s">
        <v>127</v>
      </c>
      <c r="C426" s="79" t="s">
        <v>586</v>
      </c>
      <c r="D426" s="79" t="s">
        <v>86</v>
      </c>
      <c r="E426" s="22" t="s">
        <v>19</v>
      </c>
      <c r="F426" s="80"/>
      <c r="G426" s="23" t="n">
        <v>1</v>
      </c>
      <c r="H426" s="23" t="n">
        <v>1</v>
      </c>
      <c r="I426" s="23" t="n">
        <v>0</v>
      </c>
      <c r="J426" s="23" t="n">
        <v>0</v>
      </c>
      <c r="K426" s="23"/>
      <c r="L426" s="82" t="s">
        <v>104</v>
      </c>
      <c r="M426" s="81" t="s">
        <v>61</v>
      </c>
    </row>
    <row r="427" customFormat="false" ht="12.75" hidden="false" customHeight="true" outlineLevel="0" collapsed="false">
      <c r="B427" s="27" t="s">
        <v>127</v>
      </c>
      <c r="C427" s="76" t="s">
        <v>587</v>
      </c>
      <c r="D427" s="76" t="s">
        <v>86</v>
      </c>
      <c r="E427" s="27" t="s">
        <v>19</v>
      </c>
      <c r="F427" s="77"/>
      <c r="G427" s="28" t="n">
        <v>1</v>
      </c>
      <c r="H427" s="28" t="n">
        <v>1</v>
      </c>
      <c r="I427" s="28" t="n">
        <v>0</v>
      </c>
      <c r="J427" s="28" t="n">
        <v>0</v>
      </c>
      <c r="K427" s="28"/>
      <c r="L427" s="83" t="s">
        <v>104</v>
      </c>
      <c r="M427" s="78" t="s">
        <v>61</v>
      </c>
    </row>
    <row r="428" customFormat="false" ht="12.75" hidden="false" customHeight="true" outlineLevel="0" collapsed="false">
      <c r="B428" s="22" t="s">
        <v>127</v>
      </c>
      <c r="C428" s="79" t="s">
        <v>588</v>
      </c>
      <c r="D428" s="79" t="s">
        <v>86</v>
      </c>
      <c r="E428" s="22" t="s">
        <v>19</v>
      </c>
      <c r="F428" s="80"/>
      <c r="G428" s="23" t="n">
        <v>0</v>
      </c>
      <c r="H428" s="23" t="n">
        <v>1</v>
      </c>
      <c r="I428" s="23" t="n">
        <v>0</v>
      </c>
      <c r="J428" s="23" t="n">
        <v>1</v>
      </c>
      <c r="K428" s="23"/>
      <c r="L428" s="23"/>
      <c r="M428" s="81" t="s">
        <v>61</v>
      </c>
    </row>
    <row r="429" customFormat="false" ht="12.75" hidden="false" customHeight="true" outlineLevel="0" collapsed="false">
      <c r="B429" s="27" t="s">
        <v>127</v>
      </c>
      <c r="C429" s="76" t="s">
        <v>589</v>
      </c>
      <c r="D429" s="76" t="s">
        <v>86</v>
      </c>
      <c r="E429" s="27" t="s">
        <v>19</v>
      </c>
      <c r="F429" s="77"/>
      <c r="G429" s="28" t="n">
        <v>0</v>
      </c>
      <c r="H429" s="28" t="n">
        <v>1</v>
      </c>
      <c r="I429" s="28" t="n">
        <v>0</v>
      </c>
      <c r="J429" s="28" t="n">
        <v>1</v>
      </c>
      <c r="K429" s="29" t="n">
        <v>45500</v>
      </c>
      <c r="L429" s="28"/>
      <c r="M429" s="78" t="s">
        <v>61</v>
      </c>
    </row>
    <row r="430" customFormat="false" ht="12.75" hidden="false" customHeight="true" outlineLevel="0" collapsed="false">
      <c r="B430" s="22" t="s">
        <v>127</v>
      </c>
      <c r="C430" s="79" t="s">
        <v>590</v>
      </c>
      <c r="D430" s="79" t="s">
        <v>188</v>
      </c>
      <c r="E430" s="22" t="s">
        <v>19</v>
      </c>
      <c r="F430" s="80"/>
      <c r="G430" s="23" t="n">
        <v>1</v>
      </c>
      <c r="H430" s="23" t="n">
        <v>1</v>
      </c>
      <c r="I430" s="23" t="n">
        <v>0</v>
      </c>
      <c r="J430" s="23" t="n">
        <v>0</v>
      </c>
      <c r="K430" s="23"/>
      <c r="L430" s="82" t="s">
        <v>104</v>
      </c>
      <c r="M430" s="81" t="s">
        <v>61</v>
      </c>
    </row>
    <row r="431" customFormat="false" ht="12.75" hidden="false" customHeight="true" outlineLevel="0" collapsed="false">
      <c r="B431" s="27" t="s">
        <v>127</v>
      </c>
      <c r="C431" s="76" t="s">
        <v>591</v>
      </c>
      <c r="D431" s="76" t="s">
        <v>190</v>
      </c>
      <c r="E431" s="27" t="s">
        <v>19</v>
      </c>
      <c r="F431" s="77"/>
      <c r="G431" s="28" t="n">
        <v>2</v>
      </c>
      <c r="H431" s="28" t="n">
        <v>2</v>
      </c>
      <c r="I431" s="28" t="n">
        <v>0</v>
      </c>
      <c r="J431" s="28" t="n">
        <v>0</v>
      </c>
      <c r="K431" s="28"/>
      <c r="L431" s="83" t="s">
        <v>104</v>
      </c>
      <c r="M431" s="78" t="s">
        <v>61</v>
      </c>
    </row>
    <row r="432" customFormat="false" ht="12.75" hidden="false" customHeight="true" outlineLevel="0" collapsed="false">
      <c r="B432" s="22" t="s">
        <v>127</v>
      </c>
      <c r="C432" s="79" t="s">
        <v>592</v>
      </c>
      <c r="D432" s="79" t="s">
        <v>190</v>
      </c>
      <c r="E432" s="22" t="s">
        <v>19</v>
      </c>
      <c r="F432" s="80"/>
      <c r="G432" s="23" t="n">
        <v>1</v>
      </c>
      <c r="H432" s="23" t="n">
        <v>1</v>
      </c>
      <c r="I432" s="23" t="n">
        <v>0</v>
      </c>
      <c r="J432" s="23" t="n">
        <v>0</v>
      </c>
      <c r="K432" s="23"/>
      <c r="L432" s="82" t="s">
        <v>104</v>
      </c>
      <c r="M432" s="81" t="s">
        <v>61</v>
      </c>
    </row>
    <row r="433" customFormat="false" ht="12.75" hidden="false" customHeight="true" outlineLevel="0" collapsed="false">
      <c r="B433" s="27" t="s">
        <v>127</v>
      </c>
      <c r="C433" s="76" t="s">
        <v>593</v>
      </c>
      <c r="D433" s="76" t="s">
        <v>190</v>
      </c>
      <c r="E433" s="27" t="s">
        <v>19</v>
      </c>
      <c r="F433" s="77"/>
      <c r="G433" s="28" t="n">
        <v>1</v>
      </c>
      <c r="H433" s="28" t="n">
        <v>1</v>
      </c>
      <c r="I433" s="28" t="n">
        <v>0</v>
      </c>
      <c r="J433" s="28" t="n">
        <v>0</v>
      </c>
      <c r="K433" s="28"/>
      <c r="L433" s="83" t="s">
        <v>104</v>
      </c>
      <c r="M433" s="78" t="s">
        <v>61</v>
      </c>
    </row>
    <row r="434" customFormat="false" ht="12.75" hidden="false" customHeight="true" outlineLevel="0" collapsed="false">
      <c r="B434" s="22" t="s">
        <v>127</v>
      </c>
      <c r="C434" s="79" t="s">
        <v>594</v>
      </c>
      <c r="D434" s="79" t="s">
        <v>190</v>
      </c>
      <c r="E434" s="22" t="s">
        <v>19</v>
      </c>
      <c r="F434" s="80"/>
      <c r="G434" s="23" t="n">
        <v>1</v>
      </c>
      <c r="H434" s="23" t="n">
        <v>1</v>
      </c>
      <c r="I434" s="23" t="n">
        <v>0</v>
      </c>
      <c r="J434" s="23" t="n">
        <v>0</v>
      </c>
      <c r="K434" s="23"/>
      <c r="L434" s="82" t="s">
        <v>104</v>
      </c>
      <c r="M434" s="81" t="s">
        <v>61</v>
      </c>
    </row>
    <row r="435" customFormat="false" ht="12.75" hidden="false" customHeight="true" outlineLevel="0" collapsed="false">
      <c r="B435" s="27" t="s">
        <v>127</v>
      </c>
      <c r="C435" s="76" t="s">
        <v>595</v>
      </c>
      <c r="D435" s="76" t="s">
        <v>190</v>
      </c>
      <c r="E435" s="27" t="s">
        <v>19</v>
      </c>
      <c r="F435" s="77"/>
      <c r="G435" s="28" t="n">
        <v>1</v>
      </c>
      <c r="H435" s="28" t="n">
        <v>1</v>
      </c>
      <c r="I435" s="28" t="n">
        <v>0</v>
      </c>
      <c r="J435" s="28" t="n">
        <v>0</v>
      </c>
      <c r="K435" s="28"/>
      <c r="L435" s="83" t="s">
        <v>104</v>
      </c>
      <c r="M435" s="78" t="s">
        <v>61</v>
      </c>
    </row>
    <row r="436" customFormat="false" ht="12.75" hidden="false" customHeight="true" outlineLevel="0" collapsed="false">
      <c r="B436" s="22" t="s">
        <v>127</v>
      </c>
      <c r="C436" s="79" t="s">
        <v>596</v>
      </c>
      <c r="D436" s="79" t="s">
        <v>597</v>
      </c>
      <c r="E436" s="22" t="s">
        <v>19</v>
      </c>
      <c r="F436" s="80"/>
      <c r="G436" s="23" t="n">
        <v>1</v>
      </c>
      <c r="H436" s="23" t="n">
        <v>1</v>
      </c>
      <c r="I436" s="23" t="n">
        <v>0</v>
      </c>
      <c r="J436" s="23" t="n">
        <v>0</v>
      </c>
      <c r="K436" s="23"/>
      <c r="L436" s="82" t="s">
        <v>104</v>
      </c>
      <c r="M436" s="81" t="s">
        <v>61</v>
      </c>
    </row>
    <row r="437" customFormat="false" ht="12.75" hidden="false" customHeight="true" outlineLevel="0" collapsed="false">
      <c r="B437" s="27" t="s">
        <v>127</v>
      </c>
      <c r="C437" s="76" t="s">
        <v>598</v>
      </c>
      <c r="D437" s="76" t="s">
        <v>597</v>
      </c>
      <c r="E437" s="27" t="s">
        <v>19</v>
      </c>
      <c r="F437" s="77"/>
      <c r="G437" s="28" t="n">
        <v>1</v>
      </c>
      <c r="H437" s="28" t="n">
        <v>1</v>
      </c>
      <c r="I437" s="28" t="n">
        <v>0</v>
      </c>
      <c r="J437" s="28" t="n">
        <v>0</v>
      </c>
      <c r="K437" s="28"/>
      <c r="L437" s="83" t="s">
        <v>104</v>
      </c>
      <c r="M437" s="78" t="s">
        <v>61</v>
      </c>
    </row>
    <row r="438" customFormat="false" ht="12.75" hidden="false" customHeight="true" outlineLevel="0" collapsed="false">
      <c r="B438" s="22" t="s">
        <v>127</v>
      </c>
      <c r="C438" s="79" t="s">
        <v>599</v>
      </c>
      <c r="D438" s="79" t="s">
        <v>135</v>
      </c>
      <c r="E438" s="22" t="s">
        <v>19</v>
      </c>
      <c r="F438" s="80"/>
      <c r="G438" s="23" t="n">
        <v>1</v>
      </c>
      <c r="H438" s="23" t="n">
        <v>1</v>
      </c>
      <c r="I438" s="23" t="n">
        <v>0</v>
      </c>
      <c r="J438" s="23" t="n">
        <v>0</v>
      </c>
      <c r="K438" s="23"/>
      <c r="L438" s="82" t="s">
        <v>104</v>
      </c>
      <c r="M438" s="81" t="s">
        <v>61</v>
      </c>
    </row>
    <row r="439" customFormat="false" ht="12.75" hidden="false" customHeight="true" outlineLevel="0" collapsed="false">
      <c r="B439" s="27" t="s">
        <v>127</v>
      </c>
      <c r="C439" s="27" t="s">
        <v>600</v>
      </c>
      <c r="D439" s="27" t="s">
        <v>601</v>
      </c>
      <c r="E439" s="27" t="s">
        <v>19</v>
      </c>
      <c r="F439" s="77"/>
      <c r="G439" s="28" t="n">
        <v>1</v>
      </c>
      <c r="H439" s="28" t="n">
        <v>1</v>
      </c>
      <c r="I439" s="28" t="n">
        <v>0</v>
      </c>
      <c r="J439" s="28" t="n">
        <v>0</v>
      </c>
      <c r="K439" s="28"/>
      <c r="L439" s="83" t="s">
        <v>104</v>
      </c>
      <c r="M439" s="78" t="s">
        <v>61</v>
      </c>
    </row>
    <row r="440" customFormat="false" ht="12.75" hidden="false" customHeight="true" outlineLevel="0" collapsed="false">
      <c r="B440" s="61"/>
      <c r="C440" s="62" t="s">
        <v>153</v>
      </c>
      <c r="D440" s="62"/>
      <c r="E440" s="62"/>
      <c r="F440" s="62"/>
      <c r="G440" s="63" t="n">
        <v>14</v>
      </c>
      <c r="H440" s="61"/>
      <c r="I440" s="61"/>
      <c r="J440" s="61"/>
      <c r="K440" s="61"/>
      <c r="L440" s="63" t="n">
        <v>0</v>
      </c>
      <c r="M440" s="61"/>
    </row>
    <row r="441" customFormat="false" ht="12.75" hidden="false" customHeight="true" outlineLevel="0" collapsed="false">
      <c r="B441" s="27" t="s">
        <v>154</v>
      </c>
      <c r="C441" s="27" t="s">
        <v>602</v>
      </c>
      <c r="D441" s="27" t="s">
        <v>601</v>
      </c>
      <c r="E441" s="27" t="s">
        <v>19</v>
      </c>
      <c r="F441" s="77"/>
      <c r="G441" s="28" t="n">
        <v>1</v>
      </c>
      <c r="H441" s="28" t="n">
        <v>1</v>
      </c>
      <c r="I441" s="28" t="n">
        <v>0</v>
      </c>
      <c r="J441" s="28" t="n">
        <v>0</v>
      </c>
      <c r="K441" s="28"/>
      <c r="L441" s="83" t="s">
        <v>104</v>
      </c>
      <c r="M441" s="78" t="s">
        <v>61</v>
      </c>
    </row>
    <row r="442" customFormat="false" ht="12.75" hidden="false" customHeight="true" outlineLevel="0" collapsed="false">
      <c r="B442" s="61"/>
      <c r="C442" s="62" t="s">
        <v>164</v>
      </c>
      <c r="D442" s="62"/>
      <c r="E442" s="62"/>
      <c r="F442" s="62"/>
      <c r="G442" s="63" t="n">
        <v>1</v>
      </c>
      <c r="H442" s="61"/>
      <c r="I442" s="61"/>
      <c r="J442" s="61"/>
      <c r="K442" s="61"/>
      <c r="L442" s="63" t="n">
        <v>0</v>
      </c>
      <c r="M442" s="61"/>
    </row>
    <row r="443" customFormat="false" ht="12.75" hidden="false" customHeight="true" outlineLevel="0" collapsed="false">
      <c r="B443" s="27" t="s">
        <v>362</v>
      </c>
      <c r="C443" s="76" t="s">
        <v>603</v>
      </c>
      <c r="D443" s="76" t="s">
        <v>364</v>
      </c>
      <c r="E443" s="27" t="s">
        <v>19</v>
      </c>
      <c r="F443" s="77"/>
      <c r="G443" s="28" t="n">
        <v>1</v>
      </c>
      <c r="H443" s="28" t="n">
        <v>1</v>
      </c>
      <c r="I443" s="28" t="n">
        <v>0</v>
      </c>
      <c r="J443" s="28" t="n">
        <v>0</v>
      </c>
      <c r="K443" s="28"/>
      <c r="L443" s="83" t="s">
        <v>104</v>
      </c>
      <c r="M443" s="78" t="s">
        <v>61</v>
      </c>
    </row>
    <row r="444" customFormat="false" ht="12.75" hidden="false" customHeight="true" outlineLevel="0" collapsed="false">
      <c r="B444" s="22" t="s">
        <v>362</v>
      </c>
      <c r="C444" s="79" t="s">
        <v>604</v>
      </c>
      <c r="D444" s="79" t="s">
        <v>364</v>
      </c>
      <c r="E444" s="22" t="s">
        <v>19</v>
      </c>
      <c r="F444" s="80"/>
      <c r="G444" s="23" t="n">
        <v>1</v>
      </c>
      <c r="H444" s="23" t="n">
        <v>1</v>
      </c>
      <c r="I444" s="23" t="n">
        <v>0</v>
      </c>
      <c r="J444" s="23" t="n">
        <v>0</v>
      </c>
      <c r="K444" s="23"/>
      <c r="L444" s="82" t="s">
        <v>104</v>
      </c>
      <c r="M444" s="81" t="s">
        <v>61</v>
      </c>
    </row>
    <row r="445" customFormat="false" ht="12.75" hidden="false" customHeight="true" outlineLevel="0" collapsed="false">
      <c r="B445" s="27" t="s">
        <v>362</v>
      </c>
      <c r="C445" s="76" t="s">
        <v>605</v>
      </c>
      <c r="D445" s="76" t="s">
        <v>364</v>
      </c>
      <c r="E445" s="27" t="s">
        <v>19</v>
      </c>
      <c r="F445" s="77"/>
      <c r="G445" s="28" t="n">
        <v>1</v>
      </c>
      <c r="H445" s="28" t="n">
        <v>1</v>
      </c>
      <c r="I445" s="28" t="n">
        <v>0</v>
      </c>
      <c r="J445" s="28" t="n">
        <v>0</v>
      </c>
      <c r="K445" s="28"/>
      <c r="L445" s="83" t="s">
        <v>104</v>
      </c>
      <c r="M445" s="78" t="s">
        <v>61</v>
      </c>
    </row>
    <row r="446" customFormat="false" ht="12.75" hidden="false" customHeight="true" outlineLevel="0" collapsed="false">
      <c r="B446" s="61"/>
      <c r="C446" s="62" t="s">
        <v>366</v>
      </c>
      <c r="D446" s="62"/>
      <c r="E446" s="62"/>
      <c r="F446" s="62"/>
      <c r="G446" s="63" t="n">
        <v>3</v>
      </c>
      <c r="H446" s="61"/>
      <c r="I446" s="61"/>
      <c r="J446" s="61"/>
      <c r="K446" s="61"/>
      <c r="L446" s="63" t="n">
        <v>0</v>
      </c>
      <c r="M446" s="61"/>
    </row>
    <row r="447" customFormat="false" ht="13.5" hidden="false" customHeight="true" outlineLevel="0" collapsed="false">
      <c r="B447" s="66" t="s">
        <v>606</v>
      </c>
      <c r="C447" s="66"/>
      <c r="D447" s="66"/>
      <c r="E447" s="66"/>
      <c r="F447" s="66"/>
      <c r="G447" s="67" t="n">
        <v>19</v>
      </c>
      <c r="H447" s="68"/>
      <c r="I447" s="68"/>
      <c r="J447" s="68"/>
      <c r="K447" s="68"/>
      <c r="L447" s="67" t="n">
        <v>0</v>
      </c>
      <c r="M447" s="68"/>
    </row>
    <row r="448" customFormat="false" ht="7.5" hidden="false" customHeight="true" outlineLevel="0" collapsed="false"/>
    <row r="449" customFormat="false" ht="15" hidden="false" customHeight="true" outlineLevel="0" collapsed="false">
      <c r="B449" s="75" t="s">
        <v>607</v>
      </c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</row>
    <row r="450" customFormat="false" ht="12.75" hidden="false" customHeight="true" outlineLevel="0" collapsed="false">
      <c r="B450" s="27" t="s">
        <v>394</v>
      </c>
      <c r="C450" s="27" t="s">
        <v>608</v>
      </c>
      <c r="D450" s="27"/>
      <c r="E450" s="27"/>
      <c r="F450" s="77"/>
      <c r="G450" s="28" t="n">
        <v>2</v>
      </c>
      <c r="H450" s="28" t="n">
        <v>2</v>
      </c>
      <c r="I450" s="28" t="n">
        <v>0</v>
      </c>
      <c r="J450" s="28" t="n">
        <v>0</v>
      </c>
      <c r="K450" s="28"/>
      <c r="L450" s="83" t="s">
        <v>104</v>
      </c>
      <c r="M450" s="78" t="s">
        <v>61</v>
      </c>
    </row>
    <row r="451" customFormat="false" ht="12.75" hidden="false" customHeight="true" outlineLevel="0" collapsed="false">
      <c r="B451" s="61"/>
      <c r="C451" s="62" t="s">
        <v>402</v>
      </c>
      <c r="D451" s="62"/>
      <c r="E451" s="62"/>
      <c r="F451" s="62"/>
      <c r="G451" s="63" t="n">
        <v>2</v>
      </c>
      <c r="H451" s="61"/>
      <c r="I451" s="61"/>
      <c r="J451" s="61"/>
      <c r="K451" s="61"/>
      <c r="L451" s="63" t="n">
        <v>0</v>
      </c>
      <c r="M451" s="61"/>
    </row>
    <row r="452" customFormat="false" ht="12.75" hidden="false" customHeight="true" outlineLevel="0" collapsed="false">
      <c r="B452" s="27" t="s">
        <v>154</v>
      </c>
      <c r="C452" s="76" t="s">
        <v>609</v>
      </c>
      <c r="D452" s="76" t="s">
        <v>610</v>
      </c>
      <c r="E452" s="27"/>
      <c r="F452" s="77"/>
      <c r="G452" s="28" t="n">
        <v>0</v>
      </c>
      <c r="H452" s="28" t="n">
        <v>1</v>
      </c>
      <c r="I452" s="28" t="n">
        <v>0</v>
      </c>
      <c r="J452" s="28" t="n">
        <v>1</v>
      </c>
      <c r="K452" s="29" t="n">
        <v>12738</v>
      </c>
      <c r="L452" s="28"/>
      <c r="M452" s="78" t="s">
        <v>61</v>
      </c>
    </row>
    <row r="453" customFormat="false" ht="12.75" hidden="false" customHeight="true" outlineLevel="0" collapsed="false">
      <c r="B453" s="61"/>
      <c r="C453" s="62" t="s">
        <v>164</v>
      </c>
      <c r="D453" s="62"/>
      <c r="E453" s="62"/>
      <c r="F453" s="62"/>
      <c r="G453" s="63" t="n">
        <v>0</v>
      </c>
      <c r="H453" s="61"/>
      <c r="I453" s="61"/>
      <c r="J453" s="61"/>
      <c r="K453" s="61"/>
      <c r="L453" s="63" t="n">
        <v>0</v>
      </c>
      <c r="M453" s="61"/>
    </row>
    <row r="454" customFormat="false" ht="13.5" hidden="false" customHeight="true" outlineLevel="0" collapsed="false">
      <c r="B454" s="66" t="s">
        <v>611</v>
      </c>
      <c r="C454" s="66"/>
      <c r="D454" s="66"/>
      <c r="E454" s="66"/>
      <c r="F454" s="66"/>
      <c r="G454" s="67" t="n">
        <v>2</v>
      </c>
      <c r="H454" s="68"/>
      <c r="I454" s="68"/>
      <c r="J454" s="68"/>
      <c r="K454" s="68"/>
      <c r="L454" s="67" t="n">
        <v>0</v>
      </c>
      <c r="M454" s="68"/>
    </row>
    <row r="455" customFormat="false" ht="7.5" hidden="false" customHeight="true" outlineLevel="0" collapsed="false"/>
    <row r="456" customFormat="false" ht="15" hidden="false" customHeight="true" outlineLevel="0" collapsed="false">
      <c r="B456" s="75" t="s">
        <v>612</v>
      </c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</row>
    <row r="457" customFormat="false" ht="12.75" hidden="false" customHeight="true" outlineLevel="0" collapsed="false">
      <c r="B457" s="27" t="s">
        <v>280</v>
      </c>
      <c r="C457" s="76" t="s">
        <v>613</v>
      </c>
      <c r="D457" s="76" t="s">
        <v>372</v>
      </c>
      <c r="E457" s="27" t="s">
        <v>614</v>
      </c>
      <c r="F457" s="77"/>
      <c r="G457" s="28" t="n">
        <v>0</v>
      </c>
      <c r="H457" s="28" t="n">
        <v>0</v>
      </c>
      <c r="I457" s="28" t="n">
        <v>21</v>
      </c>
      <c r="J457" s="28" t="n">
        <v>21</v>
      </c>
      <c r="K457" s="29" t="n">
        <v>4000</v>
      </c>
      <c r="L457" s="28"/>
      <c r="M457" s="78" t="s">
        <v>61</v>
      </c>
    </row>
    <row r="458" customFormat="false" ht="15" hidden="false" customHeight="false" outlineLevel="0" collapsed="false">
      <c r="B458" s="61"/>
      <c r="C458" s="62" t="s">
        <v>285</v>
      </c>
      <c r="D458" s="62"/>
      <c r="E458" s="62"/>
      <c r="F458" s="62"/>
      <c r="G458" s="63" t="n">
        <v>0</v>
      </c>
      <c r="H458" s="61"/>
      <c r="I458" s="61"/>
      <c r="J458" s="61"/>
      <c r="K458" s="61"/>
      <c r="L458" s="63" t="n">
        <v>0</v>
      </c>
      <c r="M458" s="61"/>
    </row>
    <row r="459" customFormat="false" ht="13.5" hidden="false" customHeight="true" outlineLevel="0" collapsed="false">
      <c r="B459" s="66" t="s">
        <v>615</v>
      </c>
      <c r="C459" s="66"/>
      <c r="D459" s="66"/>
      <c r="E459" s="66"/>
      <c r="F459" s="66"/>
      <c r="G459" s="67" t="n">
        <v>0</v>
      </c>
      <c r="H459" s="68"/>
      <c r="I459" s="68"/>
      <c r="J459" s="68"/>
      <c r="K459" s="68"/>
      <c r="L459" s="67" t="n">
        <v>0</v>
      </c>
      <c r="M459" s="68"/>
    </row>
    <row r="461" customFormat="false" ht="13.5" hidden="false" customHeight="true" outlineLevel="0" collapsed="false">
      <c r="B461" s="33" t="s">
        <v>616</v>
      </c>
      <c r="C461" s="33"/>
      <c r="D461" s="33"/>
      <c r="E461" s="33"/>
      <c r="F461" s="33"/>
      <c r="G461" s="35" t="n">
        <v>3668</v>
      </c>
      <c r="H461" s="37"/>
      <c r="I461" s="37"/>
      <c r="J461" s="37"/>
      <c r="K461" s="37"/>
      <c r="L461" s="35" t="n">
        <v>4492177.87</v>
      </c>
      <c r="M461" s="37"/>
    </row>
    <row r="463" customFormat="false" ht="15" hidden="false" customHeight="false" outlineLevel="0" collapsed="false">
      <c r="B463" s="50" t="s">
        <v>617</v>
      </c>
    </row>
  </sheetData>
  <mergeCells count="76">
    <mergeCell ref="B2:M2"/>
    <mergeCell ref="B3:M3"/>
    <mergeCell ref="B5:M5"/>
    <mergeCell ref="B8:M8"/>
    <mergeCell ref="C11:F11"/>
    <mergeCell ref="C15:F15"/>
    <mergeCell ref="C22:F22"/>
    <mergeCell ref="C36:F36"/>
    <mergeCell ref="C39:F39"/>
    <mergeCell ref="C51:F51"/>
    <mergeCell ref="C73:F73"/>
    <mergeCell ref="C79:F79"/>
    <mergeCell ref="B80:F80"/>
    <mergeCell ref="B82:M82"/>
    <mergeCell ref="C85:F85"/>
    <mergeCell ref="C93:F93"/>
    <mergeCell ref="C95:F95"/>
    <mergeCell ref="C116:F116"/>
    <mergeCell ref="C123:F123"/>
    <mergeCell ref="B124:F124"/>
    <mergeCell ref="B126:M126"/>
    <mergeCell ref="C131:F131"/>
    <mergeCell ref="B132:F132"/>
    <mergeCell ref="B134:M134"/>
    <mergeCell ref="C137:F137"/>
    <mergeCell ref="C140:F140"/>
    <mergeCell ref="C161:F161"/>
    <mergeCell ref="C165:F165"/>
    <mergeCell ref="C172:F172"/>
    <mergeCell ref="C176:F176"/>
    <mergeCell ref="C188:F188"/>
    <mergeCell ref="C191:F191"/>
    <mergeCell ref="C196:F196"/>
    <mergeCell ref="C198:F198"/>
    <mergeCell ref="C203:F203"/>
    <mergeCell ref="C207:F207"/>
    <mergeCell ref="C216:F216"/>
    <mergeCell ref="C218:F218"/>
    <mergeCell ref="C233:F233"/>
    <mergeCell ref="C235:F235"/>
    <mergeCell ref="C237:F237"/>
    <mergeCell ref="C240:F240"/>
    <mergeCell ref="B241:F241"/>
    <mergeCell ref="B243:M243"/>
    <mergeCell ref="C250:F250"/>
    <mergeCell ref="C255:F255"/>
    <mergeCell ref="C257:F257"/>
    <mergeCell ref="C265:F265"/>
    <mergeCell ref="C273:F273"/>
    <mergeCell ref="B274:F274"/>
    <mergeCell ref="B276:M276"/>
    <mergeCell ref="C283:F283"/>
    <mergeCell ref="B284:F284"/>
    <mergeCell ref="B286:M286"/>
    <mergeCell ref="C294:F294"/>
    <mergeCell ref="C314:F314"/>
    <mergeCell ref="C320:F320"/>
    <mergeCell ref="C348:F348"/>
    <mergeCell ref="C362:F362"/>
    <mergeCell ref="C378:F378"/>
    <mergeCell ref="C418:F418"/>
    <mergeCell ref="B419:F419"/>
    <mergeCell ref="B421:M421"/>
    <mergeCell ref="C424:F424"/>
    <mergeCell ref="C440:F440"/>
    <mergeCell ref="C442:F442"/>
    <mergeCell ref="C446:F446"/>
    <mergeCell ref="B447:F447"/>
    <mergeCell ref="B449:M449"/>
    <mergeCell ref="C451:F451"/>
    <mergeCell ref="C453:F453"/>
    <mergeCell ref="B454:F454"/>
    <mergeCell ref="B456:M456"/>
    <mergeCell ref="C458:F458"/>
    <mergeCell ref="B459:F459"/>
    <mergeCell ref="B461:F4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1A"/>
    <pageSetUpPr fitToPage="false"/>
  </sheetPr>
  <dimension ref="B1:O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4" min="3" style="0" width="9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2" min="10" style="0" width="10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8"/>
    <col collapsed="false" customWidth="true" hidden="false" outlineLevel="0" max="16" min="16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618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3.5" hidden="false" customHeight="true" outlineLevel="0" collapsed="false">
      <c r="B3" s="2" t="s">
        <v>619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7.5" hidden="false" customHeight="true" outlineLevel="0" collapsed="false"/>
    <row r="5" customFormat="false" ht="13.5" hidden="false" customHeight="true" outlineLevel="0" collapsed="false">
      <c r="B5" s="86" t="s">
        <v>620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</row>
    <row r="6" customFormat="false" ht="7.5" hidden="false" customHeight="true" outlineLevel="0" collapsed="false"/>
    <row r="7" customFormat="false" ht="30" hidden="false" customHeight="true" outlineLevel="0" collapsed="false">
      <c r="B7" s="54" t="s">
        <v>621</v>
      </c>
      <c r="C7" s="53" t="s">
        <v>45</v>
      </c>
      <c r="D7" s="53" t="s">
        <v>47</v>
      </c>
      <c r="E7" s="87" t="s">
        <v>622</v>
      </c>
      <c r="F7" s="87" t="s">
        <v>623</v>
      </c>
      <c r="G7" s="56" t="s">
        <v>624</v>
      </c>
      <c r="H7" s="56" t="s">
        <v>625</v>
      </c>
      <c r="I7" s="56" t="s">
        <v>626</v>
      </c>
      <c r="J7" s="56" t="s">
        <v>627</v>
      </c>
      <c r="K7" s="87" t="s">
        <v>628</v>
      </c>
      <c r="L7" s="87" t="s">
        <v>629</v>
      </c>
      <c r="M7" s="56" t="s">
        <v>630</v>
      </c>
      <c r="N7" s="87" t="s">
        <v>631</v>
      </c>
      <c r="O7" s="56" t="s">
        <v>632</v>
      </c>
    </row>
    <row r="8" customFormat="false" ht="15.75" hidden="false" customHeight="true" outlineLevel="0" collapsed="false">
      <c r="B8" s="88" t="s">
        <v>633</v>
      </c>
      <c r="C8" s="88"/>
      <c r="D8" s="88"/>
      <c r="E8" s="89"/>
      <c r="F8" s="89"/>
      <c r="G8" s="89"/>
      <c r="H8" s="89"/>
      <c r="I8" s="89"/>
      <c r="J8" s="89"/>
      <c r="K8" s="90"/>
      <c r="L8" s="89"/>
      <c r="M8" s="89"/>
      <c r="N8" s="90"/>
      <c r="O8" s="89"/>
    </row>
    <row r="9" customFormat="false" ht="12.75" hidden="false" customHeight="true" outlineLevel="0" collapsed="false">
      <c r="B9" s="76" t="s">
        <v>128</v>
      </c>
      <c r="C9" s="27" t="s">
        <v>127</v>
      </c>
      <c r="D9" s="76" t="s">
        <v>91</v>
      </c>
      <c r="E9" s="29" t="n">
        <v>2</v>
      </c>
      <c r="F9" s="29" t="n">
        <v>48800</v>
      </c>
      <c r="G9" s="78"/>
      <c r="H9" s="78"/>
      <c r="I9" s="29" t="n">
        <f aca="false">IFERROR(E9-G9,"")</f>
        <v>2</v>
      </c>
      <c r="J9" s="29" t="n">
        <f aca="false">IFERROR(F9-H9,"")</f>
        <v>48800</v>
      </c>
      <c r="K9" s="91"/>
      <c r="L9" s="91"/>
      <c r="M9" s="92" t="str">
        <f aca="false">IFERROR(L9/K9,"—")</f>
        <v>—</v>
      </c>
      <c r="N9" s="91"/>
      <c r="O9" s="78"/>
    </row>
    <row r="10" customFormat="false" ht="12.75" hidden="false" customHeight="true" outlineLevel="0" collapsed="false">
      <c r="B10" s="79" t="s">
        <v>129</v>
      </c>
      <c r="C10" s="22" t="s">
        <v>127</v>
      </c>
      <c r="D10" s="79" t="s">
        <v>91</v>
      </c>
      <c r="E10" s="24" t="n">
        <v>2</v>
      </c>
      <c r="F10" s="24" t="n">
        <v>48800</v>
      </c>
      <c r="G10" s="81"/>
      <c r="H10" s="81"/>
      <c r="I10" s="24" t="n">
        <f aca="false">IFERROR(E10-G10,"")</f>
        <v>2</v>
      </c>
      <c r="J10" s="24" t="n">
        <f aca="false">IFERROR(F10-H10,"")</f>
        <v>48800</v>
      </c>
      <c r="K10" s="91"/>
      <c r="L10" s="91"/>
      <c r="M10" s="93" t="str">
        <f aca="false">IFERROR(L10/K10,"—")</f>
        <v>—</v>
      </c>
      <c r="N10" s="91"/>
      <c r="O10" s="81"/>
    </row>
    <row r="11" customFormat="false" ht="12.75" hidden="false" customHeight="true" outlineLevel="0" collapsed="false">
      <c r="B11" s="76" t="s">
        <v>130</v>
      </c>
      <c r="C11" s="27" t="s">
        <v>127</v>
      </c>
      <c r="D11" s="76" t="s">
        <v>91</v>
      </c>
      <c r="E11" s="29" t="n">
        <v>2</v>
      </c>
      <c r="F11" s="29" t="n">
        <v>48800</v>
      </c>
      <c r="G11" s="78"/>
      <c r="H11" s="78"/>
      <c r="I11" s="29" t="n">
        <f aca="false">IFERROR(E11-G11,"")</f>
        <v>2</v>
      </c>
      <c r="J11" s="29" t="n">
        <f aca="false">IFERROR(F11-H11,"")</f>
        <v>48800</v>
      </c>
      <c r="K11" s="91"/>
      <c r="L11" s="91"/>
      <c r="M11" s="92" t="str">
        <f aca="false">IFERROR(L11/K11,"—")</f>
        <v>—</v>
      </c>
      <c r="N11" s="91"/>
      <c r="O11" s="78"/>
    </row>
    <row r="12" customFormat="false" ht="12.75" hidden="false" customHeight="true" outlineLevel="0" collapsed="false">
      <c r="B12" s="79" t="s">
        <v>111</v>
      </c>
      <c r="C12" s="22" t="s">
        <v>110</v>
      </c>
      <c r="D12" s="79" t="s">
        <v>112</v>
      </c>
      <c r="E12" s="24" t="n">
        <v>15</v>
      </c>
      <c r="F12" s="24" t="n">
        <v>42000</v>
      </c>
      <c r="G12" s="81"/>
      <c r="H12" s="81"/>
      <c r="I12" s="24" t="n">
        <f aca="false">IFERROR(E12-G12,"")</f>
        <v>15</v>
      </c>
      <c r="J12" s="24" t="n">
        <f aca="false">IFERROR(F12-H12,"")</f>
        <v>42000</v>
      </c>
      <c r="K12" s="91"/>
      <c r="L12" s="91"/>
      <c r="M12" s="93" t="str">
        <f aca="false">IFERROR(L12/K12,"—")</f>
        <v>—</v>
      </c>
      <c r="N12" s="91"/>
      <c r="O12" s="81"/>
    </row>
    <row r="13" customFormat="false" ht="12.75" hidden="false" customHeight="true" outlineLevel="0" collapsed="false">
      <c r="B13" s="76" t="s">
        <v>131</v>
      </c>
      <c r="C13" s="27" t="s">
        <v>127</v>
      </c>
      <c r="D13" s="76" t="s">
        <v>86</v>
      </c>
      <c r="E13" s="29" t="n">
        <v>1</v>
      </c>
      <c r="F13" s="29" t="n">
        <v>38000</v>
      </c>
      <c r="G13" s="78"/>
      <c r="H13" s="78"/>
      <c r="I13" s="29" t="n">
        <f aca="false">IFERROR(E13-G13,"")</f>
        <v>1</v>
      </c>
      <c r="J13" s="29" t="n">
        <f aca="false">IFERROR(F13-H13,"")</f>
        <v>38000</v>
      </c>
      <c r="K13" s="91"/>
      <c r="L13" s="91"/>
      <c r="M13" s="92" t="str">
        <f aca="false">IFERROR(L13/K13,"—")</f>
        <v>—</v>
      </c>
      <c r="N13" s="91"/>
      <c r="O13" s="78"/>
    </row>
    <row r="14" customFormat="false" ht="12.75" hidden="false" customHeight="true" outlineLevel="0" collapsed="false">
      <c r="B14" s="79" t="s">
        <v>88</v>
      </c>
      <c r="C14" s="22" t="s">
        <v>84</v>
      </c>
      <c r="D14" s="79" t="s">
        <v>89</v>
      </c>
      <c r="E14" s="24" t="n">
        <v>1</v>
      </c>
      <c r="F14" s="24" t="n">
        <v>33996</v>
      </c>
      <c r="G14" s="81"/>
      <c r="H14" s="81"/>
      <c r="I14" s="24" t="n">
        <f aca="false">IFERROR(E14-G14,"")</f>
        <v>1</v>
      </c>
      <c r="J14" s="24" t="n">
        <f aca="false">IFERROR(F14-H14,"")</f>
        <v>33996</v>
      </c>
      <c r="K14" s="91"/>
      <c r="L14" s="91"/>
      <c r="M14" s="93" t="str">
        <f aca="false">IFERROR(L14/K14,"—")</f>
        <v>—</v>
      </c>
      <c r="N14" s="91"/>
      <c r="O14" s="81"/>
    </row>
    <row r="15" customFormat="false" ht="12.75" hidden="false" customHeight="true" outlineLevel="0" collapsed="false">
      <c r="B15" s="76" t="s">
        <v>90</v>
      </c>
      <c r="C15" s="27" t="s">
        <v>84</v>
      </c>
      <c r="D15" s="76" t="s">
        <v>91</v>
      </c>
      <c r="E15" s="29" t="n">
        <v>1</v>
      </c>
      <c r="F15" s="29" t="n">
        <v>33916</v>
      </c>
      <c r="G15" s="78"/>
      <c r="H15" s="78"/>
      <c r="I15" s="29" t="n">
        <f aca="false">IFERROR(E15-G15,"")</f>
        <v>1</v>
      </c>
      <c r="J15" s="29" t="n">
        <f aca="false">IFERROR(F15-H15,"")</f>
        <v>33916</v>
      </c>
      <c r="K15" s="91"/>
      <c r="L15" s="91"/>
      <c r="M15" s="92" t="str">
        <f aca="false">IFERROR(L15/K15,"—")</f>
        <v>—</v>
      </c>
      <c r="N15" s="91"/>
      <c r="O15" s="78"/>
    </row>
    <row r="16" customFormat="false" ht="12.75" hidden="false" customHeight="true" outlineLevel="0" collapsed="false">
      <c r="B16" s="79" t="s">
        <v>132</v>
      </c>
      <c r="C16" s="22" t="s">
        <v>127</v>
      </c>
      <c r="D16" s="79" t="s">
        <v>133</v>
      </c>
      <c r="E16" s="24" t="n">
        <v>1</v>
      </c>
      <c r="F16" s="24" t="n">
        <v>32760</v>
      </c>
      <c r="G16" s="81"/>
      <c r="H16" s="81"/>
      <c r="I16" s="24" t="n">
        <f aca="false">IFERROR(E16-G16,"")</f>
        <v>1</v>
      </c>
      <c r="J16" s="24" t="n">
        <f aca="false">IFERROR(F16-H16,"")</f>
        <v>32760</v>
      </c>
      <c r="K16" s="91"/>
      <c r="L16" s="91"/>
      <c r="M16" s="93" t="str">
        <f aca="false">IFERROR(L16/K16,"—")</f>
        <v>—</v>
      </c>
      <c r="N16" s="91"/>
      <c r="O16" s="81"/>
    </row>
    <row r="17" customFormat="false" ht="12.75" hidden="false" customHeight="true" outlineLevel="0" collapsed="false">
      <c r="B17" s="76" t="s">
        <v>92</v>
      </c>
      <c r="C17" s="27" t="s">
        <v>84</v>
      </c>
      <c r="D17" s="76" t="s">
        <v>91</v>
      </c>
      <c r="E17" s="29" t="n">
        <v>1</v>
      </c>
      <c r="F17" s="29" t="n">
        <v>31500</v>
      </c>
      <c r="G17" s="78"/>
      <c r="H17" s="78"/>
      <c r="I17" s="29" t="n">
        <f aca="false">IFERROR(E17-G17,"")</f>
        <v>1</v>
      </c>
      <c r="J17" s="29" t="n">
        <f aca="false">IFERROR(F17-H17,"")</f>
        <v>31500</v>
      </c>
      <c r="K17" s="91"/>
      <c r="L17" s="91"/>
      <c r="M17" s="92" t="str">
        <f aca="false">IFERROR(L17/K17,"—")</f>
        <v>—</v>
      </c>
      <c r="N17" s="91"/>
      <c r="O17" s="78"/>
    </row>
    <row r="18" customFormat="false" ht="12.75" hidden="false" customHeight="true" outlineLevel="0" collapsed="false">
      <c r="B18" s="79" t="s">
        <v>93</v>
      </c>
      <c r="C18" s="22" t="s">
        <v>84</v>
      </c>
      <c r="D18" s="79" t="s">
        <v>91</v>
      </c>
      <c r="E18" s="24" t="n">
        <v>1</v>
      </c>
      <c r="F18" s="24" t="n">
        <v>31500</v>
      </c>
      <c r="G18" s="81"/>
      <c r="H18" s="81"/>
      <c r="I18" s="24" t="n">
        <f aca="false">IFERROR(E18-G18,"")</f>
        <v>1</v>
      </c>
      <c r="J18" s="24" t="n">
        <f aca="false">IFERROR(F18-H18,"")</f>
        <v>31500</v>
      </c>
      <c r="K18" s="91"/>
      <c r="L18" s="91"/>
      <c r="M18" s="93" t="str">
        <f aca="false">IFERROR(L18/K18,"—")</f>
        <v>—</v>
      </c>
      <c r="N18" s="91"/>
      <c r="O18" s="81"/>
    </row>
    <row r="19" customFormat="false" ht="12.75" hidden="false" customHeight="true" outlineLevel="0" collapsed="false">
      <c r="B19" s="76" t="s">
        <v>113</v>
      </c>
      <c r="C19" s="27" t="s">
        <v>110</v>
      </c>
      <c r="D19" s="76" t="s">
        <v>112</v>
      </c>
      <c r="E19" s="29" t="n">
        <v>11</v>
      </c>
      <c r="F19" s="29" t="n">
        <v>30800</v>
      </c>
      <c r="G19" s="78"/>
      <c r="H19" s="78"/>
      <c r="I19" s="29" t="n">
        <f aca="false">IFERROR(E19-G19,"")</f>
        <v>11</v>
      </c>
      <c r="J19" s="29" t="n">
        <f aca="false">IFERROR(F19-H19,"")</f>
        <v>30800</v>
      </c>
      <c r="K19" s="91"/>
      <c r="L19" s="91"/>
      <c r="M19" s="92" t="str">
        <f aca="false">IFERROR(L19/K19,"—")</f>
        <v>—</v>
      </c>
      <c r="N19" s="91"/>
      <c r="O19" s="78"/>
    </row>
    <row r="20" customFormat="false" ht="12.75" hidden="false" customHeight="true" outlineLevel="0" collapsed="false">
      <c r="B20" s="79" t="s">
        <v>136</v>
      </c>
      <c r="C20" s="22" t="s">
        <v>127</v>
      </c>
      <c r="D20" s="79" t="s">
        <v>137</v>
      </c>
      <c r="E20" s="24" t="n">
        <v>2</v>
      </c>
      <c r="F20" s="24" t="n">
        <v>30000</v>
      </c>
      <c r="G20" s="81"/>
      <c r="H20" s="81"/>
      <c r="I20" s="24" t="n">
        <f aca="false">IFERROR(E20-G20,"")</f>
        <v>2</v>
      </c>
      <c r="J20" s="24" t="n">
        <f aca="false">IFERROR(F20-H20,"")</f>
        <v>30000</v>
      </c>
      <c r="K20" s="91"/>
      <c r="L20" s="91"/>
      <c r="M20" s="93" t="str">
        <f aca="false">IFERROR(L20/K20,"—")</f>
        <v>—</v>
      </c>
      <c r="N20" s="91"/>
      <c r="O20" s="81"/>
    </row>
    <row r="21" customFormat="false" ht="12.75" hidden="false" customHeight="true" outlineLevel="0" collapsed="false">
      <c r="B21" s="76" t="s">
        <v>138</v>
      </c>
      <c r="C21" s="27" t="s">
        <v>127</v>
      </c>
      <c r="D21" s="76" t="s">
        <v>133</v>
      </c>
      <c r="E21" s="29" t="n">
        <v>1</v>
      </c>
      <c r="F21" s="29" t="n">
        <v>25220</v>
      </c>
      <c r="G21" s="78"/>
      <c r="H21" s="78"/>
      <c r="I21" s="29" t="n">
        <f aca="false">IFERROR(E21-G21,"")</f>
        <v>1</v>
      </c>
      <c r="J21" s="29" t="n">
        <f aca="false">IFERROR(F21-H21,"")</f>
        <v>25220</v>
      </c>
      <c r="K21" s="91"/>
      <c r="L21" s="91"/>
      <c r="M21" s="92" t="str">
        <f aca="false">IFERROR(L21/K21,"—")</f>
        <v>—</v>
      </c>
      <c r="N21" s="91"/>
      <c r="O21" s="78"/>
    </row>
    <row r="22" customFormat="false" ht="12.75" hidden="false" customHeight="true" outlineLevel="0" collapsed="false">
      <c r="B22" s="79" t="s">
        <v>114</v>
      </c>
      <c r="C22" s="22" t="s">
        <v>110</v>
      </c>
      <c r="D22" s="79" t="s">
        <v>112</v>
      </c>
      <c r="E22" s="24" t="n">
        <v>9</v>
      </c>
      <c r="F22" s="24" t="n">
        <v>25200</v>
      </c>
      <c r="G22" s="81"/>
      <c r="H22" s="81"/>
      <c r="I22" s="24" t="n">
        <f aca="false">IFERROR(E22-G22,"")</f>
        <v>9</v>
      </c>
      <c r="J22" s="24" t="n">
        <f aca="false">IFERROR(F22-H22,"")</f>
        <v>25200</v>
      </c>
      <c r="K22" s="91"/>
      <c r="L22" s="91"/>
      <c r="M22" s="93" t="str">
        <f aca="false">IFERROR(L22/K22,"—")</f>
        <v>—</v>
      </c>
      <c r="N22" s="91"/>
      <c r="O22" s="81"/>
    </row>
    <row r="23" customFormat="false" ht="12.75" hidden="false" customHeight="true" outlineLevel="0" collapsed="false">
      <c r="B23" s="76" t="s">
        <v>94</v>
      </c>
      <c r="C23" s="27" t="s">
        <v>84</v>
      </c>
      <c r="D23" s="76" t="s">
        <v>91</v>
      </c>
      <c r="E23" s="29" t="n">
        <v>1</v>
      </c>
      <c r="F23" s="29" t="n">
        <v>24400</v>
      </c>
      <c r="G23" s="78"/>
      <c r="H23" s="78"/>
      <c r="I23" s="29" t="n">
        <f aca="false">IFERROR(E23-G23,"")</f>
        <v>1</v>
      </c>
      <c r="J23" s="29" t="n">
        <f aca="false">IFERROR(F23-H23,"")</f>
        <v>24400</v>
      </c>
      <c r="K23" s="91"/>
      <c r="L23" s="91"/>
      <c r="M23" s="92" t="str">
        <f aca="false">IFERROR(L23/K23,"—")</f>
        <v>—</v>
      </c>
      <c r="N23" s="91"/>
      <c r="O23" s="78"/>
    </row>
    <row r="24" customFormat="false" ht="12.75" hidden="false" customHeight="true" outlineLevel="0" collapsed="false">
      <c r="B24" s="79" t="s">
        <v>95</v>
      </c>
      <c r="C24" s="22" t="s">
        <v>84</v>
      </c>
      <c r="D24" s="79" t="s">
        <v>91</v>
      </c>
      <c r="E24" s="24" t="n">
        <v>1</v>
      </c>
      <c r="F24" s="24" t="n">
        <v>24400</v>
      </c>
      <c r="G24" s="81"/>
      <c r="H24" s="81"/>
      <c r="I24" s="24" t="n">
        <f aca="false">IFERROR(E24-G24,"")</f>
        <v>1</v>
      </c>
      <c r="J24" s="24" t="n">
        <f aca="false">IFERROR(F24-H24,"")</f>
        <v>24400</v>
      </c>
      <c r="K24" s="91"/>
      <c r="L24" s="91"/>
      <c r="M24" s="93" t="str">
        <f aca="false">IFERROR(L24/K24,"—")</f>
        <v>—</v>
      </c>
      <c r="N24" s="91"/>
      <c r="O24" s="81"/>
    </row>
    <row r="25" customFormat="false" ht="12.75" hidden="false" customHeight="true" outlineLevel="0" collapsed="false">
      <c r="B25" s="76" t="s">
        <v>96</v>
      </c>
      <c r="C25" s="27" t="s">
        <v>84</v>
      </c>
      <c r="D25" s="76" t="s">
        <v>91</v>
      </c>
      <c r="E25" s="29" t="n">
        <v>1</v>
      </c>
      <c r="F25" s="29" t="n">
        <v>24400</v>
      </c>
      <c r="G25" s="78"/>
      <c r="H25" s="78"/>
      <c r="I25" s="29" t="n">
        <f aca="false">IFERROR(E25-G25,"")</f>
        <v>1</v>
      </c>
      <c r="J25" s="29" t="n">
        <f aca="false">IFERROR(F25-H25,"")</f>
        <v>24400</v>
      </c>
      <c r="K25" s="91"/>
      <c r="L25" s="91"/>
      <c r="M25" s="92" t="str">
        <f aca="false">IFERROR(L25/K25,"—")</f>
        <v>—</v>
      </c>
      <c r="N25" s="91"/>
      <c r="O25" s="78"/>
    </row>
    <row r="26" customFormat="false" ht="12.75" hidden="false" customHeight="true" outlineLevel="0" collapsed="false">
      <c r="B26" s="79" t="s">
        <v>139</v>
      </c>
      <c r="C26" s="22" t="s">
        <v>127</v>
      </c>
      <c r="D26" s="79" t="s">
        <v>91</v>
      </c>
      <c r="E26" s="24" t="n">
        <v>1</v>
      </c>
      <c r="F26" s="24" t="n">
        <v>24400</v>
      </c>
      <c r="G26" s="81"/>
      <c r="H26" s="81"/>
      <c r="I26" s="24" t="n">
        <f aca="false">IFERROR(E26-G26,"")</f>
        <v>1</v>
      </c>
      <c r="J26" s="24" t="n">
        <f aca="false">IFERROR(F26-H26,"")</f>
        <v>24400</v>
      </c>
      <c r="K26" s="91"/>
      <c r="L26" s="91"/>
      <c r="M26" s="93" t="str">
        <f aca="false">IFERROR(L26/K26,"—")</f>
        <v>—</v>
      </c>
      <c r="N26" s="91"/>
      <c r="O26" s="81"/>
    </row>
    <row r="27" customFormat="false" ht="12.75" hidden="false" customHeight="true" outlineLevel="0" collapsed="false">
      <c r="B27" s="76" t="s">
        <v>140</v>
      </c>
      <c r="C27" s="27" t="s">
        <v>127</v>
      </c>
      <c r="D27" s="76" t="s">
        <v>91</v>
      </c>
      <c r="E27" s="29" t="n">
        <v>1</v>
      </c>
      <c r="F27" s="29" t="n">
        <v>24400</v>
      </c>
      <c r="G27" s="78"/>
      <c r="H27" s="78"/>
      <c r="I27" s="29" t="n">
        <f aca="false">IFERROR(E27-G27,"")</f>
        <v>1</v>
      </c>
      <c r="J27" s="29" t="n">
        <f aca="false">IFERROR(F27-H27,"")</f>
        <v>24400</v>
      </c>
      <c r="K27" s="91"/>
      <c r="L27" s="91"/>
      <c r="M27" s="92" t="str">
        <f aca="false">IFERROR(L27/K27,"—")</f>
        <v>—</v>
      </c>
      <c r="N27" s="91"/>
      <c r="O27" s="78"/>
    </row>
    <row r="28" customFormat="false" ht="12.75" hidden="false" customHeight="true" outlineLevel="0" collapsed="false">
      <c r="B28" s="79" t="s">
        <v>141</v>
      </c>
      <c r="C28" s="22" t="s">
        <v>127</v>
      </c>
      <c r="D28" s="79" t="s">
        <v>91</v>
      </c>
      <c r="E28" s="24" t="n">
        <v>1</v>
      </c>
      <c r="F28" s="24" t="n">
        <v>24400</v>
      </c>
      <c r="G28" s="81"/>
      <c r="H28" s="81"/>
      <c r="I28" s="24" t="n">
        <f aca="false">IFERROR(E28-G28,"")</f>
        <v>1</v>
      </c>
      <c r="J28" s="24" t="n">
        <f aca="false">IFERROR(F28-H28,"")</f>
        <v>24400</v>
      </c>
      <c r="K28" s="91"/>
      <c r="L28" s="91"/>
      <c r="M28" s="93" t="str">
        <f aca="false">IFERROR(L28/K28,"—")</f>
        <v>—</v>
      </c>
      <c r="N28" s="91"/>
      <c r="O28" s="81"/>
    </row>
    <row r="29" customFormat="false" ht="12.75" hidden="false" customHeight="true" outlineLevel="0" collapsed="false">
      <c r="B29" s="76" t="s">
        <v>142</v>
      </c>
      <c r="C29" s="27" t="s">
        <v>127</v>
      </c>
      <c r="D29" s="76" t="s">
        <v>91</v>
      </c>
      <c r="E29" s="29" t="n">
        <v>1</v>
      </c>
      <c r="F29" s="29" t="n">
        <v>24400</v>
      </c>
      <c r="G29" s="78"/>
      <c r="H29" s="78"/>
      <c r="I29" s="29" t="n">
        <f aca="false">IFERROR(E29-G29,"")</f>
        <v>1</v>
      </c>
      <c r="J29" s="29" t="n">
        <f aca="false">IFERROR(F29-H29,"")</f>
        <v>24400</v>
      </c>
      <c r="K29" s="91"/>
      <c r="L29" s="91"/>
      <c r="M29" s="92" t="str">
        <f aca="false">IFERROR(L29/K29,"—")</f>
        <v>—</v>
      </c>
      <c r="N29" s="91"/>
      <c r="O29" s="78"/>
    </row>
    <row r="30" customFormat="false" ht="12.75" hidden="false" customHeight="true" outlineLevel="0" collapsed="false">
      <c r="B30" s="79" t="s">
        <v>143</v>
      </c>
      <c r="C30" s="22" t="s">
        <v>127</v>
      </c>
      <c r="D30" s="79" t="s">
        <v>91</v>
      </c>
      <c r="E30" s="24" t="n">
        <v>1</v>
      </c>
      <c r="F30" s="24" t="n">
        <v>24400</v>
      </c>
      <c r="G30" s="81"/>
      <c r="H30" s="81"/>
      <c r="I30" s="24" t="n">
        <f aca="false">IFERROR(E30-G30,"")</f>
        <v>1</v>
      </c>
      <c r="J30" s="24" t="n">
        <f aca="false">IFERROR(F30-H30,"")</f>
        <v>24400</v>
      </c>
      <c r="K30" s="91"/>
      <c r="L30" s="91"/>
      <c r="M30" s="93" t="str">
        <f aca="false">IFERROR(L30/K30,"—")</f>
        <v>—</v>
      </c>
      <c r="N30" s="91"/>
      <c r="O30" s="81"/>
    </row>
    <row r="31" customFormat="false" ht="12.75" hidden="false" customHeight="true" outlineLevel="0" collapsed="false">
      <c r="B31" s="76" t="s">
        <v>144</v>
      </c>
      <c r="C31" s="27" t="s">
        <v>127</v>
      </c>
      <c r="D31" s="76" t="s">
        <v>91</v>
      </c>
      <c r="E31" s="29" t="n">
        <v>1</v>
      </c>
      <c r="F31" s="29" t="n">
        <v>24400</v>
      </c>
      <c r="G31" s="78"/>
      <c r="H31" s="78"/>
      <c r="I31" s="29" t="n">
        <f aca="false">IFERROR(E31-G31,"")</f>
        <v>1</v>
      </c>
      <c r="J31" s="29" t="n">
        <f aca="false">IFERROR(F31-H31,"")</f>
        <v>24400</v>
      </c>
      <c r="K31" s="91"/>
      <c r="L31" s="91"/>
      <c r="M31" s="92" t="str">
        <f aca="false">IFERROR(L31/K31,"—")</f>
        <v>—</v>
      </c>
      <c r="N31" s="91"/>
      <c r="O31" s="78"/>
    </row>
    <row r="32" customFormat="false" ht="12.75" hidden="false" customHeight="true" outlineLevel="0" collapsed="false">
      <c r="B32" s="79" t="s">
        <v>145</v>
      </c>
      <c r="C32" s="22" t="s">
        <v>127</v>
      </c>
      <c r="D32" s="79" t="s">
        <v>91</v>
      </c>
      <c r="E32" s="24" t="n">
        <v>1</v>
      </c>
      <c r="F32" s="24" t="n">
        <v>24400</v>
      </c>
      <c r="G32" s="81"/>
      <c r="H32" s="81"/>
      <c r="I32" s="24" t="n">
        <f aca="false">IFERROR(E32-G32,"")</f>
        <v>1</v>
      </c>
      <c r="J32" s="24" t="n">
        <f aca="false">IFERROR(F32-H32,"")</f>
        <v>24400</v>
      </c>
      <c r="K32" s="91"/>
      <c r="L32" s="91"/>
      <c r="M32" s="93" t="str">
        <f aca="false">IFERROR(L32/K32,"—")</f>
        <v>—</v>
      </c>
      <c r="N32" s="91"/>
      <c r="O32" s="81"/>
    </row>
    <row r="33" customFormat="false" ht="12.75" hidden="false" customHeight="true" outlineLevel="0" collapsed="false">
      <c r="B33" s="76" t="s">
        <v>115</v>
      </c>
      <c r="C33" s="27" t="s">
        <v>110</v>
      </c>
      <c r="D33" s="76" t="s">
        <v>116</v>
      </c>
      <c r="E33" s="29" t="n">
        <v>3</v>
      </c>
      <c r="F33" s="29" t="n">
        <v>22560</v>
      </c>
      <c r="G33" s="78"/>
      <c r="H33" s="78"/>
      <c r="I33" s="29" t="n">
        <f aca="false">IFERROR(E33-G33,"")</f>
        <v>3</v>
      </c>
      <c r="J33" s="29" t="n">
        <f aca="false">IFERROR(F33-H33,"")</f>
        <v>22560</v>
      </c>
      <c r="K33" s="91"/>
      <c r="L33" s="91"/>
      <c r="M33" s="92" t="str">
        <f aca="false">IFERROR(L33/K33,"—")</f>
        <v>—</v>
      </c>
      <c r="N33" s="91"/>
      <c r="O33" s="78"/>
    </row>
    <row r="34" customFormat="false" ht="12.75" hidden="false" customHeight="true" outlineLevel="0" collapsed="false">
      <c r="B34" s="79" t="s">
        <v>97</v>
      </c>
      <c r="C34" s="22" t="s">
        <v>84</v>
      </c>
      <c r="D34" s="79" t="s">
        <v>98</v>
      </c>
      <c r="E34" s="24" t="n">
        <v>1</v>
      </c>
      <c r="F34" s="24" t="n">
        <v>22500</v>
      </c>
      <c r="G34" s="81"/>
      <c r="H34" s="81"/>
      <c r="I34" s="24" t="n">
        <f aca="false">IFERROR(E34-G34,"")</f>
        <v>1</v>
      </c>
      <c r="J34" s="24" t="n">
        <f aca="false">IFERROR(F34-H34,"")</f>
        <v>22500</v>
      </c>
      <c r="K34" s="91"/>
      <c r="L34" s="91"/>
      <c r="M34" s="93" t="str">
        <f aca="false">IFERROR(L34/K34,"—")</f>
        <v>—</v>
      </c>
      <c r="N34" s="91"/>
      <c r="O34" s="81"/>
    </row>
    <row r="35" customFormat="false" ht="12.75" hidden="false" customHeight="true" outlineLevel="0" collapsed="false">
      <c r="B35" s="76" t="s">
        <v>117</v>
      </c>
      <c r="C35" s="27" t="s">
        <v>110</v>
      </c>
      <c r="D35" s="76" t="s">
        <v>112</v>
      </c>
      <c r="E35" s="29" t="n">
        <v>8</v>
      </c>
      <c r="F35" s="29" t="n">
        <v>22400</v>
      </c>
      <c r="G35" s="78"/>
      <c r="H35" s="78"/>
      <c r="I35" s="29" t="n">
        <f aca="false">IFERROR(E35-G35,"")</f>
        <v>8</v>
      </c>
      <c r="J35" s="29" t="n">
        <f aca="false">IFERROR(F35-H35,"")</f>
        <v>22400</v>
      </c>
      <c r="K35" s="91"/>
      <c r="L35" s="91"/>
      <c r="M35" s="92" t="str">
        <f aca="false">IFERROR(L35/K35,"—")</f>
        <v>—</v>
      </c>
      <c r="N35" s="91"/>
      <c r="O35" s="78"/>
    </row>
    <row r="36" customFormat="false" ht="12.75" hidden="false" customHeight="true" outlineLevel="0" collapsed="false">
      <c r="B36" s="79" t="s">
        <v>146</v>
      </c>
      <c r="C36" s="22" t="s">
        <v>127</v>
      </c>
      <c r="D36" s="79" t="s">
        <v>133</v>
      </c>
      <c r="E36" s="24" t="n">
        <v>1</v>
      </c>
      <c r="F36" s="24" t="n">
        <v>22260</v>
      </c>
      <c r="G36" s="81"/>
      <c r="H36" s="81"/>
      <c r="I36" s="24" t="n">
        <f aca="false">IFERROR(E36-G36,"")</f>
        <v>1</v>
      </c>
      <c r="J36" s="24" t="n">
        <f aca="false">IFERROR(F36-H36,"")</f>
        <v>22260</v>
      </c>
      <c r="K36" s="91"/>
      <c r="L36" s="91"/>
      <c r="M36" s="93" t="str">
        <f aca="false">IFERROR(L36/K36,"—")</f>
        <v>—</v>
      </c>
      <c r="N36" s="91"/>
      <c r="O36" s="81"/>
    </row>
    <row r="37" customFormat="false" ht="12.75" hidden="false" customHeight="true" outlineLevel="0" collapsed="false">
      <c r="B37" s="76" t="s">
        <v>147</v>
      </c>
      <c r="C37" s="27" t="s">
        <v>127</v>
      </c>
      <c r="D37" s="76" t="s">
        <v>91</v>
      </c>
      <c r="E37" s="29" t="n">
        <v>1</v>
      </c>
      <c r="F37" s="29" t="n">
        <v>21720</v>
      </c>
      <c r="G37" s="78"/>
      <c r="H37" s="78"/>
      <c r="I37" s="29" t="n">
        <f aca="false">IFERROR(E37-G37,"")</f>
        <v>1</v>
      </c>
      <c r="J37" s="29" t="n">
        <f aca="false">IFERROR(F37-H37,"")</f>
        <v>21720</v>
      </c>
      <c r="K37" s="91"/>
      <c r="L37" s="91"/>
      <c r="M37" s="92" t="str">
        <f aca="false">IFERROR(L37/K37,"—")</f>
        <v>—</v>
      </c>
      <c r="N37" s="91"/>
      <c r="O37" s="78"/>
    </row>
    <row r="38" customFormat="false" ht="12.75" hidden="false" customHeight="true" outlineLevel="0" collapsed="false">
      <c r="B38" s="79" t="s">
        <v>99</v>
      </c>
      <c r="C38" s="22" t="s">
        <v>84</v>
      </c>
      <c r="D38" s="79" t="s">
        <v>91</v>
      </c>
      <c r="E38" s="24" t="n">
        <v>1</v>
      </c>
      <c r="F38" s="24" t="n">
        <v>20000</v>
      </c>
      <c r="G38" s="81"/>
      <c r="H38" s="81"/>
      <c r="I38" s="24" t="n">
        <f aca="false">IFERROR(E38-G38,"")</f>
        <v>1</v>
      </c>
      <c r="J38" s="24" t="n">
        <f aca="false">IFERROR(F38-H38,"")</f>
        <v>20000</v>
      </c>
      <c r="K38" s="91"/>
      <c r="L38" s="91"/>
      <c r="M38" s="93" t="str">
        <f aca="false">IFERROR(L38/K38,"—")</f>
        <v>—</v>
      </c>
      <c r="N38" s="91"/>
      <c r="O38" s="81"/>
    </row>
    <row r="39" customFormat="false" ht="12.75" hidden="false" customHeight="true" outlineLevel="0" collapsed="false">
      <c r="B39" s="76" t="s">
        <v>100</v>
      </c>
      <c r="C39" s="27" t="s">
        <v>84</v>
      </c>
      <c r="D39" s="76" t="s">
        <v>91</v>
      </c>
      <c r="E39" s="29" t="n">
        <v>1</v>
      </c>
      <c r="F39" s="29" t="n">
        <v>20000</v>
      </c>
      <c r="G39" s="78"/>
      <c r="H39" s="78"/>
      <c r="I39" s="29" t="n">
        <f aca="false">IFERROR(E39-G39,"")</f>
        <v>1</v>
      </c>
      <c r="J39" s="29" t="n">
        <f aca="false">IFERROR(F39-H39,"")</f>
        <v>20000</v>
      </c>
      <c r="K39" s="91"/>
      <c r="L39" s="91"/>
      <c r="M39" s="92" t="str">
        <f aca="false">IFERROR(L39/K39,"—")</f>
        <v>—</v>
      </c>
      <c r="N39" s="91"/>
      <c r="O39" s="78"/>
    </row>
    <row r="40" customFormat="false" ht="12.75" hidden="false" customHeight="true" outlineLevel="0" collapsed="false">
      <c r="B40" s="79" t="s">
        <v>118</v>
      </c>
      <c r="C40" s="22" t="s">
        <v>110</v>
      </c>
      <c r="D40" s="79" t="s">
        <v>112</v>
      </c>
      <c r="E40" s="24" t="n">
        <v>7</v>
      </c>
      <c r="F40" s="24" t="n">
        <v>19600</v>
      </c>
      <c r="G40" s="81"/>
      <c r="H40" s="81"/>
      <c r="I40" s="24" t="n">
        <f aca="false">IFERROR(E40-G40,"")</f>
        <v>7</v>
      </c>
      <c r="J40" s="24" t="n">
        <f aca="false">IFERROR(F40-H40,"")</f>
        <v>19600</v>
      </c>
      <c r="K40" s="91"/>
      <c r="L40" s="91"/>
      <c r="M40" s="93" t="str">
        <f aca="false">IFERROR(L40/K40,"—")</f>
        <v>—</v>
      </c>
      <c r="N40" s="91"/>
      <c r="O40" s="81"/>
    </row>
    <row r="41" customFormat="false" ht="12.75" hidden="false" customHeight="true" outlineLevel="0" collapsed="false">
      <c r="B41" s="76" t="s">
        <v>58</v>
      </c>
      <c r="C41" s="27" t="s">
        <v>57</v>
      </c>
      <c r="D41" s="76" t="s">
        <v>59</v>
      </c>
      <c r="E41" s="29" t="n">
        <v>1</v>
      </c>
      <c r="F41" s="29" t="n">
        <v>12500</v>
      </c>
      <c r="G41" s="78"/>
      <c r="H41" s="78"/>
      <c r="I41" s="29" t="n">
        <f aca="false">IFERROR(E41-G41,"")</f>
        <v>1</v>
      </c>
      <c r="J41" s="29" t="n">
        <f aca="false">IFERROR(F41-H41,"")</f>
        <v>12500</v>
      </c>
      <c r="K41" s="91"/>
      <c r="L41" s="91"/>
      <c r="M41" s="92" t="str">
        <f aca="false">IFERROR(L41/K41,"—")</f>
        <v>—</v>
      </c>
      <c r="N41" s="91"/>
      <c r="O41" s="78"/>
    </row>
    <row r="42" customFormat="false" ht="12.75" hidden="false" customHeight="true" outlineLevel="0" collapsed="false">
      <c r="B42" s="79" t="s">
        <v>119</v>
      </c>
      <c r="C42" s="22" t="s">
        <v>110</v>
      </c>
      <c r="D42" s="79" t="s">
        <v>116</v>
      </c>
      <c r="E42" s="24" t="n">
        <v>1</v>
      </c>
      <c r="F42" s="24" t="n">
        <v>7520</v>
      </c>
      <c r="G42" s="81"/>
      <c r="H42" s="81"/>
      <c r="I42" s="24" t="n">
        <f aca="false">IFERROR(E42-G42,"")</f>
        <v>1</v>
      </c>
      <c r="J42" s="24" t="n">
        <f aca="false">IFERROR(F42-H42,"")</f>
        <v>7520</v>
      </c>
      <c r="K42" s="91"/>
      <c r="L42" s="91"/>
      <c r="M42" s="93" t="str">
        <f aca="false">IFERROR(L42/K42,"—")</f>
        <v>—</v>
      </c>
      <c r="N42" s="91"/>
      <c r="O42" s="81"/>
    </row>
    <row r="43" customFormat="false" ht="12.75" hidden="false" customHeight="true" outlineLevel="0" collapsed="false">
      <c r="B43" s="76" t="s">
        <v>67</v>
      </c>
      <c r="C43" s="27" t="s">
        <v>66</v>
      </c>
      <c r="D43" s="76" t="s">
        <v>68</v>
      </c>
      <c r="E43" s="29" t="n">
        <v>2</v>
      </c>
      <c r="F43" s="29" t="n">
        <v>6600</v>
      </c>
      <c r="G43" s="78"/>
      <c r="H43" s="78"/>
      <c r="I43" s="29" t="n">
        <f aca="false">IFERROR(E43-G43,"")</f>
        <v>2</v>
      </c>
      <c r="J43" s="29" t="n">
        <f aca="false">IFERROR(F43-H43,"")</f>
        <v>6600</v>
      </c>
      <c r="K43" s="91"/>
      <c r="L43" s="91"/>
      <c r="M43" s="92" t="str">
        <f aca="false">IFERROR(L43/K43,"—")</f>
        <v>—</v>
      </c>
      <c r="N43" s="91"/>
      <c r="O43" s="78"/>
    </row>
    <row r="44" customFormat="false" ht="12.75" hidden="false" customHeight="true" outlineLevel="0" collapsed="false">
      <c r="B44" s="79" t="s">
        <v>69</v>
      </c>
      <c r="C44" s="22" t="s">
        <v>66</v>
      </c>
      <c r="D44" s="79" t="s">
        <v>68</v>
      </c>
      <c r="E44" s="24" t="n">
        <v>2</v>
      </c>
      <c r="F44" s="24" t="n">
        <v>4000</v>
      </c>
      <c r="G44" s="81"/>
      <c r="H44" s="81"/>
      <c r="I44" s="24" t="n">
        <f aca="false">IFERROR(E44-G44,"")</f>
        <v>2</v>
      </c>
      <c r="J44" s="24" t="n">
        <f aca="false">IFERROR(F44-H44,"")</f>
        <v>4000</v>
      </c>
      <c r="K44" s="91"/>
      <c r="L44" s="91"/>
      <c r="M44" s="93" t="str">
        <f aca="false">IFERROR(L44/K44,"—")</f>
        <v>—</v>
      </c>
      <c r="N44" s="91"/>
      <c r="O44" s="81"/>
    </row>
    <row r="45" customFormat="false" ht="12.75" hidden="false" customHeight="true" outlineLevel="0" collapsed="false">
      <c r="B45" s="76" t="s">
        <v>120</v>
      </c>
      <c r="C45" s="27" t="s">
        <v>110</v>
      </c>
      <c r="D45" s="76" t="s">
        <v>112</v>
      </c>
      <c r="E45" s="29" t="n">
        <v>1</v>
      </c>
      <c r="F45" s="29" t="n">
        <v>2800</v>
      </c>
      <c r="G45" s="78"/>
      <c r="H45" s="78"/>
      <c r="I45" s="29" t="n">
        <f aca="false">IFERROR(E45-G45,"")</f>
        <v>1</v>
      </c>
      <c r="J45" s="29" t="n">
        <f aca="false">IFERROR(F45-H45,"")</f>
        <v>2800</v>
      </c>
      <c r="K45" s="91"/>
      <c r="L45" s="91"/>
      <c r="M45" s="92" t="str">
        <f aca="false">IFERROR(L45/K45,"—")</f>
        <v>—</v>
      </c>
      <c r="N45" s="91"/>
      <c r="O45" s="78"/>
    </row>
    <row r="46" customFormat="false" ht="12.75" hidden="false" customHeight="true" outlineLevel="0" collapsed="false">
      <c r="B46" s="79" t="s">
        <v>121</v>
      </c>
      <c r="C46" s="22" t="s">
        <v>110</v>
      </c>
      <c r="D46" s="79" t="s">
        <v>112</v>
      </c>
      <c r="E46" s="24" t="n">
        <v>1</v>
      </c>
      <c r="F46" s="24" t="n">
        <v>2800</v>
      </c>
      <c r="G46" s="81"/>
      <c r="H46" s="81"/>
      <c r="I46" s="24" t="n">
        <f aca="false">IFERROR(E46-G46,"")</f>
        <v>1</v>
      </c>
      <c r="J46" s="24" t="n">
        <f aca="false">IFERROR(F46-H46,"")</f>
        <v>2800</v>
      </c>
      <c r="K46" s="91"/>
      <c r="L46" s="91"/>
      <c r="M46" s="93" t="str">
        <f aca="false">IFERROR(L46/K46,"—")</f>
        <v>—</v>
      </c>
      <c r="N46" s="91"/>
      <c r="O46" s="81"/>
    </row>
    <row r="47" customFormat="false" ht="12.75" hidden="false" customHeight="true" outlineLevel="0" collapsed="false">
      <c r="B47" s="76" t="s">
        <v>122</v>
      </c>
      <c r="C47" s="27" t="s">
        <v>110</v>
      </c>
      <c r="D47" s="76" t="s">
        <v>123</v>
      </c>
      <c r="E47" s="29" t="n">
        <v>1</v>
      </c>
      <c r="F47" s="29" t="n">
        <v>600</v>
      </c>
      <c r="G47" s="78"/>
      <c r="H47" s="78"/>
      <c r="I47" s="29" t="n">
        <f aca="false">IFERROR(E47-G47,"")</f>
        <v>1</v>
      </c>
      <c r="J47" s="29" t="n">
        <f aca="false">IFERROR(F47-H47,"")</f>
        <v>600</v>
      </c>
      <c r="K47" s="91"/>
      <c r="L47" s="91"/>
      <c r="M47" s="92" t="str">
        <f aca="false">IFERROR(L47/K47,"—")</f>
        <v>—</v>
      </c>
      <c r="N47" s="91"/>
      <c r="O47" s="78"/>
    </row>
    <row r="48" customFormat="false" ht="12.75" hidden="false" customHeight="true" outlineLevel="0" collapsed="false">
      <c r="B48" s="79" t="s">
        <v>124</v>
      </c>
      <c r="C48" s="22" t="s">
        <v>110</v>
      </c>
      <c r="D48" s="79" t="s">
        <v>125</v>
      </c>
      <c r="E48" s="24" t="n">
        <v>1</v>
      </c>
      <c r="F48" s="24" t="n">
        <v>600</v>
      </c>
      <c r="G48" s="81"/>
      <c r="H48" s="81"/>
      <c r="I48" s="24" t="n">
        <f aca="false">IFERROR(E48-G48,"")</f>
        <v>1</v>
      </c>
      <c r="J48" s="24" t="n">
        <f aca="false">IFERROR(F48-H48,"")</f>
        <v>600</v>
      </c>
      <c r="K48" s="91"/>
      <c r="L48" s="91"/>
      <c r="M48" s="93" t="str">
        <f aca="false">IFERROR(L48/K48,"—")</f>
        <v>—</v>
      </c>
      <c r="N48" s="91"/>
      <c r="O48" s="81"/>
    </row>
    <row r="49" customFormat="false" ht="6" hidden="false" customHeight="true" outlineLevel="0" collapsed="false"/>
    <row r="50" customFormat="false" ht="15.75" hidden="false" customHeight="true" outlineLevel="0" collapsed="false">
      <c r="B50" s="88" t="s">
        <v>634</v>
      </c>
      <c r="C50" s="88"/>
      <c r="D50" s="88"/>
      <c r="E50" s="89"/>
      <c r="F50" s="89"/>
      <c r="G50" s="89"/>
      <c r="H50" s="89"/>
      <c r="I50" s="89"/>
      <c r="J50" s="89"/>
      <c r="K50" s="90"/>
      <c r="L50" s="89"/>
      <c r="M50" s="89"/>
      <c r="N50" s="90"/>
      <c r="O50" s="89"/>
    </row>
    <row r="51" customFormat="false" ht="12.75" hidden="false" customHeight="true" outlineLevel="0" collapsed="false">
      <c r="B51" s="76" t="s">
        <v>155</v>
      </c>
      <c r="C51" s="27" t="s">
        <v>154</v>
      </c>
      <c r="D51" s="76" t="s">
        <v>156</v>
      </c>
      <c r="E51" s="29" t="n">
        <v>17</v>
      </c>
      <c r="F51" s="29" t="n">
        <v>243015</v>
      </c>
      <c r="G51" s="78"/>
      <c r="H51" s="78"/>
      <c r="I51" s="29" t="n">
        <f aca="false">IFERROR(E51-G51,"")</f>
        <v>17</v>
      </c>
      <c r="J51" s="29" t="n">
        <f aca="false">IFERROR(F51-H51,"")</f>
        <v>243015</v>
      </c>
      <c r="K51" s="91"/>
      <c r="L51" s="91"/>
      <c r="M51" s="92" t="str">
        <f aca="false">IFERROR(L51/K51,"—")</f>
        <v>—</v>
      </c>
      <c r="N51" s="91"/>
      <c r="O51" s="78"/>
    </row>
    <row r="52" customFormat="false" ht="12.75" hidden="false" customHeight="true" outlineLevel="0" collapsed="false">
      <c r="B52" s="79" t="s">
        <v>85</v>
      </c>
      <c r="C52" s="22" t="s">
        <v>84</v>
      </c>
      <c r="D52" s="79" t="s">
        <v>86</v>
      </c>
      <c r="E52" s="24" t="n">
        <v>1</v>
      </c>
      <c r="F52" s="24" t="n">
        <v>41468</v>
      </c>
      <c r="G52" s="81"/>
      <c r="H52" s="81"/>
      <c r="I52" s="24" t="n">
        <f aca="false">IFERROR(E52-G52,"")</f>
        <v>1</v>
      </c>
      <c r="J52" s="24" t="n">
        <f aca="false">IFERROR(F52-H52,"")</f>
        <v>41468</v>
      </c>
      <c r="K52" s="91"/>
      <c r="L52" s="91"/>
      <c r="M52" s="93" t="str">
        <f aca="false">IFERROR(L52/K52,"—")</f>
        <v>—</v>
      </c>
      <c r="N52" s="91"/>
      <c r="O52" s="81"/>
    </row>
    <row r="53" customFormat="false" ht="12.75" hidden="false" customHeight="true" outlineLevel="0" collapsed="false">
      <c r="B53" s="76" t="s">
        <v>150</v>
      </c>
      <c r="C53" s="27" t="s">
        <v>127</v>
      </c>
      <c r="D53" s="76" t="s">
        <v>137</v>
      </c>
      <c r="E53" s="29" t="n">
        <v>1</v>
      </c>
      <c r="F53" s="29" t="n">
        <v>15000</v>
      </c>
      <c r="G53" s="78"/>
      <c r="H53" s="78"/>
      <c r="I53" s="29" t="n">
        <f aca="false">IFERROR(E53-G53,"")</f>
        <v>1</v>
      </c>
      <c r="J53" s="29" t="n">
        <f aca="false">IFERROR(F53-H53,"")</f>
        <v>15000</v>
      </c>
      <c r="K53" s="91"/>
      <c r="L53" s="91"/>
      <c r="M53" s="92" t="str">
        <f aca="false">IFERROR(L53/K53,"—")</f>
        <v>—</v>
      </c>
      <c r="N53" s="91"/>
      <c r="O53" s="78"/>
    </row>
    <row r="54" customFormat="false" ht="12.75" hidden="false" customHeight="true" outlineLevel="0" collapsed="false">
      <c r="B54" s="79" t="s">
        <v>102</v>
      </c>
      <c r="C54" s="22" t="s">
        <v>84</v>
      </c>
      <c r="D54" s="79" t="s">
        <v>103</v>
      </c>
      <c r="E54" s="24" t="n">
        <v>1</v>
      </c>
      <c r="F54" s="23" t="n">
        <v>0</v>
      </c>
      <c r="G54" s="81"/>
      <c r="H54" s="81"/>
      <c r="I54" s="24" t="n">
        <f aca="false">IFERROR(E54-G54,"")</f>
        <v>1</v>
      </c>
      <c r="J54" s="24" t="n">
        <f aca="false">IFERROR(F54-H54,"")</f>
        <v>0</v>
      </c>
      <c r="K54" s="91"/>
      <c r="L54" s="91"/>
      <c r="M54" s="93" t="str">
        <f aca="false">IFERROR(L54/K54,"—")</f>
        <v>—</v>
      </c>
      <c r="N54" s="91"/>
      <c r="O54" s="81"/>
    </row>
    <row r="55" customFormat="false" ht="6" hidden="false" customHeight="true" outlineLevel="0" collapsed="false"/>
    <row r="56" customFormat="false" ht="15.75" hidden="false" customHeight="true" outlineLevel="0" collapsed="false">
      <c r="B56" s="88" t="s">
        <v>635</v>
      </c>
      <c r="C56" s="88"/>
      <c r="D56" s="88"/>
      <c r="E56" s="89"/>
      <c r="F56" s="89"/>
      <c r="G56" s="89"/>
      <c r="H56" s="89"/>
      <c r="I56" s="89"/>
      <c r="J56" s="89"/>
      <c r="K56" s="90"/>
      <c r="L56" s="89"/>
      <c r="M56" s="89"/>
      <c r="N56" s="90"/>
      <c r="O56" s="89"/>
    </row>
    <row r="57" customFormat="false" ht="12.75" hidden="false" customHeight="true" outlineLevel="0" collapsed="false">
      <c r="B57" s="76" t="s">
        <v>134</v>
      </c>
      <c r="C57" s="27" t="s">
        <v>127</v>
      </c>
      <c r="D57" s="76" t="s">
        <v>135</v>
      </c>
      <c r="E57" s="29" t="n">
        <v>1</v>
      </c>
      <c r="F57" s="29" t="n">
        <v>31550</v>
      </c>
      <c r="G57" s="78"/>
      <c r="H57" s="78"/>
      <c r="I57" s="29" t="n">
        <f aca="false">IFERROR(E57-G57,"")</f>
        <v>1</v>
      </c>
      <c r="J57" s="29" t="n">
        <f aca="false">IFERROR(F57-H57,"")</f>
        <v>31550</v>
      </c>
      <c r="K57" s="91"/>
      <c r="L57" s="91"/>
      <c r="M57" s="92" t="str">
        <f aca="false">IFERROR(L57/K57,"—")</f>
        <v>—</v>
      </c>
      <c r="N57" s="91"/>
      <c r="O57" s="78"/>
    </row>
    <row r="58" customFormat="false" ht="12.75" hidden="false" customHeight="true" outlineLevel="0" collapsed="false">
      <c r="B58" s="79" t="s">
        <v>148</v>
      </c>
      <c r="C58" s="22" t="s">
        <v>127</v>
      </c>
      <c r="D58" s="79" t="s">
        <v>149</v>
      </c>
      <c r="E58" s="24" t="n">
        <v>1</v>
      </c>
      <c r="F58" s="24" t="n">
        <v>18000</v>
      </c>
      <c r="G58" s="81"/>
      <c r="H58" s="81"/>
      <c r="I58" s="24" t="n">
        <f aca="false">IFERROR(E58-G58,"")</f>
        <v>1</v>
      </c>
      <c r="J58" s="24" t="n">
        <f aca="false">IFERROR(F58-H58,"")</f>
        <v>18000</v>
      </c>
      <c r="K58" s="91"/>
      <c r="L58" s="91"/>
      <c r="M58" s="93" t="str">
        <f aca="false">IFERROR(L58/K58,"—")</f>
        <v>—</v>
      </c>
      <c r="N58" s="91"/>
      <c r="O58" s="81"/>
    </row>
    <row r="59" customFormat="false" ht="12.75" hidden="false" customHeight="true" outlineLevel="0" collapsed="false">
      <c r="B59" s="76" t="s">
        <v>151</v>
      </c>
      <c r="C59" s="27" t="s">
        <v>127</v>
      </c>
      <c r="D59" s="76" t="s">
        <v>103</v>
      </c>
      <c r="E59" s="29" t="n">
        <v>1</v>
      </c>
      <c r="F59" s="29" t="n">
        <v>7825</v>
      </c>
      <c r="G59" s="78"/>
      <c r="H59" s="78"/>
      <c r="I59" s="29" t="n">
        <f aca="false">IFERROR(E59-G59,"")</f>
        <v>1</v>
      </c>
      <c r="J59" s="29" t="n">
        <f aca="false">IFERROR(F59-H59,"")</f>
        <v>7825</v>
      </c>
      <c r="K59" s="91"/>
      <c r="L59" s="91"/>
      <c r="M59" s="92" t="str">
        <f aca="false">IFERROR(L59/K59,"—")</f>
        <v>—</v>
      </c>
      <c r="N59" s="91"/>
      <c r="O59" s="78"/>
    </row>
    <row r="60" customFormat="false" ht="12.75" hidden="false" customHeight="true" outlineLevel="0" collapsed="false">
      <c r="B60" s="79" t="s">
        <v>152</v>
      </c>
      <c r="C60" s="22" t="s">
        <v>127</v>
      </c>
      <c r="D60" s="79" t="s">
        <v>103</v>
      </c>
      <c r="E60" s="24" t="n">
        <v>1</v>
      </c>
      <c r="F60" s="24" t="n">
        <v>7825</v>
      </c>
      <c r="G60" s="81"/>
      <c r="H60" s="81"/>
      <c r="I60" s="24" t="n">
        <f aca="false">IFERROR(E60-G60,"")</f>
        <v>1</v>
      </c>
      <c r="J60" s="24" t="n">
        <f aca="false">IFERROR(F60-H60,"")</f>
        <v>7825</v>
      </c>
      <c r="K60" s="91"/>
      <c r="L60" s="91"/>
      <c r="M60" s="93" t="str">
        <f aca="false">IFERROR(L60/K60,"—")</f>
        <v>—</v>
      </c>
      <c r="N60" s="91"/>
      <c r="O60" s="81"/>
    </row>
    <row r="61" customFormat="false" ht="12.75" hidden="false" customHeight="true" outlineLevel="0" collapsed="false">
      <c r="B61" s="76" t="s">
        <v>161</v>
      </c>
      <c r="C61" s="27" t="s">
        <v>154</v>
      </c>
      <c r="D61" s="76" t="s">
        <v>162</v>
      </c>
      <c r="E61" s="29" t="n">
        <v>1</v>
      </c>
      <c r="F61" s="29" t="n">
        <v>6099</v>
      </c>
      <c r="G61" s="78"/>
      <c r="H61" s="78"/>
      <c r="I61" s="29" t="n">
        <f aca="false">IFERROR(E61-G61,"")</f>
        <v>1</v>
      </c>
      <c r="J61" s="29" t="n">
        <f aca="false">IFERROR(F61-H61,"")</f>
        <v>6099</v>
      </c>
      <c r="K61" s="91"/>
      <c r="L61" s="91"/>
      <c r="M61" s="92" t="str">
        <f aca="false">IFERROR(L61/K61,"—")</f>
        <v>—</v>
      </c>
      <c r="N61" s="91"/>
      <c r="O61" s="78"/>
    </row>
    <row r="62" customFormat="false" ht="12.75" hidden="false" customHeight="true" outlineLevel="0" collapsed="false">
      <c r="B62" s="79" t="s">
        <v>163</v>
      </c>
      <c r="C62" s="22" t="s">
        <v>154</v>
      </c>
      <c r="D62" s="79" t="s">
        <v>162</v>
      </c>
      <c r="E62" s="24" t="n">
        <v>1</v>
      </c>
      <c r="F62" s="24" t="n">
        <v>4199</v>
      </c>
      <c r="G62" s="81"/>
      <c r="H62" s="81"/>
      <c r="I62" s="24" t="n">
        <f aca="false">IFERROR(E62-G62,"")</f>
        <v>1</v>
      </c>
      <c r="J62" s="24" t="n">
        <f aca="false">IFERROR(F62-H62,"")</f>
        <v>4199</v>
      </c>
      <c r="K62" s="91"/>
      <c r="L62" s="91"/>
      <c r="M62" s="93" t="str">
        <f aca="false">IFERROR(L62/K62,"—")</f>
        <v>—</v>
      </c>
      <c r="N62" s="91"/>
      <c r="O62" s="81"/>
    </row>
    <row r="63" customFormat="false" ht="12.75" hidden="false" customHeight="true" outlineLevel="0" collapsed="false">
      <c r="B63" s="76" t="s">
        <v>107</v>
      </c>
      <c r="C63" s="27" t="s">
        <v>106</v>
      </c>
      <c r="D63" s="76" t="s">
        <v>63</v>
      </c>
      <c r="E63" s="29" t="n">
        <v>5</v>
      </c>
      <c r="F63" s="29" t="n">
        <v>2470</v>
      </c>
      <c r="G63" s="78"/>
      <c r="H63" s="78"/>
      <c r="I63" s="29" t="n">
        <f aca="false">IFERROR(E63-G63,"")</f>
        <v>5</v>
      </c>
      <c r="J63" s="29" t="n">
        <f aca="false">IFERROR(F63-H63,"")</f>
        <v>2470</v>
      </c>
      <c r="K63" s="91"/>
      <c r="L63" s="91"/>
      <c r="M63" s="92" t="str">
        <f aca="false">IFERROR(L63/K63,"—")</f>
        <v>—</v>
      </c>
      <c r="N63" s="91"/>
      <c r="O63" s="78"/>
    </row>
    <row r="64" customFormat="false" ht="12.75" hidden="false" customHeight="true" outlineLevel="0" collapsed="false">
      <c r="B64" s="79" t="s">
        <v>62</v>
      </c>
      <c r="C64" s="22" t="s">
        <v>57</v>
      </c>
      <c r="D64" s="79" t="s">
        <v>63</v>
      </c>
      <c r="E64" s="24" t="n">
        <v>1</v>
      </c>
      <c r="F64" s="24" t="n">
        <v>2050</v>
      </c>
      <c r="G64" s="81"/>
      <c r="H64" s="81"/>
      <c r="I64" s="24" t="n">
        <f aca="false">IFERROR(E64-G64,"")</f>
        <v>1</v>
      </c>
      <c r="J64" s="24" t="n">
        <f aca="false">IFERROR(F64-H64,"")</f>
        <v>2050</v>
      </c>
      <c r="K64" s="91"/>
      <c r="L64" s="91"/>
      <c r="M64" s="93" t="str">
        <f aca="false">IFERROR(L64/K64,"—")</f>
        <v>—</v>
      </c>
      <c r="N64" s="91"/>
      <c r="O64" s="81"/>
    </row>
    <row r="65" customFormat="false" ht="12.75" hidden="false" customHeight="true" outlineLevel="0" collapsed="false">
      <c r="B65" s="76" t="s">
        <v>77</v>
      </c>
      <c r="C65" s="27" t="s">
        <v>73</v>
      </c>
      <c r="D65" s="76" t="s">
        <v>78</v>
      </c>
      <c r="E65" s="29" t="n">
        <v>1</v>
      </c>
      <c r="F65" s="29" t="n">
        <v>1596</v>
      </c>
      <c r="G65" s="78"/>
      <c r="H65" s="78"/>
      <c r="I65" s="29" t="n">
        <f aca="false">IFERROR(E65-G65,"")</f>
        <v>1</v>
      </c>
      <c r="J65" s="29" t="n">
        <f aca="false">IFERROR(F65-H65,"")</f>
        <v>1596</v>
      </c>
      <c r="K65" s="91"/>
      <c r="L65" s="91"/>
      <c r="M65" s="92" t="str">
        <f aca="false">IFERROR(L65/K65,"—")</f>
        <v>—</v>
      </c>
      <c r="N65" s="91"/>
      <c r="O65" s="78"/>
    </row>
    <row r="66" customFormat="false" ht="12.75" hidden="false" customHeight="true" outlineLevel="0" collapsed="false">
      <c r="B66" s="79" t="s">
        <v>79</v>
      </c>
      <c r="C66" s="22" t="s">
        <v>73</v>
      </c>
      <c r="D66" s="79" t="s">
        <v>78</v>
      </c>
      <c r="E66" s="24" t="n">
        <v>1</v>
      </c>
      <c r="F66" s="24" t="n">
        <v>1200</v>
      </c>
      <c r="G66" s="81"/>
      <c r="H66" s="81"/>
      <c r="I66" s="24" t="n">
        <f aca="false">IFERROR(E66-G66,"")</f>
        <v>1</v>
      </c>
      <c r="J66" s="24" t="n">
        <f aca="false">IFERROR(F66-H66,"")</f>
        <v>1200</v>
      </c>
      <c r="K66" s="91"/>
      <c r="L66" s="91"/>
      <c r="M66" s="93" t="str">
        <f aca="false">IFERROR(L66/K66,"—")</f>
        <v>—</v>
      </c>
      <c r="N66" s="91"/>
      <c r="O66" s="81"/>
    </row>
    <row r="67" customFormat="false" ht="12.75" hidden="false" customHeight="true" outlineLevel="0" collapsed="false">
      <c r="B67" s="76" t="s">
        <v>80</v>
      </c>
      <c r="C67" s="27" t="s">
        <v>73</v>
      </c>
      <c r="D67" s="76" t="s">
        <v>78</v>
      </c>
      <c r="E67" s="29" t="n">
        <v>1</v>
      </c>
      <c r="F67" s="29" t="n">
        <v>1126</v>
      </c>
      <c r="G67" s="78"/>
      <c r="H67" s="78"/>
      <c r="I67" s="29" t="n">
        <f aca="false">IFERROR(E67-G67,"")</f>
        <v>1</v>
      </c>
      <c r="J67" s="29" t="n">
        <f aca="false">IFERROR(F67-H67,"")</f>
        <v>1126</v>
      </c>
      <c r="K67" s="91"/>
      <c r="L67" s="91"/>
      <c r="M67" s="92" t="str">
        <f aca="false">IFERROR(L67/K67,"—")</f>
        <v>—</v>
      </c>
      <c r="N67" s="91"/>
      <c r="O67" s="78"/>
    </row>
    <row r="68" customFormat="false" ht="12.75" hidden="false" customHeight="true" outlineLevel="0" collapsed="false">
      <c r="B68" s="79" t="s">
        <v>81</v>
      </c>
      <c r="C68" s="22" t="s">
        <v>73</v>
      </c>
      <c r="D68" s="79" t="s">
        <v>78</v>
      </c>
      <c r="E68" s="24" t="n">
        <v>1</v>
      </c>
      <c r="F68" s="24" t="n">
        <v>645</v>
      </c>
      <c r="G68" s="81"/>
      <c r="H68" s="81"/>
      <c r="I68" s="24" t="n">
        <f aca="false">IFERROR(E68-G68,"")</f>
        <v>1</v>
      </c>
      <c r="J68" s="24" t="n">
        <f aca="false">IFERROR(F68-H68,"")</f>
        <v>645</v>
      </c>
      <c r="K68" s="91"/>
      <c r="L68" s="91"/>
      <c r="M68" s="93" t="str">
        <f aca="false">IFERROR(L68/K68,"—")</f>
        <v>—</v>
      </c>
      <c r="N68" s="91"/>
      <c r="O68" s="81"/>
    </row>
    <row r="69" customFormat="false" ht="12.75" hidden="false" customHeight="true" outlineLevel="0" collapsed="false">
      <c r="B69" s="76" t="s">
        <v>82</v>
      </c>
      <c r="C69" s="27" t="s">
        <v>73</v>
      </c>
      <c r="D69" s="76" t="s">
        <v>78</v>
      </c>
      <c r="E69" s="29" t="n">
        <v>1</v>
      </c>
      <c r="F69" s="29" t="n">
        <v>645</v>
      </c>
      <c r="G69" s="78"/>
      <c r="H69" s="78"/>
      <c r="I69" s="29" t="n">
        <f aca="false">IFERROR(E69-G69,"")</f>
        <v>1</v>
      </c>
      <c r="J69" s="29" t="n">
        <f aca="false">IFERROR(F69-H69,"")</f>
        <v>645</v>
      </c>
      <c r="K69" s="91"/>
      <c r="L69" s="91"/>
      <c r="M69" s="92" t="str">
        <f aca="false">IFERROR(L69/K69,"—")</f>
        <v>—</v>
      </c>
      <c r="N69" s="91"/>
      <c r="O69" s="78"/>
    </row>
    <row r="70" customFormat="false" ht="12.75" hidden="false" customHeight="true" outlineLevel="0" collapsed="false">
      <c r="B70" s="79" t="s">
        <v>108</v>
      </c>
      <c r="C70" s="22" t="s">
        <v>106</v>
      </c>
      <c r="D70" s="79" t="s">
        <v>63</v>
      </c>
      <c r="E70" s="24" t="n">
        <v>1</v>
      </c>
      <c r="F70" s="24" t="n">
        <v>494</v>
      </c>
      <c r="G70" s="81"/>
      <c r="H70" s="81"/>
      <c r="I70" s="24" t="n">
        <f aca="false">IFERROR(E70-G70,"")</f>
        <v>1</v>
      </c>
      <c r="J70" s="24" t="n">
        <f aca="false">IFERROR(F70-H70,"")</f>
        <v>494</v>
      </c>
      <c r="K70" s="91"/>
      <c r="L70" s="91"/>
      <c r="M70" s="93" t="str">
        <f aca="false">IFERROR(L70/K70,"—")</f>
        <v>—</v>
      </c>
      <c r="N70" s="91"/>
      <c r="O70" s="81"/>
    </row>
    <row r="71" customFormat="false" ht="6" hidden="false" customHeight="true" outlineLevel="0" collapsed="false"/>
    <row r="72" customFormat="false" ht="15.75" hidden="false" customHeight="true" outlineLevel="0" collapsed="false">
      <c r="B72" s="88" t="s">
        <v>636</v>
      </c>
      <c r="C72" s="88"/>
      <c r="D72" s="88"/>
      <c r="E72" s="89"/>
      <c r="F72" s="89"/>
      <c r="G72" s="89"/>
      <c r="H72" s="89"/>
      <c r="I72" s="89"/>
      <c r="J72" s="89"/>
      <c r="K72" s="90"/>
      <c r="L72" s="89"/>
      <c r="M72" s="89"/>
      <c r="N72" s="90"/>
      <c r="O72" s="89"/>
    </row>
    <row r="73" customFormat="false" ht="12.75" hidden="false" customHeight="true" outlineLevel="0" collapsed="false">
      <c r="B73" s="76" t="s">
        <v>157</v>
      </c>
      <c r="C73" s="27" t="s">
        <v>154</v>
      </c>
      <c r="D73" s="76" t="s">
        <v>158</v>
      </c>
      <c r="E73" s="29" t="n">
        <v>2</v>
      </c>
      <c r="F73" s="29" t="n">
        <v>48000</v>
      </c>
      <c r="G73" s="78"/>
      <c r="H73" s="78"/>
      <c r="I73" s="29" t="n">
        <f aca="false">IFERROR(E73-G73,"")</f>
        <v>2</v>
      </c>
      <c r="J73" s="29" t="n">
        <f aca="false">IFERROR(F73-H73,"")</f>
        <v>48000</v>
      </c>
      <c r="K73" s="91"/>
      <c r="L73" s="91"/>
      <c r="M73" s="92" t="str">
        <f aca="false">IFERROR(L73/K73,"—")</f>
        <v>—</v>
      </c>
      <c r="N73" s="91"/>
      <c r="O73" s="78"/>
    </row>
    <row r="74" customFormat="false" ht="12.75" hidden="false" customHeight="true" outlineLevel="0" collapsed="false">
      <c r="B74" s="79" t="s">
        <v>160</v>
      </c>
      <c r="C74" s="22" t="s">
        <v>154</v>
      </c>
      <c r="D74" s="79" t="s">
        <v>158</v>
      </c>
      <c r="E74" s="24" t="n">
        <v>1</v>
      </c>
      <c r="F74" s="24" t="n">
        <v>22150</v>
      </c>
      <c r="G74" s="81"/>
      <c r="H74" s="81"/>
      <c r="I74" s="24" t="n">
        <f aca="false">IFERROR(E74-G74,"")</f>
        <v>1</v>
      </c>
      <c r="J74" s="24" t="n">
        <f aca="false">IFERROR(F74-H74,"")</f>
        <v>22150</v>
      </c>
      <c r="K74" s="91"/>
      <c r="L74" s="91"/>
      <c r="M74" s="93" t="str">
        <f aca="false">IFERROR(L74/K74,"—")</f>
        <v>—</v>
      </c>
      <c r="N74" s="91"/>
      <c r="O74" s="81"/>
    </row>
    <row r="75" customFormat="false" ht="6" hidden="false" customHeight="true" outlineLevel="0" collapsed="false"/>
    <row r="76" customFormat="false" ht="15.75" hidden="false" customHeight="true" outlineLevel="0" collapsed="false">
      <c r="B76" s="88" t="s">
        <v>637</v>
      </c>
      <c r="C76" s="88"/>
      <c r="D76" s="88"/>
      <c r="E76" s="89"/>
      <c r="F76" s="89"/>
      <c r="G76" s="89"/>
      <c r="H76" s="89"/>
      <c r="I76" s="89"/>
      <c r="J76" s="89"/>
      <c r="K76" s="90"/>
      <c r="L76" s="89"/>
      <c r="M76" s="89"/>
      <c r="N76" s="90"/>
      <c r="O76" s="89"/>
    </row>
    <row r="77" customFormat="false" ht="12.75" hidden="false" customHeight="true" outlineLevel="0" collapsed="false">
      <c r="B77" s="76" t="s">
        <v>70</v>
      </c>
      <c r="C77" s="27" t="s">
        <v>66</v>
      </c>
      <c r="D77" s="76" t="s">
        <v>68</v>
      </c>
      <c r="E77" s="29" t="n">
        <v>1</v>
      </c>
      <c r="F77" s="29" t="n">
        <v>2200</v>
      </c>
      <c r="G77" s="78"/>
      <c r="H77" s="78"/>
      <c r="I77" s="29" t="n">
        <f aca="false">IFERROR(E77-G77,"")</f>
        <v>1</v>
      </c>
      <c r="J77" s="29" t="n">
        <f aca="false">IFERROR(F77-H77,"")</f>
        <v>2200</v>
      </c>
      <c r="K77" s="91"/>
      <c r="L77" s="91"/>
      <c r="M77" s="92" t="str">
        <f aca="false">IFERROR(L77/K77,"—")</f>
        <v>—</v>
      </c>
      <c r="N77" s="91"/>
      <c r="O77" s="78"/>
    </row>
    <row r="78" customFormat="false" ht="6" hidden="false" customHeight="true" outlineLevel="0" collapsed="false"/>
    <row r="79" customFormat="false" ht="15.75" hidden="false" customHeight="true" outlineLevel="0" collapsed="false">
      <c r="B79" s="94" t="s">
        <v>638</v>
      </c>
      <c r="C79" s="94"/>
      <c r="D79" s="94"/>
      <c r="E79" s="89"/>
      <c r="F79" s="89"/>
      <c r="G79" s="89"/>
      <c r="H79" s="89"/>
      <c r="I79" s="89"/>
      <c r="J79" s="89"/>
      <c r="K79" s="90"/>
      <c r="L79" s="89"/>
      <c r="M79" s="89"/>
      <c r="N79" s="90"/>
      <c r="O79" s="89"/>
    </row>
    <row r="80" customFormat="false" ht="12.75" hidden="false" customHeight="true" outlineLevel="0" collapsed="false">
      <c r="B80" s="58" t="s">
        <v>74</v>
      </c>
      <c r="C80" s="58" t="s">
        <v>73</v>
      </c>
      <c r="D80" s="58" t="s">
        <v>75</v>
      </c>
      <c r="E80" s="20" t="n">
        <v>113</v>
      </c>
      <c r="F80" s="20" t="n">
        <v>22600</v>
      </c>
      <c r="G80" s="60"/>
      <c r="H80" s="60"/>
      <c r="I80" s="20" t="n">
        <f aca="false">IFERROR(E80-G80,"")</f>
        <v>113</v>
      </c>
      <c r="J80" s="20" t="n">
        <f aca="false">IFERROR(F80-H80,"")</f>
        <v>22600</v>
      </c>
      <c r="K80" s="91"/>
      <c r="L80" s="91"/>
      <c r="M80" s="95" t="str">
        <f aca="false">IFERROR(L80/K80,"—")</f>
        <v>—</v>
      </c>
      <c r="N80" s="91"/>
      <c r="O80" s="60"/>
    </row>
    <row r="81" customFormat="false" ht="6" hidden="false" customHeight="true" outlineLevel="0" collapsed="false"/>
    <row r="82" customFormat="false" ht="15" hidden="false" customHeight="true" outlineLevel="0" collapsed="false">
      <c r="B82" s="96" t="s">
        <v>21</v>
      </c>
      <c r="C82" s="96"/>
      <c r="D82" s="96"/>
      <c r="E82" s="35" t="n">
        <v>248</v>
      </c>
      <c r="F82" s="35" t="n">
        <v>1433909</v>
      </c>
      <c r="G82" s="37"/>
      <c r="H82" s="37"/>
      <c r="I82" s="37"/>
      <c r="J82" s="37"/>
      <c r="K82" s="97"/>
      <c r="L82" s="37"/>
      <c r="M82" s="37"/>
      <c r="N82" s="97"/>
      <c r="O82" s="37"/>
    </row>
    <row r="84" customFormat="false" ht="13.5" hidden="false" customHeight="true" outlineLevel="0" collapsed="false">
      <c r="B84" s="98" t="s">
        <v>639</v>
      </c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</row>
    <row r="85" customFormat="false" ht="13.5" hidden="false" customHeight="true" outlineLevel="0" collapsed="false">
      <c r="B85" s="98" t="s">
        <v>640</v>
      </c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</row>
    <row r="86" customFormat="false" ht="13.5" hidden="false" customHeight="true" outlineLevel="0" collapsed="false">
      <c r="B86" s="99" t="s">
        <v>641</v>
      </c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</row>
    <row r="88" customFormat="false" ht="15" hidden="false" customHeight="false" outlineLevel="0" collapsed="false">
      <c r="B88" s="52" t="s">
        <v>642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</row>
  </sheetData>
  <mergeCells count="14">
    <mergeCell ref="B2:O2"/>
    <mergeCell ref="B3:O3"/>
    <mergeCell ref="B5:O5"/>
    <mergeCell ref="B8:D8"/>
    <mergeCell ref="B50:D50"/>
    <mergeCell ref="B56:D56"/>
    <mergeCell ref="B72:D72"/>
    <mergeCell ref="B76:D76"/>
    <mergeCell ref="B79:D79"/>
    <mergeCell ref="B82:D82"/>
    <mergeCell ref="B84:O84"/>
    <mergeCell ref="B85:O85"/>
    <mergeCell ref="B86:O86"/>
    <mergeCell ref="B88:O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B1:I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643</v>
      </c>
      <c r="C2" s="1"/>
      <c r="D2" s="1"/>
      <c r="E2" s="1"/>
      <c r="F2" s="1"/>
      <c r="G2" s="1"/>
      <c r="H2" s="1"/>
      <c r="I2" s="1"/>
    </row>
    <row r="3" customFormat="false" ht="13.5" hidden="false" customHeight="true" outlineLevel="0" collapsed="false">
      <c r="B3" s="2" t="s">
        <v>644</v>
      </c>
      <c r="C3" s="2"/>
      <c r="D3" s="2"/>
      <c r="E3" s="2"/>
      <c r="F3" s="2"/>
      <c r="G3" s="2"/>
      <c r="H3" s="2"/>
      <c r="I3" s="2"/>
    </row>
    <row r="4" customFormat="false" ht="7.5" hidden="false" customHeight="true" outlineLevel="0" collapsed="false"/>
    <row r="5" customFormat="false" ht="15" hidden="false" customHeight="true" outlineLevel="0" collapsed="false">
      <c r="B5" s="100" t="s">
        <v>645</v>
      </c>
      <c r="C5" s="100"/>
      <c r="D5" s="100"/>
      <c r="E5" s="100"/>
      <c r="F5" s="100"/>
      <c r="G5" s="100"/>
      <c r="H5" s="100"/>
      <c r="I5" s="100"/>
    </row>
    <row r="6" customFormat="false" ht="7.5" hidden="false" customHeight="true" outlineLevel="0" collapsed="false"/>
    <row r="7" customFormat="false" ht="13.5" hidden="false" customHeight="true" outlineLevel="0" collapsed="false">
      <c r="B7" s="55" t="s">
        <v>646</v>
      </c>
      <c r="C7" s="55" t="s">
        <v>647</v>
      </c>
      <c r="D7" s="55" t="s">
        <v>45</v>
      </c>
      <c r="E7" s="53" t="s">
        <v>648</v>
      </c>
      <c r="F7" s="56" t="s">
        <v>649</v>
      </c>
      <c r="G7" s="55" t="s">
        <v>650</v>
      </c>
      <c r="H7" s="53" t="s">
        <v>651</v>
      </c>
      <c r="I7" s="53" t="s">
        <v>632</v>
      </c>
    </row>
    <row r="8" customFormat="false" ht="12.75" hidden="false" customHeight="true" outlineLevel="0" collapsed="false">
      <c r="B8" s="101" t="s">
        <v>652</v>
      </c>
      <c r="C8" s="102" t="s">
        <v>653</v>
      </c>
      <c r="D8" s="102" t="s">
        <v>154</v>
      </c>
      <c r="E8" s="103" t="s">
        <v>654</v>
      </c>
      <c r="F8" s="104" t="n">
        <v>1</v>
      </c>
      <c r="G8" s="105" t="s">
        <v>655</v>
      </c>
      <c r="H8" s="18" t="s">
        <v>61</v>
      </c>
      <c r="I8" s="58" t="s">
        <v>656</v>
      </c>
    </row>
    <row r="9" customFormat="false" ht="12.75" hidden="false" customHeight="true" outlineLevel="0" collapsed="false">
      <c r="B9" s="101" t="s">
        <v>657</v>
      </c>
      <c r="C9" s="102" t="s">
        <v>653</v>
      </c>
      <c r="D9" s="102" t="s">
        <v>394</v>
      </c>
      <c r="E9" s="103" t="s">
        <v>658</v>
      </c>
      <c r="F9" s="104" t="n">
        <v>1</v>
      </c>
      <c r="G9" s="105" t="s">
        <v>655</v>
      </c>
      <c r="H9" s="18" t="s">
        <v>61</v>
      </c>
      <c r="I9" s="58"/>
    </row>
    <row r="10" customFormat="false" ht="12.75" hidden="false" customHeight="true" outlineLevel="0" collapsed="false">
      <c r="B10" s="101" t="s">
        <v>657</v>
      </c>
      <c r="C10" s="102" t="s">
        <v>653</v>
      </c>
      <c r="D10" s="102" t="s">
        <v>154</v>
      </c>
      <c r="E10" s="103" t="s">
        <v>659</v>
      </c>
      <c r="F10" s="104" t="n">
        <v>7</v>
      </c>
      <c r="G10" s="105" t="s">
        <v>655</v>
      </c>
      <c r="H10" s="18" t="s">
        <v>61</v>
      </c>
      <c r="I10" s="58" t="s">
        <v>660</v>
      </c>
    </row>
    <row r="11" customFormat="false" ht="12.75" hidden="false" customHeight="true" outlineLevel="0" collapsed="false">
      <c r="B11" s="101" t="s">
        <v>657</v>
      </c>
      <c r="C11" s="102" t="s">
        <v>653</v>
      </c>
      <c r="D11" s="102" t="s">
        <v>73</v>
      </c>
      <c r="E11" s="103" t="s">
        <v>661</v>
      </c>
      <c r="F11" s="104" t="n">
        <v>7</v>
      </c>
      <c r="G11" s="105" t="s">
        <v>655</v>
      </c>
      <c r="H11" s="18" t="s">
        <v>61</v>
      </c>
      <c r="I11" s="58" t="s">
        <v>660</v>
      </c>
    </row>
    <row r="12" customFormat="false" ht="12.75" hidden="false" customHeight="true" outlineLevel="0" collapsed="false">
      <c r="B12" s="101" t="s">
        <v>657</v>
      </c>
      <c r="C12" s="102" t="s">
        <v>653</v>
      </c>
      <c r="D12" s="102" t="s">
        <v>167</v>
      </c>
      <c r="E12" s="8" t="s">
        <v>662</v>
      </c>
      <c r="F12" s="104" t="n">
        <v>8</v>
      </c>
      <c r="G12" s="105" t="s">
        <v>655</v>
      </c>
      <c r="H12" s="18" t="s">
        <v>61</v>
      </c>
      <c r="I12" s="58" t="s">
        <v>660</v>
      </c>
    </row>
    <row r="13" customFormat="false" ht="12.75" hidden="false" customHeight="true" outlineLevel="0" collapsed="false">
      <c r="B13" s="101" t="s">
        <v>657</v>
      </c>
      <c r="C13" s="102" t="s">
        <v>653</v>
      </c>
      <c r="D13" s="102" t="s">
        <v>167</v>
      </c>
      <c r="E13" s="8" t="s">
        <v>663</v>
      </c>
      <c r="F13" s="104" t="n">
        <v>6</v>
      </c>
      <c r="G13" s="105" t="s">
        <v>655</v>
      </c>
      <c r="H13" s="18" t="s">
        <v>61</v>
      </c>
      <c r="I13" s="58" t="s">
        <v>660</v>
      </c>
    </row>
    <row r="14" customFormat="false" ht="12.75" hidden="false" customHeight="true" outlineLevel="0" collapsed="false">
      <c r="B14" s="101" t="s">
        <v>657</v>
      </c>
      <c r="C14" s="102" t="s">
        <v>653</v>
      </c>
      <c r="D14" s="102" t="s">
        <v>280</v>
      </c>
      <c r="E14" s="103" t="s">
        <v>664</v>
      </c>
      <c r="F14" s="104" t="n">
        <v>1</v>
      </c>
      <c r="G14" s="105" t="s">
        <v>655</v>
      </c>
      <c r="H14" s="18" t="s">
        <v>61</v>
      </c>
      <c r="I14" s="58" t="s">
        <v>660</v>
      </c>
    </row>
    <row r="15" customFormat="false" ht="12.75" hidden="false" customHeight="true" outlineLevel="0" collapsed="false">
      <c r="B15" s="106" t="s">
        <v>665</v>
      </c>
      <c r="C15" s="107" t="s">
        <v>666</v>
      </c>
      <c r="D15" s="107" t="s">
        <v>280</v>
      </c>
      <c r="E15" s="108" t="s">
        <v>667</v>
      </c>
      <c r="F15" s="81" t="n">
        <v>1</v>
      </c>
      <c r="G15" s="107" t="s">
        <v>668</v>
      </c>
      <c r="H15" s="79" t="s">
        <v>669</v>
      </c>
      <c r="I15" s="22"/>
    </row>
    <row r="16" customFormat="false" ht="12.75" hidden="false" customHeight="true" outlineLevel="0" collapsed="false">
      <c r="B16" s="109" t="s">
        <v>665</v>
      </c>
      <c r="C16" s="110" t="s">
        <v>666</v>
      </c>
      <c r="D16" s="110" t="s">
        <v>394</v>
      </c>
      <c r="E16" s="111" t="s">
        <v>670</v>
      </c>
      <c r="F16" s="78" t="n">
        <v>1</v>
      </c>
      <c r="G16" s="110" t="s">
        <v>668</v>
      </c>
      <c r="H16" s="76" t="s">
        <v>669</v>
      </c>
      <c r="I16" s="27"/>
    </row>
    <row r="17" customFormat="false" ht="12.75" hidden="false" customHeight="true" outlineLevel="0" collapsed="false">
      <c r="B17" s="106" t="s">
        <v>665</v>
      </c>
      <c r="C17" s="107" t="s">
        <v>666</v>
      </c>
      <c r="D17" s="107" t="s">
        <v>377</v>
      </c>
      <c r="E17" s="108" t="s">
        <v>671</v>
      </c>
      <c r="F17" s="81" t="n">
        <v>1</v>
      </c>
      <c r="G17" s="107" t="s">
        <v>668</v>
      </c>
      <c r="H17" s="79" t="s">
        <v>669</v>
      </c>
      <c r="I17" s="22"/>
    </row>
    <row r="18" customFormat="false" ht="12.75" hidden="false" customHeight="true" outlineLevel="0" collapsed="false">
      <c r="B18" s="109" t="s">
        <v>672</v>
      </c>
      <c r="C18" s="110" t="s">
        <v>666</v>
      </c>
      <c r="D18" s="110" t="s">
        <v>280</v>
      </c>
      <c r="E18" s="111" t="s">
        <v>667</v>
      </c>
      <c r="F18" s="78" t="n">
        <v>2</v>
      </c>
      <c r="G18" s="110" t="s">
        <v>668</v>
      </c>
      <c r="H18" s="76" t="s">
        <v>673</v>
      </c>
      <c r="I18" s="27"/>
    </row>
    <row r="19" customFormat="false" ht="12.75" hidden="false" customHeight="true" outlineLevel="0" collapsed="false">
      <c r="B19" s="106" t="s">
        <v>672</v>
      </c>
      <c r="C19" s="107" t="s">
        <v>666</v>
      </c>
      <c r="D19" s="107" t="s">
        <v>394</v>
      </c>
      <c r="E19" s="108" t="s">
        <v>670</v>
      </c>
      <c r="F19" s="81" t="n">
        <v>2</v>
      </c>
      <c r="G19" s="107" t="s">
        <v>668</v>
      </c>
      <c r="H19" s="79" t="s">
        <v>673</v>
      </c>
      <c r="I19" s="22"/>
    </row>
    <row r="20" customFormat="false" ht="12.75" hidden="false" customHeight="true" outlineLevel="0" collapsed="false">
      <c r="B20" s="109" t="s">
        <v>672</v>
      </c>
      <c r="C20" s="110" t="s">
        <v>666</v>
      </c>
      <c r="D20" s="110" t="s">
        <v>377</v>
      </c>
      <c r="E20" s="111" t="s">
        <v>671</v>
      </c>
      <c r="F20" s="78" t="n">
        <v>2</v>
      </c>
      <c r="G20" s="110" t="s">
        <v>668</v>
      </c>
      <c r="H20" s="76" t="s">
        <v>673</v>
      </c>
      <c r="I20" s="27"/>
    </row>
    <row r="21" customFormat="false" ht="12.75" hidden="false" customHeight="true" outlineLevel="0" collapsed="false">
      <c r="B21" s="106" t="s">
        <v>672</v>
      </c>
      <c r="C21" s="107" t="s">
        <v>666</v>
      </c>
      <c r="D21" s="107" t="s">
        <v>309</v>
      </c>
      <c r="E21" s="108" t="s">
        <v>674</v>
      </c>
      <c r="F21" s="81" t="n">
        <v>2</v>
      </c>
      <c r="G21" s="107" t="s">
        <v>668</v>
      </c>
      <c r="H21" s="79" t="s">
        <v>673</v>
      </c>
      <c r="I21" s="22"/>
    </row>
    <row r="22" customFormat="false" ht="12.75" hidden="false" customHeight="true" outlineLevel="0" collapsed="false">
      <c r="B22" s="109" t="s">
        <v>675</v>
      </c>
      <c r="C22" s="110" t="s">
        <v>666</v>
      </c>
      <c r="D22" s="110" t="s">
        <v>280</v>
      </c>
      <c r="E22" s="111" t="s">
        <v>676</v>
      </c>
      <c r="F22" s="78" t="n">
        <v>1</v>
      </c>
      <c r="G22" s="110" t="s">
        <v>668</v>
      </c>
      <c r="H22" s="76" t="s">
        <v>677</v>
      </c>
      <c r="I22" s="27"/>
    </row>
    <row r="23" customFormat="false" ht="12.75" hidden="false" customHeight="true" outlineLevel="0" collapsed="false">
      <c r="B23" s="106" t="s">
        <v>675</v>
      </c>
      <c r="C23" s="107" t="s">
        <v>666</v>
      </c>
      <c r="D23" s="107" t="s">
        <v>394</v>
      </c>
      <c r="E23" s="108" t="s">
        <v>678</v>
      </c>
      <c r="F23" s="81" t="n">
        <v>1</v>
      </c>
      <c r="G23" s="107" t="s">
        <v>668</v>
      </c>
      <c r="H23" s="79" t="s">
        <v>677</v>
      </c>
      <c r="I23" s="22"/>
    </row>
    <row r="24" customFormat="false" ht="12.75" hidden="false" customHeight="true" outlineLevel="0" collapsed="false">
      <c r="B24" s="109" t="s">
        <v>675</v>
      </c>
      <c r="C24" s="110" t="s">
        <v>666</v>
      </c>
      <c r="D24" s="110" t="s">
        <v>309</v>
      </c>
      <c r="E24" s="111" t="s">
        <v>679</v>
      </c>
      <c r="F24" s="78" t="n">
        <v>1</v>
      </c>
      <c r="G24" s="110" t="s">
        <v>668</v>
      </c>
      <c r="H24" s="76" t="s">
        <v>677</v>
      </c>
      <c r="I24" s="27"/>
    </row>
    <row r="25" customFormat="false" ht="12.75" hidden="false" customHeight="true" outlineLevel="0" collapsed="false">
      <c r="B25" s="106" t="s">
        <v>675</v>
      </c>
      <c r="C25" s="107" t="s">
        <v>666</v>
      </c>
      <c r="D25" s="107" t="s">
        <v>377</v>
      </c>
      <c r="E25" s="108" t="s">
        <v>680</v>
      </c>
      <c r="F25" s="81" t="n">
        <v>1</v>
      </c>
      <c r="G25" s="107" t="s">
        <v>668</v>
      </c>
      <c r="H25" s="79" t="s">
        <v>677</v>
      </c>
      <c r="I25" s="22"/>
    </row>
    <row r="26" customFormat="false" ht="12.75" hidden="false" customHeight="true" outlineLevel="0" collapsed="false">
      <c r="B26" s="109" t="s">
        <v>681</v>
      </c>
      <c r="C26" s="110" t="s">
        <v>666</v>
      </c>
      <c r="D26" s="110" t="s">
        <v>280</v>
      </c>
      <c r="E26" s="111" t="s">
        <v>667</v>
      </c>
      <c r="F26" s="78" t="n">
        <v>20</v>
      </c>
      <c r="G26" s="110" t="s">
        <v>668</v>
      </c>
      <c r="H26" s="76" t="s">
        <v>682</v>
      </c>
      <c r="I26" s="27"/>
    </row>
    <row r="27" customFormat="false" ht="12.75" hidden="false" customHeight="true" outlineLevel="0" collapsed="false">
      <c r="B27" s="106" t="s">
        <v>681</v>
      </c>
      <c r="C27" s="107" t="s">
        <v>666</v>
      </c>
      <c r="D27" s="107" t="s">
        <v>394</v>
      </c>
      <c r="E27" s="108" t="s">
        <v>670</v>
      </c>
      <c r="F27" s="81" t="n">
        <v>7</v>
      </c>
      <c r="G27" s="107" t="s">
        <v>668</v>
      </c>
      <c r="H27" s="79" t="s">
        <v>682</v>
      </c>
      <c r="I27" s="22"/>
    </row>
    <row r="28" customFormat="false" ht="12.75" hidden="false" customHeight="true" outlineLevel="0" collapsed="false">
      <c r="B28" s="109" t="s">
        <v>681</v>
      </c>
      <c r="C28" s="110" t="s">
        <v>666</v>
      </c>
      <c r="D28" s="110" t="s">
        <v>377</v>
      </c>
      <c r="E28" s="111" t="s">
        <v>671</v>
      </c>
      <c r="F28" s="78" t="n">
        <v>20</v>
      </c>
      <c r="G28" s="110" t="s">
        <v>668</v>
      </c>
      <c r="H28" s="76" t="s">
        <v>682</v>
      </c>
      <c r="I28" s="27"/>
    </row>
    <row r="29" customFormat="false" ht="12.75" hidden="false" customHeight="true" outlineLevel="0" collapsed="false">
      <c r="B29" s="106" t="s">
        <v>681</v>
      </c>
      <c r="C29" s="107" t="s">
        <v>666</v>
      </c>
      <c r="D29" s="107" t="s">
        <v>309</v>
      </c>
      <c r="E29" s="108" t="s">
        <v>683</v>
      </c>
      <c r="F29" s="81" t="n">
        <v>10</v>
      </c>
      <c r="G29" s="107" t="s">
        <v>668</v>
      </c>
      <c r="H29" s="79" t="s">
        <v>682</v>
      </c>
      <c r="I29" s="22"/>
    </row>
    <row r="30" customFormat="false" ht="12.75" hidden="false" customHeight="true" outlineLevel="0" collapsed="false">
      <c r="B30" s="109" t="s">
        <v>657</v>
      </c>
      <c r="C30" s="110" t="s">
        <v>666</v>
      </c>
      <c r="D30" s="110" t="s">
        <v>280</v>
      </c>
      <c r="E30" s="111" t="s">
        <v>667</v>
      </c>
      <c r="F30" s="78" t="n">
        <v>2</v>
      </c>
      <c r="G30" s="110" t="s">
        <v>668</v>
      </c>
      <c r="H30" s="76" t="s">
        <v>684</v>
      </c>
      <c r="I30" s="27"/>
    </row>
    <row r="31" customFormat="false" ht="12.75" hidden="false" customHeight="true" outlineLevel="0" collapsed="false">
      <c r="B31" s="106" t="s">
        <v>657</v>
      </c>
      <c r="C31" s="107" t="s">
        <v>666</v>
      </c>
      <c r="D31" s="107" t="s">
        <v>394</v>
      </c>
      <c r="E31" s="108" t="s">
        <v>670</v>
      </c>
      <c r="F31" s="81" t="n">
        <v>3</v>
      </c>
      <c r="G31" s="107" t="s">
        <v>668</v>
      </c>
      <c r="H31" s="79" t="s">
        <v>684</v>
      </c>
      <c r="I31" s="22"/>
    </row>
    <row r="32" customFormat="false" ht="12.75" hidden="false" customHeight="true" outlineLevel="0" collapsed="false">
      <c r="B32" s="109" t="s">
        <v>657</v>
      </c>
      <c r="C32" s="110" t="s">
        <v>666</v>
      </c>
      <c r="D32" s="110" t="s">
        <v>377</v>
      </c>
      <c r="E32" s="111" t="s">
        <v>671</v>
      </c>
      <c r="F32" s="78" t="n">
        <v>2</v>
      </c>
      <c r="G32" s="110" t="s">
        <v>668</v>
      </c>
      <c r="H32" s="76" t="s">
        <v>684</v>
      </c>
      <c r="I32" s="27"/>
    </row>
    <row r="33" customFormat="false" ht="12.75" hidden="false" customHeight="true" outlineLevel="0" collapsed="false">
      <c r="B33" s="106" t="s">
        <v>657</v>
      </c>
      <c r="C33" s="107" t="s">
        <v>666</v>
      </c>
      <c r="D33" s="107" t="s">
        <v>309</v>
      </c>
      <c r="E33" s="108" t="s">
        <v>683</v>
      </c>
      <c r="F33" s="81" t="n">
        <v>2</v>
      </c>
      <c r="G33" s="107" t="s">
        <v>668</v>
      </c>
      <c r="H33" s="79" t="s">
        <v>684</v>
      </c>
      <c r="I33" s="22"/>
    </row>
    <row r="34" customFormat="false" ht="12.75" hidden="false" customHeight="true" outlineLevel="0" collapsed="false">
      <c r="B34" s="109" t="s">
        <v>685</v>
      </c>
      <c r="C34" s="110" t="s">
        <v>666</v>
      </c>
      <c r="D34" s="110" t="s">
        <v>280</v>
      </c>
      <c r="E34" s="111" t="s">
        <v>667</v>
      </c>
      <c r="F34" s="78" t="n">
        <v>5</v>
      </c>
      <c r="G34" s="110" t="s">
        <v>668</v>
      </c>
      <c r="H34" s="76" t="s">
        <v>686</v>
      </c>
      <c r="I34" s="27"/>
    </row>
    <row r="35" customFormat="false" ht="12.75" hidden="false" customHeight="true" outlineLevel="0" collapsed="false">
      <c r="B35" s="106" t="s">
        <v>685</v>
      </c>
      <c r="C35" s="107" t="s">
        <v>666</v>
      </c>
      <c r="D35" s="107" t="s">
        <v>377</v>
      </c>
      <c r="E35" s="108" t="s">
        <v>671</v>
      </c>
      <c r="F35" s="81" t="n">
        <v>5</v>
      </c>
      <c r="G35" s="107" t="s">
        <v>668</v>
      </c>
      <c r="H35" s="79" t="s">
        <v>686</v>
      </c>
      <c r="I35" s="22"/>
    </row>
    <row r="36" customFormat="false" ht="12.75" hidden="false" customHeight="true" outlineLevel="0" collapsed="false">
      <c r="B36" s="109" t="s">
        <v>685</v>
      </c>
      <c r="C36" s="110" t="s">
        <v>666</v>
      </c>
      <c r="D36" s="110" t="s">
        <v>394</v>
      </c>
      <c r="E36" s="111" t="s">
        <v>670</v>
      </c>
      <c r="F36" s="78" t="n">
        <v>5</v>
      </c>
      <c r="G36" s="110" t="s">
        <v>668</v>
      </c>
      <c r="H36" s="76" t="s">
        <v>686</v>
      </c>
      <c r="I36" s="27"/>
    </row>
    <row r="37" customFormat="false" ht="12.75" hidden="false" customHeight="true" outlineLevel="0" collapsed="false">
      <c r="B37" s="106" t="s">
        <v>685</v>
      </c>
      <c r="C37" s="107" t="s">
        <v>666</v>
      </c>
      <c r="D37" s="107" t="s">
        <v>309</v>
      </c>
      <c r="E37" s="108" t="s">
        <v>687</v>
      </c>
      <c r="F37" s="81" t="n">
        <v>1</v>
      </c>
      <c r="G37" s="107" t="s">
        <v>668</v>
      </c>
      <c r="H37" s="79" t="s">
        <v>686</v>
      </c>
      <c r="I37" s="22"/>
    </row>
    <row r="38" customFormat="false" ht="12.75" hidden="false" customHeight="true" outlineLevel="0" collapsed="false">
      <c r="B38" s="109" t="s">
        <v>685</v>
      </c>
      <c r="C38" s="110" t="s">
        <v>666</v>
      </c>
      <c r="D38" s="110" t="s">
        <v>309</v>
      </c>
      <c r="E38" s="111" t="s">
        <v>674</v>
      </c>
      <c r="F38" s="78" t="n">
        <v>1</v>
      </c>
      <c r="G38" s="110" t="s">
        <v>668</v>
      </c>
      <c r="H38" s="76" t="s">
        <v>686</v>
      </c>
      <c r="I38" s="27"/>
    </row>
    <row r="39" customFormat="false" ht="12.75" hidden="false" customHeight="true" outlineLevel="0" collapsed="false">
      <c r="B39" s="106" t="s">
        <v>685</v>
      </c>
      <c r="C39" s="107" t="s">
        <v>666</v>
      </c>
      <c r="D39" s="107" t="s">
        <v>309</v>
      </c>
      <c r="E39" s="108" t="s">
        <v>683</v>
      </c>
      <c r="F39" s="81" t="n">
        <v>2</v>
      </c>
      <c r="G39" s="107" t="s">
        <v>668</v>
      </c>
      <c r="H39" s="79" t="s">
        <v>686</v>
      </c>
      <c r="I39" s="22"/>
    </row>
    <row r="40" customFormat="false" ht="12.75" hidden="false" customHeight="true" outlineLevel="0" collapsed="false">
      <c r="B40" s="109" t="s">
        <v>688</v>
      </c>
      <c r="C40" s="110" t="s">
        <v>535</v>
      </c>
      <c r="D40" s="110" t="s">
        <v>280</v>
      </c>
      <c r="E40" s="111" t="s">
        <v>667</v>
      </c>
      <c r="F40" s="78" t="n">
        <v>1</v>
      </c>
      <c r="G40" s="110" t="s">
        <v>668</v>
      </c>
      <c r="H40" s="76" t="s">
        <v>689</v>
      </c>
      <c r="I40" s="27"/>
    </row>
    <row r="41" customFormat="false" ht="12.75" hidden="false" customHeight="true" outlineLevel="0" collapsed="false">
      <c r="B41" s="106" t="s">
        <v>690</v>
      </c>
      <c r="C41" s="107" t="s">
        <v>535</v>
      </c>
      <c r="D41" s="107" t="s">
        <v>280</v>
      </c>
      <c r="E41" s="108" t="s">
        <v>667</v>
      </c>
      <c r="F41" s="81" t="n">
        <v>1</v>
      </c>
      <c r="G41" s="107" t="s">
        <v>668</v>
      </c>
      <c r="H41" s="79" t="s">
        <v>691</v>
      </c>
      <c r="I41" s="22"/>
    </row>
    <row r="42" customFormat="false" ht="12.75" hidden="false" customHeight="true" outlineLevel="0" collapsed="false">
      <c r="B42" s="109" t="s">
        <v>692</v>
      </c>
      <c r="C42" s="110" t="s">
        <v>535</v>
      </c>
      <c r="D42" s="110" t="s">
        <v>280</v>
      </c>
      <c r="E42" s="111" t="s">
        <v>667</v>
      </c>
      <c r="F42" s="78" t="n">
        <v>1</v>
      </c>
      <c r="G42" s="110" t="s">
        <v>668</v>
      </c>
      <c r="H42" s="76" t="s">
        <v>693</v>
      </c>
      <c r="I42" s="27"/>
    </row>
    <row r="43" customFormat="false" ht="12.75" hidden="false" customHeight="true" outlineLevel="0" collapsed="false">
      <c r="B43" s="106" t="s">
        <v>694</v>
      </c>
      <c r="C43" s="107" t="s">
        <v>535</v>
      </c>
      <c r="D43" s="107" t="s">
        <v>110</v>
      </c>
      <c r="E43" s="108" t="s">
        <v>695</v>
      </c>
      <c r="F43" s="81" t="n">
        <v>1</v>
      </c>
      <c r="G43" s="107" t="s">
        <v>668</v>
      </c>
      <c r="H43" s="79" t="s">
        <v>696</v>
      </c>
      <c r="I43" s="22"/>
    </row>
    <row r="44" customFormat="false" ht="12.75" hidden="false" customHeight="true" outlineLevel="0" collapsed="false">
      <c r="B44" s="109" t="s">
        <v>697</v>
      </c>
      <c r="C44" s="110" t="s">
        <v>535</v>
      </c>
      <c r="D44" s="110" t="s">
        <v>167</v>
      </c>
      <c r="E44" s="27" t="s">
        <v>698</v>
      </c>
      <c r="F44" s="78" t="n">
        <v>1</v>
      </c>
      <c r="G44" s="110" t="s">
        <v>668</v>
      </c>
      <c r="H44" s="76" t="s">
        <v>699</v>
      </c>
      <c r="I44" s="27"/>
    </row>
    <row r="45" customFormat="false" ht="12.75" hidden="false" customHeight="true" outlineLevel="0" collapsed="false">
      <c r="B45" s="106" t="s">
        <v>700</v>
      </c>
      <c r="C45" s="107" t="s">
        <v>535</v>
      </c>
      <c r="D45" s="107" t="s">
        <v>265</v>
      </c>
      <c r="E45" s="108" t="s">
        <v>701</v>
      </c>
      <c r="F45" s="81" t="n">
        <v>1</v>
      </c>
      <c r="G45" s="107" t="s">
        <v>668</v>
      </c>
      <c r="H45" s="79" t="s">
        <v>702</v>
      </c>
      <c r="I45" s="22"/>
    </row>
    <row r="46" customFormat="false" ht="12.75" hidden="false" customHeight="true" outlineLevel="0" collapsed="false">
      <c r="B46" s="109" t="s">
        <v>700</v>
      </c>
      <c r="C46" s="110" t="s">
        <v>535</v>
      </c>
      <c r="D46" s="110" t="s">
        <v>280</v>
      </c>
      <c r="E46" s="111" t="s">
        <v>667</v>
      </c>
      <c r="F46" s="78" t="n">
        <v>1</v>
      </c>
      <c r="G46" s="110" t="s">
        <v>668</v>
      </c>
      <c r="H46" s="76" t="s">
        <v>703</v>
      </c>
      <c r="I46" s="27"/>
    </row>
    <row r="47" customFormat="false" ht="12.75" hidden="false" customHeight="true" outlineLevel="0" collapsed="false">
      <c r="B47" s="106" t="s">
        <v>704</v>
      </c>
      <c r="C47" s="107" t="s">
        <v>535</v>
      </c>
      <c r="D47" s="107" t="s">
        <v>280</v>
      </c>
      <c r="E47" s="108" t="s">
        <v>667</v>
      </c>
      <c r="F47" s="81" t="n">
        <v>1</v>
      </c>
      <c r="G47" s="107" t="s">
        <v>668</v>
      </c>
      <c r="H47" s="79" t="s">
        <v>705</v>
      </c>
      <c r="I47" s="22"/>
    </row>
    <row r="48" customFormat="false" ht="12.75" hidden="false" customHeight="true" outlineLevel="0" collapsed="false">
      <c r="B48" s="109" t="s">
        <v>706</v>
      </c>
      <c r="C48" s="110" t="s">
        <v>535</v>
      </c>
      <c r="D48" s="110" t="s">
        <v>73</v>
      </c>
      <c r="E48" s="111" t="s">
        <v>707</v>
      </c>
      <c r="F48" s="78" t="n">
        <v>1</v>
      </c>
      <c r="G48" s="110" t="s">
        <v>668</v>
      </c>
      <c r="H48" s="76" t="s">
        <v>708</v>
      </c>
      <c r="I48" s="27"/>
    </row>
    <row r="49" customFormat="false" ht="12.75" hidden="false" customHeight="true" outlineLevel="0" collapsed="false">
      <c r="B49" s="106" t="s">
        <v>706</v>
      </c>
      <c r="C49" s="107" t="s">
        <v>535</v>
      </c>
      <c r="D49" s="107" t="s">
        <v>167</v>
      </c>
      <c r="E49" s="22" t="s">
        <v>709</v>
      </c>
      <c r="F49" s="81" t="n">
        <v>2</v>
      </c>
      <c r="G49" s="107" t="s">
        <v>668</v>
      </c>
      <c r="H49" s="79" t="s">
        <v>710</v>
      </c>
      <c r="I49" s="22"/>
    </row>
    <row r="50" customFormat="false" ht="12.75" hidden="false" customHeight="true" outlineLevel="0" collapsed="false">
      <c r="B50" s="109" t="s">
        <v>711</v>
      </c>
      <c r="C50" s="110" t="s">
        <v>535</v>
      </c>
      <c r="D50" s="110" t="s">
        <v>280</v>
      </c>
      <c r="E50" s="111" t="s">
        <v>667</v>
      </c>
      <c r="F50" s="78" t="n">
        <v>1</v>
      </c>
      <c r="G50" s="110" t="s">
        <v>668</v>
      </c>
      <c r="H50" s="76" t="s">
        <v>712</v>
      </c>
      <c r="I50" s="27"/>
    </row>
    <row r="51" customFormat="false" ht="12.75" hidden="false" customHeight="true" outlineLevel="0" collapsed="false">
      <c r="B51" s="106" t="s">
        <v>713</v>
      </c>
      <c r="C51" s="107" t="s">
        <v>535</v>
      </c>
      <c r="D51" s="107" t="s">
        <v>73</v>
      </c>
      <c r="E51" s="108" t="s">
        <v>707</v>
      </c>
      <c r="F51" s="81" t="n">
        <v>1</v>
      </c>
      <c r="G51" s="107" t="s">
        <v>668</v>
      </c>
      <c r="H51" s="79" t="s">
        <v>714</v>
      </c>
      <c r="I51" s="22"/>
    </row>
    <row r="52" customFormat="false" ht="12.75" hidden="false" customHeight="true" outlineLevel="0" collapsed="false">
      <c r="B52" s="109" t="s">
        <v>713</v>
      </c>
      <c r="C52" s="110" t="s">
        <v>535</v>
      </c>
      <c r="D52" s="110" t="s">
        <v>73</v>
      </c>
      <c r="E52" s="111" t="s">
        <v>707</v>
      </c>
      <c r="F52" s="78" t="n">
        <v>1</v>
      </c>
      <c r="G52" s="110" t="s">
        <v>668</v>
      </c>
      <c r="H52" s="76" t="s">
        <v>715</v>
      </c>
      <c r="I52" s="27"/>
    </row>
    <row r="53" customFormat="false" ht="12.75" hidden="false" customHeight="true" outlineLevel="0" collapsed="false">
      <c r="B53" s="106" t="s">
        <v>713</v>
      </c>
      <c r="C53" s="107" t="s">
        <v>535</v>
      </c>
      <c r="D53" s="107" t="s">
        <v>167</v>
      </c>
      <c r="E53" s="22" t="s">
        <v>716</v>
      </c>
      <c r="F53" s="81" t="n">
        <v>2</v>
      </c>
      <c r="G53" s="107" t="s">
        <v>668</v>
      </c>
      <c r="H53" s="79" t="s">
        <v>715</v>
      </c>
      <c r="I53" s="22"/>
    </row>
    <row r="54" customFormat="false" ht="12.75" hidden="false" customHeight="true" outlineLevel="0" collapsed="false">
      <c r="B54" s="109" t="s">
        <v>685</v>
      </c>
      <c r="C54" s="110" t="s">
        <v>535</v>
      </c>
      <c r="D54" s="110" t="s">
        <v>280</v>
      </c>
      <c r="E54" s="111" t="s">
        <v>667</v>
      </c>
      <c r="F54" s="78" t="n">
        <v>1</v>
      </c>
      <c r="G54" s="110" t="s">
        <v>668</v>
      </c>
      <c r="H54" s="76" t="s">
        <v>717</v>
      </c>
      <c r="I54" s="27"/>
    </row>
    <row r="55" customFormat="false" ht="12.75" hidden="false" customHeight="true" outlineLevel="0" collapsed="false">
      <c r="B55" s="106" t="s">
        <v>718</v>
      </c>
      <c r="C55" s="107" t="s">
        <v>719</v>
      </c>
      <c r="D55" s="107" t="s">
        <v>280</v>
      </c>
      <c r="E55" s="108" t="s">
        <v>667</v>
      </c>
      <c r="F55" s="81" t="n">
        <v>1</v>
      </c>
      <c r="G55" s="107" t="s">
        <v>668</v>
      </c>
      <c r="H55" s="79" t="s">
        <v>720</v>
      </c>
      <c r="I55" s="22"/>
    </row>
    <row r="56" customFormat="false" ht="12.75" hidden="false" customHeight="true" outlineLevel="0" collapsed="false">
      <c r="B56" s="109" t="s">
        <v>718</v>
      </c>
      <c r="C56" s="110" t="s">
        <v>719</v>
      </c>
      <c r="D56" s="110" t="s">
        <v>377</v>
      </c>
      <c r="E56" s="111" t="s">
        <v>671</v>
      </c>
      <c r="F56" s="78" t="n">
        <v>1</v>
      </c>
      <c r="G56" s="110" t="s">
        <v>668</v>
      </c>
      <c r="H56" s="76" t="s">
        <v>720</v>
      </c>
      <c r="I56" s="27"/>
    </row>
    <row r="57" customFormat="false" ht="12.75" hidden="false" customHeight="true" outlineLevel="0" collapsed="false">
      <c r="B57" s="106" t="s">
        <v>718</v>
      </c>
      <c r="C57" s="107" t="s">
        <v>719</v>
      </c>
      <c r="D57" s="107" t="s">
        <v>394</v>
      </c>
      <c r="E57" s="108" t="s">
        <v>721</v>
      </c>
      <c r="F57" s="81" t="n">
        <v>1</v>
      </c>
      <c r="G57" s="107" t="s">
        <v>668</v>
      </c>
      <c r="H57" s="79" t="s">
        <v>720</v>
      </c>
      <c r="I57" s="22"/>
    </row>
    <row r="58" customFormat="false" ht="12.75" hidden="false" customHeight="true" outlineLevel="0" collapsed="false">
      <c r="B58" s="109" t="s">
        <v>718</v>
      </c>
      <c r="C58" s="110" t="s">
        <v>719</v>
      </c>
      <c r="D58" s="110" t="s">
        <v>154</v>
      </c>
      <c r="E58" s="111" t="s">
        <v>722</v>
      </c>
      <c r="F58" s="78" t="n">
        <v>1</v>
      </c>
      <c r="G58" s="110" t="s">
        <v>668</v>
      </c>
      <c r="H58" s="76" t="s">
        <v>720</v>
      </c>
      <c r="I58" s="27"/>
    </row>
    <row r="59" customFormat="false" ht="12.75" hidden="false" customHeight="true" outlineLevel="0" collapsed="false">
      <c r="B59" s="106" t="s">
        <v>718</v>
      </c>
      <c r="C59" s="107" t="s">
        <v>719</v>
      </c>
      <c r="D59" s="107" t="s">
        <v>154</v>
      </c>
      <c r="E59" s="108" t="s">
        <v>723</v>
      </c>
      <c r="F59" s="81" t="n">
        <v>1</v>
      </c>
      <c r="G59" s="107" t="s">
        <v>668</v>
      </c>
      <c r="H59" s="79" t="s">
        <v>724</v>
      </c>
      <c r="I59" s="22"/>
    </row>
    <row r="60" customFormat="false" ht="12.75" hidden="false" customHeight="true" outlineLevel="0" collapsed="false">
      <c r="B60" s="109" t="s">
        <v>718</v>
      </c>
      <c r="C60" s="110" t="s">
        <v>719</v>
      </c>
      <c r="D60" s="110" t="s">
        <v>280</v>
      </c>
      <c r="E60" s="111" t="s">
        <v>725</v>
      </c>
      <c r="F60" s="78" t="n">
        <v>1</v>
      </c>
      <c r="G60" s="110" t="s">
        <v>668</v>
      </c>
      <c r="H60" s="76" t="s">
        <v>724</v>
      </c>
      <c r="I60" s="27"/>
    </row>
    <row r="61" customFormat="false" ht="12.75" hidden="false" customHeight="true" outlineLevel="0" collapsed="false">
      <c r="B61" s="106" t="s">
        <v>718</v>
      </c>
      <c r="C61" s="107" t="s">
        <v>719</v>
      </c>
      <c r="D61" s="107" t="s">
        <v>394</v>
      </c>
      <c r="E61" s="108" t="s">
        <v>726</v>
      </c>
      <c r="F61" s="81" t="n">
        <v>1</v>
      </c>
      <c r="G61" s="107" t="s">
        <v>668</v>
      </c>
      <c r="H61" s="79" t="s">
        <v>724</v>
      </c>
      <c r="I61" s="22"/>
    </row>
    <row r="62" customFormat="false" ht="12.75" hidden="false" customHeight="true" outlineLevel="0" collapsed="false">
      <c r="B62" s="109" t="s">
        <v>718</v>
      </c>
      <c r="C62" s="110" t="s">
        <v>719</v>
      </c>
      <c r="D62" s="110" t="s">
        <v>377</v>
      </c>
      <c r="E62" s="111" t="s">
        <v>727</v>
      </c>
      <c r="F62" s="78" t="n">
        <v>1</v>
      </c>
      <c r="G62" s="110" t="s">
        <v>668</v>
      </c>
      <c r="H62" s="76" t="s">
        <v>724</v>
      </c>
      <c r="I62" s="27"/>
    </row>
    <row r="63" customFormat="false" ht="12.75" hidden="false" customHeight="true" outlineLevel="0" collapsed="false">
      <c r="B63" s="106" t="s">
        <v>718</v>
      </c>
      <c r="C63" s="107" t="s">
        <v>719</v>
      </c>
      <c r="D63" s="107" t="s">
        <v>154</v>
      </c>
      <c r="E63" s="108" t="s">
        <v>722</v>
      </c>
      <c r="F63" s="81" t="n">
        <v>1</v>
      </c>
      <c r="G63" s="107" t="s">
        <v>668</v>
      </c>
      <c r="H63" s="79" t="s">
        <v>728</v>
      </c>
      <c r="I63" s="22"/>
    </row>
    <row r="64" customFormat="false" ht="12.75" hidden="false" customHeight="true" outlineLevel="0" collapsed="false">
      <c r="B64" s="109" t="s">
        <v>718</v>
      </c>
      <c r="C64" s="110" t="s">
        <v>719</v>
      </c>
      <c r="D64" s="110" t="s">
        <v>280</v>
      </c>
      <c r="E64" s="111" t="s">
        <v>725</v>
      </c>
      <c r="F64" s="78" t="n">
        <v>1</v>
      </c>
      <c r="G64" s="110" t="s">
        <v>668</v>
      </c>
      <c r="H64" s="76" t="s">
        <v>729</v>
      </c>
      <c r="I64" s="27"/>
    </row>
    <row r="65" customFormat="false" ht="12.75" hidden="false" customHeight="true" outlineLevel="0" collapsed="false">
      <c r="B65" s="106" t="s">
        <v>718</v>
      </c>
      <c r="C65" s="107" t="s">
        <v>719</v>
      </c>
      <c r="D65" s="107" t="s">
        <v>377</v>
      </c>
      <c r="E65" s="108" t="s">
        <v>727</v>
      </c>
      <c r="F65" s="81" t="n">
        <v>1</v>
      </c>
      <c r="G65" s="107" t="s">
        <v>668</v>
      </c>
      <c r="H65" s="79" t="s">
        <v>729</v>
      </c>
      <c r="I65" s="22"/>
    </row>
    <row r="66" customFormat="false" ht="12.75" hidden="false" customHeight="true" outlineLevel="0" collapsed="false">
      <c r="B66" s="109" t="s">
        <v>718</v>
      </c>
      <c r="C66" s="110" t="s">
        <v>719</v>
      </c>
      <c r="D66" s="110" t="s">
        <v>394</v>
      </c>
      <c r="E66" s="111" t="s">
        <v>726</v>
      </c>
      <c r="F66" s="78" t="n">
        <v>1</v>
      </c>
      <c r="G66" s="110" t="s">
        <v>668</v>
      </c>
      <c r="H66" s="76" t="s">
        <v>729</v>
      </c>
      <c r="I66" s="27"/>
    </row>
    <row r="67" customFormat="false" ht="12.75" hidden="false" customHeight="true" outlineLevel="0" collapsed="false">
      <c r="B67" s="106" t="s">
        <v>718</v>
      </c>
      <c r="C67" s="107" t="s">
        <v>719</v>
      </c>
      <c r="D67" s="107" t="s">
        <v>377</v>
      </c>
      <c r="E67" s="108" t="s">
        <v>671</v>
      </c>
      <c r="F67" s="81" t="n">
        <v>1</v>
      </c>
      <c r="G67" s="107" t="s">
        <v>668</v>
      </c>
      <c r="H67" s="79" t="s">
        <v>730</v>
      </c>
      <c r="I67" s="22"/>
    </row>
    <row r="68" customFormat="false" ht="12.75" hidden="false" customHeight="true" outlineLevel="0" collapsed="false">
      <c r="B68" s="109" t="s">
        <v>718</v>
      </c>
      <c r="C68" s="110" t="s">
        <v>719</v>
      </c>
      <c r="D68" s="110" t="s">
        <v>394</v>
      </c>
      <c r="E68" s="111" t="s">
        <v>721</v>
      </c>
      <c r="F68" s="78" t="n">
        <v>1</v>
      </c>
      <c r="G68" s="110" t="s">
        <v>668</v>
      </c>
      <c r="H68" s="76" t="s">
        <v>730</v>
      </c>
      <c r="I68" s="27"/>
    </row>
    <row r="69" customFormat="false" ht="12.75" hidden="false" customHeight="true" outlineLevel="0" collapsed="false">
      <c r="B69" s="106" t="s">
        <v>718</v>
      </c>
      <c r="C69" s="107" t="s">
        <v>719</v>
      </c>
      <c r="D69" s="107" t="s">
        <v>280</v>
      </c>
      <c r="E69" s="108" t="s">
        <v>667</v>
      </c>
      <c r="F69" s="81" t="n">
        <v>1</v>
      </c>
      <c r="G69" s="107" t="s">
        <v>668</v>
      </c>
      <c r="H69" s="79" t="s">
        <v>730</v>
      </c>
      <c r="I69" s="22"/>
    </row>
    <row r="70" customFormat="false" ht="12.75" hidden="false" customHeight="true" outlineLevel="0" collapsed="false">
      <c r="B70" s="109" t="s">
        <v>688</v>
      </c>
      <c r="C70" s="110" t="s">
        <v>719</v>
      </c>
      <c r="D70" s="110" t="s">
        <v>154</v>
      </c>
      <c r="E70" s="111" t="s">
        <v>731</v>
      </c>
      <c r="F70" s="78" t="n">
        <v>1</v>
      </c>
      <c r="G70" s="110" t="s">
        <v>668</v>
      </c>
      <c r="H70" s="76" t="s">
        <v>732</v>
      </c>
      <c r="I70" s="27"/>
    </row>
    <row r="71" customFormat="false" ht="12.75" hidden="false" customHeight="true" outlineLevel="0" collapsed="false">
      <c r="B71" s="106" t="s">
        <v>688</v>
      </c>
      <c r="C71" s="107" t="s">
        <v>719</v>
      </c>
      <c r="D71" s="107" t="s">
        <v>110</v>
      </c>
      <c r="E71" s="108" t="s">
        <v>733</v>
      </c>
      <c r="F71" s="81" t="n">
        <v>1</v>
      </c>
      <c r="G71" s="107" t="s">
        <v>668</v>
      </c>
      <c r="H71" s="79" t="s">
        <v>734</v>
      </c>
      <c r="I71" s="22"/>
    </row>
    <row r="72" customFormat="false" ht="12.75" hidden="false" customHeight="true" outlineLevel="0" collapsed="false">
      <c r="B72" s="109" t="s">
        <v>688</v>
      </c>
      <c r="C72" s="110" t="s">
        <v>719</v>
      </c>
      <c r="D72" s="110" t="s">
        <v>377</v>
      </c>
      <c r="E72" s="111" t="s">
        <v>680</v>
      </c>
      <c r="F72" s="78" t="n">
        <v>1</v>
      </c>
      <c r="G72" s="110" t="s">
        <v>668</v>
      </c>
      <c r="H72" s="76" t="s">
        <v>734</v>
      </c>
      <c r="I72" s="27"/>
    </row>
    <row r="73" customFormat="false" ht="12.75" hidden="false" customHeight="true" outlineLevel="0" collapsed="false">
      <c r="B73" s="106" t="s">
        <v>688</v>
      </c>
      <c r="C73" s="107" t="s">
        <v>719</v>
      </c>
      <c r="D73" s="107" t="s">
        <v>394</v>
      </c>
      <c r="E73" s="108" t="s">
        <v>735</v>
      </c>
      <c r="F73" s="81" t="n">
        <v>1</v>
      </c>
      <c r="G73" s="107" t="s">
        <v>668</v>
      </c>
      <c r="H73" s="79" t="s">
        <v>734</v>
      </c>
      <c r="I73" s="22"/>
    </row>
    <row r="74" customFormat="false" ht="12.75" hidden="false" customHeight="true" outlineLevel="0" collapsed="false">
      <c r="B74" s="109" t="s">
        <v>688</v>
      </c>
      <c r="C74" s="110" t="s">
        <v>719</v>
      </c>
      <c r="D74" s="110" t="s">
        <v>280</v>
      </c>
      <c r="E74" s="111" t="s">
        <v>667</v>
      </c>
      <c r="F74" s="78" t="n">
        <v>1</v>
      </c>
      <c r="G74" s="110" t="s">
        <v>668</v>
      </c>
      <c r="H74" s="76" t="s">
        <v>736</v>
      </c>
      <c r="I74" s="27"/>
    </row>
    <row r="75" customFormat="false" ht="12.75" hidden="false" customHeight="true" outlineLevel="0" collapsed="false">
      <c r="B75" s="106" t="s">
        <v>688</v>
      </c>
      <c r="C75" s="107" t="s">
        <v>719</v>
      </c>
      <c r="D75" s="107" t="s">
        <v>377</v>
      </c>
      <c r="E75" s="108" t="s">
        <v>671</v>
      </c>
      <c r="F75" s="81" t="n">
        <v>1</v>
      </c>
      <c r="G75" s="107" t="s">
        <v>668</v>
      </c>
      <c r="H75" s="79" t="s">
        <v>736</v>
      </c>
      <c r="I75" s="22"/>
    </row>
    <row r="76" customFormat="false" ht="12.75" hidden="false" customHeight="true" outlineLevel="0" collapsed="false">
      <c r="B76" s="109" t="s">
        <v>688</v>
      </c>
      <c r="C76" s="110" t="s">
        <v>719</v>
      </c>
      <c r="D76" s="110" t="s">
        <v>394</v>
      </c>
      <c r="E76" s="111" t="s">
        <v>721</v>
      </c>
      <c r="F76" s="78" t="n">
        <v>1</v>
      </c>
      <c r="G76" s="110" t="s">
        <v>668</v>
      </c>
      <c r="H76" s="76" t="s">
        <v>736</v>
      </c>
      <c r="I76" s="27"/>
    </row>
    <row r="77" customFormat="false" ht="12.75" hidden="false" customHeight="true" outlineLevel="0" collapsed="false">
      <c r="B77" s="106" t="s">
        <v>688</v>
      </c>
      <c r="C77" s="107" t="s">
        <v>719</v>
      </c>
      <c r="D77" s="107" t="s">
        <v>154</v>
      </c>
      <c r="E77" s="108" t="s">
        <v>731</v>
      </c>
      <c r="F77" s="81" t="n">
        <v>1</v>
      </c>
      <c r="G77" s="107" t="s">
        <v>668</v>
      </c>
      <c r="H77" s="79" t="s">
        <v>736</v>
      </c>
      <c r="I77" s="22"/>
    </row>
    <row r="78" customFormat="false" ht="12.75" hidden="false" customHeight="true" outlineLevel="0" collapsed="false">
      <c r="B78" s="109" t="s">
        <v>690</v>
      </c>
      <c r="C78" s="110" t="s">
        <v>719</v>
      </c>
      <c r="D78" s="110" t="s">
        <v>154</v>
      </c>
      <c r="E78" s="111" t="s">
        <v>723</v>
      </c>
      <c r="F78" s="78" t="n">
        <v>1</v>
      </c>
      <c r="G78" s="110" t="s">
        <v>668</v>
      </c>
      <c r="H78" s="76" t="s">
        <v>737</v>
      </c>
      <c r="I78" s="27"/>
    </row>
    <row r="79" customFormat="false" ht="12.75" hidden="false" customHeight="true" outlineLevel="0" collapsed="false">
      <c r="B79" s="106" t="s">
        <v>690</v>
      </c>
      <c r="C79" s="107" t="s">
        <v>719</v>
      </c>
      <c r="D79" s="107" t="s">
        <v>280</v>
      </c>
      <c r="E79" s="108" t="s">
        <v>725</v>
      </c>
      <c r="F79" s="81" t="n">
        <v>1</v>
      </c>
      <c r="G79" s="107" t="s">
        <v>668</v>
      </c>
      <c r="H79" s="79" t="s">
        <v>737</v>
      </c>
      <c r="I79" s="22"/>
    </row>
    <row r="80" customFormat="false" ht="12.75" hidden="false" customHeight="true" outlineLevel="0" collapsed="false">
      <c r="B80" s="109" t="s">
        <v>690</v>
      </c>
      <c r="C80" s="110" t="s">
        <v>719</v>
      </c>
      <c r="D80" s="110" t="s">
        <v>377</v>
      </c>
      <c r="E80" s="111" t="s">
        <v>727</v>
      </c>
      <c r="F80" s="78" t="n">
        <v>1</v>
      </c>
      <c r="G80" s="110" t="s">
        <v>668</v>
      </c>
      <c r="H80" s="76" t="s">
        <v>737</v>
      </c>
      <c r="I80" s="27"/>
    </row>
    <row r="81" customFormat="false" ht="12.75" hidden="false" customHeight="true" outlineLevel="0" collapsed="false">
      <c r="B81" s="106" t="s">
        <v>690</v>
      </c>
      <c r="C81" s="107" t="s">
        <v>719</v>
      </c>
      <c r="D81" s="107" t="s">
        <v>394</v>
      </c>
      <c r="E81" s="108" t="s">
        <v>726</v>
      </c>
      <c r="F81" s="81" t="n">
        <v>1</v>
      </c>
      <c r="G81" s="107" t="s">
        <v>668</v>
      </c>
      <c r="H81" s="79" t="s">
        <v>737</v>
      </c>
      <c r="I81" s="22"/>
    </row>
    <row r="82" customFormat="false" ht="12.75" hidden="false" customHeight="true" outlineLevel="0" collapsed="false">
      <c r="B82" s="109" t="s">
        <v>690</v>
      </c>
      <c r="C82" s="110" t="s">
        <v>719</v>
      </c>
      <c r="D82" s="110" t="s">
        <v>154</v>
      </c>
      <c r="E82" s="111" t="s">
        <v>722</v>
      </c>
      <c r="F82" s="78" t="n">
        <v>1</v>
      </c>
      <c r="G82" s="110" t="s">
        <v>668</v>
      </c>
      <c r="H82" s="76" t="s">
        <v>738</v>
      </c>
      <c r="I82" s="27"/>
    </row>
    <row r="83" customFormat="false" ht="12.75" hidden="false" customHeight="true" outlineLevel="0" collapsed="false">
      <c r="B83" s="106" t="s">
        <v>690</v>
      </c>
      <c r="C83" s="107" t="s">
        <v>719</v>
      </c>
      <c r="D83" s="107" t="s">
        <v>280</v>
      </c>
      <c r="E83" s="108" t="s">
        <v>725</v>
      </c>
      <c r="F83" s="81" t="n">
        <v>1</v>
      </c>
      <c r="G83" s="107" t="s">
        <v>668</v>
      </c>
      <c r="H83" s="79" t="s">
        <v>738</v>
      </c>
      <c r="I83" s="22"/>
    </row>
    <row r="84" customFormat="false" ht="12.75" hidden="false" customHeight="true" outlineLevel="0" collapsed="false">
      <c r="B84" s="109" t="s">
        <v>690</v>
      </c>
      <c r="C84" s="110" t="s">
        <v>719</v>
      </c>
      <c r="D84" s="110" t="s">
        <v>394</v>
      </c>
      <c r="E84" s="111" t="s">
        <v>726</v>
      </c>
      <c r="F84" s="78" t="n">
        <v>1</v>
      </c>
      <c r="G84" s="110" t="s">
        <v>668</v>
      </c>
      <c r="H84" s="76" t="s">
        <v>738</v>
      </c>
      <c r="I84" s="27"/>
    </row>
    <row r="85" customFormat="false" ht="12.75" hidden="false" customHeight="true" outlineLevel="0" collapsed="false">
      <c r="B85" s="106" t="s">
        <v>690</v>
      </c>
      <c r="C85" s="107" t="s">
        <v>719</v>
      </c>
      <c r="D85" s="107" t="s">
        <v>377</v>
      </c>
      <c r="E85" s="108" t="s">
        <v>727</v>
      </c>
      <c r="F85" s="81" t="n">
        <v>1</v>
      </c>
      <c r="G85" s="107" t="s">
        <v>668</v>
      </c>
      <c r="H85" s="79" t="s">
        <v>738</v>
      </c>
      <c r="I85" s="22"/>
    </row>
    <row r="86" customFormat="false" ht="12.75" hidden="false" customHeight="true" outlineLevel="0" collapsed="false">
      <c r="B86" s="109" t="s">
        <v>739</v>
      </c>
      <c r="C86" s="110" t="s">
        <v>719</v>
      </c>
      <c r="D86" s="110" t="s">
        <v>154</v>
      </c>
      <c r="E86" s="111" t="s">
        <v>740</v>
      </c>
      <c r="F86" s="78" t="n">
        <v>1</v>
      </c>
      <c r="G86" s="110" t="s">
        <v>668</v>
      </c>
      <c r="H86" s="76" t="s">
        <v>741</v>
      </c>
      <c r="I86" s="27"/>
    </row>
    <row r="87" customFormat="false" ht="12.75" hidden="false" customHeight="true" outlineLevel="0" collapsed="false">
      <c r="B87" s="106" t="s">
        <v>739</v>
      </c>
      <c r="C87" s="107" t="s">
        <v>719</v>
      </c>
      <c r="D87" s="107" t="s">
        <v>377</v>
      </c>
      <c r="E87" s="108" t="s">
        <v>671</v>
      </c>
      <c r="F87" s="81" t="n">
        <v>1</v>
      </c>
      <c r="G87" s="107" t="s">
        <v>668</v>
      </c>
      <c r="H87" s="79" t="s">
        <v>742</v>
      </c>
      <c r="I87" s="22"/>
    </row>
    <row r="88" customFormat="false" ht="12.75" hidden="false" customHeight="true" outlineLevel="0" collapsed="false">
      <c r="B88" s="109" t="s">
        <v>739</v>
      </c>
      <c r="C88" s="110" t="s">
        <v>719</v>
      </c>
      <c r="D88" s="110" t="s">
        <v>377</v>
      </c>
      <c r="E88" s="111" t="s">
        <v>727</v>
      </c>
      <c r="F88" s="78" t="n">
        <v>1</v>
      </c>
      <c r="G88" s="110" t="s">
        <v>668</v>
      </c>
      <c r="H88" s="76" t="s">
        <v>741</v>
      </c>
      <c r="I88" s="27"/>
    </row>
    <row r="89" customFormat="false" ht="12.75" hidden="false" customHeight="true" outlineLevel="0" collapsed="false">
      <c r="B89" s="106" t="s">
        <v>700</v>
      </c>
      <c r="C89" s="107" t="s">
        <v>719</v>
      </c>
      <c r="D89" s="107" t="s">
        <v>280</v>
      </c>
      <c r="E89" s="108" t="s">
        <v>743</v>
      </c>
      <c r="F89" s="81" t="n">
        <v>1</v>
      </c>
      <c r="G89" s="107" t="s">
        <v>668</v>
      </c>
      <c r="H89" s="79" t="s">
        <v>744</v>
      </c>
      <c r="I89" s="22"/>
    </row>
    <row r="90" customFormat="false" ht="12.75" hidden="false" customHeight="true" outlineLevel="0" collapsed="false">
      <c r="B90" s="109" t="s">
        <v>700</v>
      </c>
      <c r="C90" s="110" t="s">
        <v>719</v>
      </c>
      <c r="D90" s="110" t="s">
        <v>394</v>
      </c>
      <c r="E90" s="111" t="s">
        <v>726</v>
      </c>
      <c r="F90" s="78" t="n">
        <v>1</v>
      </c>
      <c r="G90" s="110" t="s">
        <v>668</v>
      </c>
      <c r="H90" s="76" t="s">
        <v>744</v>
      </c>
      <c r="I90" s="27"/>
    </row>
    <row r="91" customFormat="false" ht="12.75" hidden="false" customHeight="true" outlineLevel="0" collapsed="false">
      <c r="B91" s="106" t="s">
        <v>700</v>
      </c>
      <c r="C91" s="107" t="s">
        <v>719</v>
      </c>
      <c r="D91" s="107" t="s">
        <v>377</v>
      </c>
      <c r="E91" s="108" t="s">
        <v>727</v>
      </c>
      <c r="F91" s="81" t="n">
        <v>1</v>
      </c>
      <c r="G91" s="107" t="s">
        <v>668</v>
      </c>
      <c r="H91" s="79" t="s">
        <v>744</v>
      </c>
      <c r="I91" s="22"/>
    </row>
    <row r="92" customFormat="false" ht="12.75" hidden="false" customHeight="true" outlineLevel="0" collapsed="false">
      <c r="B92" s="109" t="s">
        <v>700</v>
      </c>
      <c r="C92" s="110" t="s">
        <v>719</v>
      </c>
      <c r="D92" s="110" t="s">
        <v>154</v>
      </c>
      <c r="E92" s="111" t="s">
        <v>723</v>
      </c>
      <c r="F92" s="78" t="n">
        <v>1</v>
      </c>
      <c r="G92" s="110" t="s">
        <v>668</v>
      </c>
      <c r="H92" s="76" t="s">
        <v>744</v>
      </c>
      <c r="I92" s="27"/>
    </row>
    <row r="93" customFormat="false" ht="12.75" hidden="false" customHeight="true" outlineLevel="0" collapsed="false">
      <c r="B93" s="106" t="s">
        <v>700</v>
      </c>
      <c r="C93" s="107" t="s">
        <v>719</v>
      </c>
      <c r="D93" s="107" t="s">
        <v>167</v>
      </c>
      <c r="E93" s="22" t="s">
        <v>709</v>
      </c>
      <c r="F93" s="81" t="n">
        <v>2</v>
      </c>
      <c r="G93" s="107" t="s">
        <v>668</v>
      </c>
      <c r="H93" s="79" t="s">
        <v>744</v>
      </c>
      <c r="I93" s="22"/>
    </row>
    <row r="94" customFormat="false" ht="12.75" hidden="false" customHeight="true" outlineLevel="0" collapsed="false">
      <c r="B94" s="109" t="s">
        <v>700</v>
      </c>
      <c r="C94" s="110" t="s">
        <v>719</v>
      </c>
      <c r="D94" s="110" t="s">
        <v>73</v>
      </c>
      <c r="E94" s="111" t="s">
        <v>707</v>
      </c>
      <c r="F94" s="78" t="n">
        <v>1</v>
      </c>
      <c r="G94" s="110" t="s">
        <v>668</v>
      </c>
      <c r="H94" s="76" t="s">
        <v>744</v>
      </c>
      <c r="I94" s="27"/>
    </row>
    <row r="95" customFormat="false" ht="12.75" hidden="false" customHeight="true" outlineLevel="0" collapsed="false">
      <c r="B95" s="106" t="s">
        <v>704</v>
      </c>
      <c r="C95" s="107" t="s">
        <v>719</v>
      </c>
      <c r="D95" s="107" t="s">
        <v>377</v>
      </c>
      <c r="E95" s="108" t="s">
        <v>680</v>
      </c>
      <c r="F95" s="81" t="n">
        <v>1</v>
      </c>
      <c r="G95" s="107" t="s">
        <v>668</v>
      </c>
      <c r="H95" s="79" t="s">
        <v>745</v>
      </c>
      <c r="I95" s="22"/>
    </row>
    <row r="96" customFormat="false" ht="12.75" hidden="false" customHeight="true" outlineLevel="0" collapsed="false">
      <c r="B96" s="109" t="s">
        <v>704</v>
      </c>
      <c r="C96" s="110" t="s">
        <v>719</v>
      </c>
      <c r="D96" s="110" t="s">
        <v>154</v>
      </c>
      <c r="E96" s="111" t="s">
        <v>722</v>
      </c>
      <c r="F96" s="78" t="n">
        <v>1</v>
      </c>
      <c r="G96" s="110" t="s">
        <v>668</v>
      </c>
      <c r="H96" s="76" t="s">
        <v>746</v>
      </c>
      <c r="I96" s="27"/>
    </row>
    <row r="97" customFormat="false" ht="12.75" hidden="false" customHeight="true" outlineLevel="0" collapsed="false">
      <c r="B97" s="106" t="s">
        <v>704</v>
      </c>
      <c r="C97" s="107" t="s">
        <v>719</v>
      </c>
      <c r="D97" s="107" t="s">
        <v>167</v>
      </c>
      <c r="E97" s="22" t="s">
        <v>716</v>
      </c>
      <c r="F97" s="81" t="n">
        <v>2</v>
      </c>
      <c r="G97" s="107" t="s">
        <v>668</v>
      </c>
      <c r="H97" s="79" t="s">
        <v>746</v>
      </c>
      <c r="I97" s="22"/>
    </row>
    <row r="98" customFormat="false" ht="12.75" hidden="false" customHeight="true" outlineLevel="0" collapsed="false">
      <c r="B98" s="109" t="s">
        <v>704</v>
      </c>
      <c r="C98" s="110" t="s">
        <v>719</v>
      </c>
      <c r="D98" s="110" t="s">
        <v>73</v>
      </c>
      <c r="E98" s="111" t="s">
        <v>707</v>
      </c>
      <c r="F98" s="78" t="n">
        <v>1</v>
      </c>
      <c r="G98" s="110" t="s">
        <v>668</v>
      </c>
      <c r="H98" s="76" t="s">
        <v>746</v>
      </c>
      <c r="I98" s="27"/>
    </row>
    <row r="99" customFormat="false" ht="12.75" hidden="false" customHeight="true" outlineLevel="0" collapsed="false">
      <c r="B99" s="106" t="s">
        <v>704</v>
      </c>
      <c r="C99" s="107" t="s">
        <v>719</v>
      </c>
      <c r="D99" s="107" t="s">
        <v>280</v>
      </c>
      <c r="E99" s="108" t="s">
        <v>743</v>
      </c>
      <c r="F99" s="81" t="n">
        <v>1</v>
      </c>
      <c r="G99" s="107" t="s">
        <v>668</v>
      </c>
      <c r="H99" s="79" t="s">
        <v>746</v>
      </c>
      <c r="I99" s="22"/>
    </row>
    <row r="100" customFormat="false" ht="12.75" hidden="false" customHeight="true" outlineLevel="0" collapsed="false">
      <c r="B100" s="109" t="s">
        <v>704</v>
      </c>
      <c r="C100" s="110" t="s">
        <v>719</v>
      </c>
      <c r="D100" s="110" t="s">
        <v>377</v>
      </c>
      <c r="E100" s="111" t="s">
        <v>727</v>
      </c>
      <c r="F100" s="78" t="n">
        <v>1</v>
      </c>
      <c r="G100" s="110" t="s">
        <v>668</v>
      </c>
      <c r="H100" s="76" t="s">
        <v>746</v>
      </c>
      <c r="I100" s="27"/>
    </row>
    <row r="101" customFormat="false" ht="12.75" hidden="false" customHeight="true" outlineLevel="0" collapsed="false">
      <c r="B101" s="106" t="s">
        <v>704</v>
      </c>
      <c r="C101" s="107" t="s">
        <v>719</v>
      </c>
      <c r="D101" s="107" t="s">
        <v>394</v>
      </c>
      <c r="E101" s="108" t="s">
        <v>726</v>
      </c>
      <c r="F101" s="81" t="n">
        <v>1</v>
      </c>
      <c r="G101" s="107" t="s">
        <v>668</v>
      </c>
      <c r="H101" s="79" t="s">
        <v>746</v>
      </c>
      <c r="I101" s="22"/>
    </row>
    <row r="102" customFormat="false" ht="12.75" hidden="false" customHeight="true" outlineLevel="0" collapsed="false">
      <c r="B102" s="109" t="s">
        <v>665</v>
      </c>
      <c r="C102" s="110" t="s">
        <v>719</v>
      </c>
      <c r="D102" s="110" t="s">
        <v>154</v>
      </c>
      <c r="E102" s="111" t="s">
        <v>747</v>
      </c>
      <c r="F102" s="78" t="n">
        <v>1</v>
      </c>
      <c r="G102" s="110" t="s">
        <v>668</v>
      </c>
      <c r="H102" s="76" t="s">
        <v>748</v>
      </c>
      <c r="I102" s="27"/>
    </row>
    <row r="103" customFormat="false" ht="12.75" hidden="false" customHeight="true" outlineLevel="0" collapsed="false">
      <c r="B103" s="106" t="s">
        <v>665</v>
      </c>
      <c r="C103" s="107" t="s">
        <v>719</v>
      </c>
      <c r="D103" s="107" t="s">
        <v>167</v>
      </c>
      <c r="E103" s="22" t="s">
        <v>709</v>
      </c>
      <c r="F103" s="81" t="n">
        <v>2</v>
      </c>
      <c r="G103" s="107" t="s">
        <v>668</v>
      </c>
      <c r="H103" s="79" t="s">
        <v>748</v>
      </c>
      <c r="I103" s="22"/>
    </row>
    <row r="104" customFormat="false" ht="12.75" hidden="false" customHeight="true" outlineLevel="0" collapsed="false">
      <c r="B104" s="109" t="s">
        <v>665</v>
      </c>
      <c r="C104" s="110" t="s">
        <v>719</v>
      </c>
      <c r="D104" s="110" t="s">
        <v>73</v>
      </c>
      <c r="E104" s="111" t="s">
        <v>707</v>
      </c>
      <c r="F104" s="78" t="n">
        <v>1</v>
      </c>
      <c r="G104" s="110" t="s">
        <v>668</v>
      </c>
      <c r="H104" s="76" t="s">
        <v>748</v>
      </c>
      <c r="I104" s="27"/>
    </row>
    <row r="105" customFormat="false" ht="12.75" hidden="false" customHeight="true" outlineLevel="0" collapsed="false">
      <c r="B105" s="106" t="s">
        <v>749</v>
      </c>
      <c r="C105" s="107" t="s">
        <v>719</v>
      </c>
      <c r="D105" s="107" t="s">
        <v>280</v>
      </c>
      <c r="E105" s="108" t="s">
        <v>667</v>
      </c>
      <c r="F105" s="81" t="n">
        <v>1</v>
      </c>
      <c r="G105" s="107" t="s">
        <v>668</v>
      </c>
      <c r="H105" s="79" t="s">
        <v>750</v>
      </c>
      <c r="I105" s="22"/>
    </row>
    <row r="106" customFormat="false" ht="12.75" hidden="false" customHeight="true" outlineLevel="0" collapsed="false">
      <c r="B106" s="109" t="s">
        <v>749</v>
      </c>
      <c r="C106" s="110" t="s">
        <v>719</v>
      </c>
      <c r="D106" s="110" t="s">
        <v>394</v>
      </c>
      <c r="E106" s="111" t="s">
        <v>721</v>
      </c>
      <c r="F106" s="78" t="n">
        <v>1</v>
      </c>
      <c r="G106" s="110" t="s">
        <v>668</v>
      </c>
      <c r="H106" s="76" t="s">
        <v>750</v>
      </c>
      <c r="I106" s="27"/>
    </row>
    <row r="107" customFormat="false" ht="12.75" hidden="false" customHeight="true" outlineLevel="0" collapsed="false">
      <c r="B107" s="106" t="s">
        <v>749</v>
      </c>
      <c r="C107" s="107" t="s">
        <v>719</v>
      </c>
      <c r="D107" s="107" t="s">
        <v>377</v>
      </c>
      <c r="E107" s="108" t="s">
        <v>671</v>
      </c>
      <c r="F107" s="81" t="n">
        <v>1</v>
      </c>
      <c r="G107" s="107" t="s">
        <v>668</v>
      </c>
      <c r="H107" s="79" t="s">
        <v>750</v>
      </c>
      <c r="I107" s="22"/>
    </row>
    <row r="108" customFormat="false" ht="12.75" hidden="false" customHeight="true" outlineLevel="0" collapsed="false">
      <c r="B108" s="109" t="s">
        <v>749</v>
      </c>
      <c r="C108" s="110" t="s">
        <v>719</v>
      </c>
      <c r="D108" s="110" t="s">
        <v>73</v>
      </c>
      <c r="E108" s="111" t="s">
        <v>707</v>
      </c>
      <c r="F108" s="78" t="n">
        <v>1</v>
      </c>
      <c r="G108" s="110" t="s">
        <v>668</v>
      </c>
      <c r="H108" s="76" t="s">
        <v>750</v>
      </c>
      <c r="I108" s="27"/>
    </row>
    <row r="109" customFormat="false" ht="12.75" hidden="false" customHeight="true" outlineLevel="0" collapsed="false">
      <c r="B109" s="106" t="s">
        <v>749</v>
      </c>
      <c r="C109" s="107" t="s">
        <v>719</v>
      </c>
      <c r="D109" s="107" t="s">
        <v>154</v>
      </c>
      <c r="E109" s="108" t="s">
        <v>731</v>
      </c>
      <c r="F109" s="81" t="n">
        <v>1</v>
      </c>
      <c r="G109" s="107" t="s">
        <v>668</v>
      </c>
      <c r="H109" s="79" t="s">
        <v>750</v>
      </c>
      <c r="I109" s="22"/>
    </row>
    <row r="110" customFormat="false" ht="12.75" hidden="false" customHeight="true" outlineLevel="0" collapsed="false">
      <c r="B110" s="109" t="s">
        <v>749</v>
      </c>
      <c r="C110" s="110" t="s">
        <v>719</v>
      </c>
      <c r="D110" s="110" t="s">
        <v>167</v>
      </c>
      <c r="E110" s="27" t="s">
        <v>709</v>
      </c>
      <c r="F110" s="78" t="n">
        <v>2</v>
      </c>
      <c r="G110" s="110" t="s">
        <v>668</v>
      </c>
      <c r="H110" s="76" t="s">
        <v>750</v>
      </c>
      <c r="I110" s="27"/>
    </row>
    <row r="111" customFormat="false" ht="12.75" hidden="false" customHeight="true" outlineLevel="0" collapsed="false">
      <c r="B111" s="106" t="s">
        <v>672</v>
      </c>
      <c r="C111" s="107" t="s">
        <v>719</v>
      </c>
      <c r="D111" s="107" t="s">
        <v>280</v>
      </c>
      <c r="E111" s="108" t="s">
        <v>751</v>
      </c>
      <c r="F111" s="81" t="n">
        <v>1</v>
      </c>
      <c r="G111" s="107" t="s">
        <v>668</v>
      </c>
      <c r="H111" s="79" t="s">
        <v>752</v>
      </c>
      <c r="I111" s="22"/>
    </row>
    <row r="112" customFormat="false" ht="12.75" hidden="false" customHeight="true" outlineLevel="0" collapsed="false">
      <c r="B112" s="109" t="s">
        <v>672</v>
      </c>
      <c r="C112" s="110" t="s">
        <v>719</v>
      </c>
      <c r="D112" s="110" t="s">
        <v>394</v>
      </c>
      <c r="E112" s="111" t="s">
        <v>753</v>
      </c>
      <c r="F112" s="78" t="n">
        <v>1</v>
      </c>
      <c r="G112" s="110" t="s">
        <v>668</v>
      </c>
      <c r="H112" s="76" t="s">
        <v>752</v>
      </c>
      <c r="I112" s="27"/>
    </row>
    <row r="113" customFormat="false" ht="12.75" hidden="false" customHeight="true" outlineLevel="0" collapsed="false">
      <c r="B113" s="106" t="s">
        <v>672</v>
      </c>
      <c r="C113" s="107" t="s">
        <v>719</v>
      </c>
      <c r="D113" s="107" t="s">
        <v>154</v>
      </c>
      <c r="E113" s="108" t="s">
        <v>754</v>
      </c>
      <c r="F113" s="81" t="n">
        <v>1</v>
      </c>
      <c r="G113" s="107" t="s">
        <v>668</v>
      </c>
      <c r="H113" s="79" t="s">
        <v>752</v>
      </c>
      <c r="I113" s="22"/>
    </row>
    <row r="114" customFormat="false" ht="12.75" hidden="false" customHeight="true" outlineLevel="0" collapsed="false">
      <c r="B114" s="109" t="s">
        <v>672</v>
      </c>
      <c r="C114" s="110" t="s">
        <v>719</v>
      </c>
      <c r="D114" s="110" t="s">
        <v>73</v>
      </c>
      <c r="E114" s="111" t="s">
        <v>707</v>
      </c>
      <c r="F114" s="78" t="n">
        <v>1</v>
      </c>
      <c r="G114" s="110" t="s">
        <v>668</v>
      </c>
      <c r="H114" s="76" t="s">
        <v>752</v>
      </c>
      <c r="I114" s="27"/>
    </row>
    <row r="115" customFormat="false" ht="12.75" hidden="false" customHeight="true" outlineLevel="0" collapsed="false">
      <c r="B115" s="106" t="s">
        <v>672</v>
      </c>
      <c r="C115" s="107" t="s">
        <v>719</v>
      </c>
      <c r="D115" s="107" t="s">
        <v>167</v>
      </c>
      <c r="E115" s="22" t="s">
        <v>709</v>
      </c>
      <c r="F115" s="81" t="n">
        <v>2</v>
      </c>
      <c r="G115" s="107" t="s">
        <v>668</v>
      </c>
      <c r="H115" s="79" t="s">
        <v>752</v>
      </c>
      <c r="I115" s="22"/>
    </row>
    <row r="116" customFormat="false" ht="12.75" hidden="false" customHeight="true" outlineLevel="0" collapsed="false">
      <c r="B116" s="109" t="s">
        <v>675</v>
      </c>
      <c r="C116" s="110" t="s">
        <v>719</v>
      </c>
      <c r="D116" s="110" t="s">
        <v>280</v>
      </c>
      <c r="E116" s="111" t="s">
        <v>743</v>
      </c>
      <c r="F116" s="78" t="n">
        <v>1</v>
      </c>
      <c r="G116" s="110" t="s">
        <v>668</v>
      </c>
      <c r="H116" s="76" t="s">
        <v>755</v>
      </c>
      <c r="I116" s="27"/>
    </row>
    <row r="117" customFormat="false" ht="12.75" hidden="false" customHeight="true" outlineLevel="0" collapsed="false">
      <c r="B117" s="106" t="s">
        <v>675</v>
      </c>
      <c r="C117" s="107" t="s">
        <v>719</v>
      </c>
      <c r="D117" s="107" t="s">
        <v>394</v>
      </c>
      <c r="E117" s="108" t="s">
        <v>726</v>
      </c>
      <c r="F117" s="81" t="n">
        <v>1</v>
      </c>
      <c r="G117" s="107" t="s">
        <v>668</v>
      </c>
      <c r="H117" s="79" t="s">
        <v>755</v>
      </c>
      <c r="I117" s="22"/>
    </row>
    <row r="118" customFormat="false" ht="12.75" hidden="false" customHeight="true" outlineLevel="0" collapsed="false">
      <c r="B118" s="109" t="s">
        <v>675</v>
      </c>
      <c r="C118" s="110" t="s">
        <v>719</v>
      </c>
      <c r="D118" s="110" t="s">
        <v>377</v>
      </c>
      <c r="E118" s="111" t="s">
        <v>727</v>
      </c>
      <c r="F118" s="78" t="n">
        <v>1</v>
      </c>
      <c r="G118" s="110" t="s">
        <v>668</v>
      </c>
      <c r="H118" s="76" t="s">
        <v>755</v>
      </c>
      <c r="I118" s="27"/>
    </row>
    <row r="119" customFormat="false" ht="12.75" hidden="false" customHeight="true" outlineLevel="0" collapsed="false">
      <c r="B119" s="106" t="s">
        <v>675</v>
      </c>
      <c r="C119" s="107" t="s">
        <v>719</v>
      </c>
      <c r="D119" s="107" t="s">
        <v>167</v>
      </c>
      <c r="E119" s="22" t="s">
        <v>709</v>
      </c>
      <c r="F119" s="81" t="n">
        <v>2</v>
      </c>
      <c r="G119" s="107" t="s">
        <v>668</v>
      </c>
      <c r="H119" s="79" t="s">
        <v>755</v>
      </c>
      <c r="I119" s="22"/>
    </row>
    <row r="120" customFormat="false" ht="12.75" hidden="false" customHeight="true" outlineLevel="0" collapsed="false">
      <c r="B120" s="109" t="s">
        <v>675</v>
      </c>
      <c r="C120" s="110" t="s">
        <v>719</v>
      </c>
      <c r="D120" s="110" t="s">
        <v>73</v>
      </c>
      <c r="E120" s="111" t="s">
        <v>707</v>
      </c>
      <c r="F120" s="78" t="n">
        <v>1</v>
      </c>
      <c r="G120" s="110" t="s">
        <v>668</v>
      </c>
      <c r="H120" s="76" t="s">
        <v>755</v>
      </c>
      <c r="I120" s="27"/>
    </row>
    <row r="121" customFormat="false" ht="12.75" hidden="false" customHeight="true" outlineLevel="0" collapsed="false">
      <c r="B121" s="106" t="s">
        <v>675</v>
      </c>
      <c r="C121" s="107" t="s">
        <v>719</v>
      </c>
      <c r="D121" s="107" t="s">
        <v>154</v>
      </c>
      <c r="E121" s="108" t="s">
        <v>722</v>
      </c>
      <c r="F121" s="81" t="n">
        <v>1</v>
      </c>
      <c r="G121" s="107" t="s">
        <v>668</v>
      </c>
      <c r="H121" s="79" t="s">
        <v>755</v>
      </c>
      <c r="I121" s="22"/>
    </row>
    <row r="122" customFormat="false" ht="12.75" hidden="false" customHeight="true" outlineLevel="0" collapsed="false">
      <c r="B122" s="109" t="s">
        <v>675</v>
      </c>
      <c r="C122" s="110" t="s">
        <v>719</v>
      </c>
      <c r="D122" s="110" t="s">
        <v>280</v>
      </c>
      <c r="E122" s="111" t="s">
        <v>743</v>
      </c>
      <c r="F122" s="78" t="n">
        <v>1</v>
      </c>
      <c r="G122" s="110" t="s">
        <v>668</v>
      </c>
      <c r="H122" s="76" t="s">
        <v>756</v>
      </c>
      <c r="I122" s="27"/>
    </row>
    <row r="123" customFormat="false" ht="12.75" hidden="false" customHeight="true" outlineLevel="0" collapsed="false">
      <c r="B123" s="106" t="s">
        <v>675</v>
      </c>
      <c r="C123" s="107" t="s">
        <v>719</v>
      </c>
      <c r="D123" s="107" t="s">
        <v>394</v>
      </c>
      <c r="E123" s="108" t="s">
        <v>726</v>
      </c>
      <c r="F123" s="81" t="n">
        <v>1</v>
      </c>
      <c r="G123" s="107" t="s">
        <v>668</v>
      </c>
      <c r="H123" s="79" t="s">
        <v>756</v>
      </c>
      <c r="I123" s="22"/>
    </row>
    <row r="124" customFormat="false" ht="12.75" hidden="false" customHeight="true" outlineLevel="0" collapsed="false">
      <c r="B124" s="109" t="s">
        <v>675</v>
      </c>
      <c r="C124" s="110" t="s">
        <v>719</v>
      </c>
      <c r="D124" s="110" t="s">
        <v>377</v>
      </c>
      <c r="E124" s="111" t="s">
        <v>727</v>
      </c>
      <c r="F124" s="78" t="n">
        <v>1</v>
      </c>
      <c r="G124" s="110" t="s">
        <v>668</v>
      </c>
      <c r="H124" s="76" t="s">
        <v>756</v>
      </c>
      <c r="I124" s="27"/>
    </row>
    <row r="125" customFormat="false" ht="12.75" hidden="false" customHeight="true" outlineLevel="0" collapsed="false">
      <c r="B125" s="106" t="s">
        <v>675</v>
      </c>
      <c r="C125" s="107" t="s">
        <v>719</v>
      </c>
      <c r="D125" s="107" t="s">
        <v>167</v>
      </c>
      <c r="E125" s="22" t="s">
        <v>709</v>
      </c>
      <c r="F125" s="81" t="n">
        <v>2</v>
      </c>
      <c r="G125" s="107" t="s">
        <v>668</v>
      </c>
      <c r="H125" s="79" t="s">
        <v>756</v>
      </c>
      <c r="I125" s="22"/>
    </row>
    <row r="126" customFormat="false" ht="12.75" hidden="false" customHeight="true" outlineLevel="0" collapsed="false">
      <c r="B126" s="109" t="s">
        <v>675</v>
      </c>
      <c r="C126" s="110" t="s">
        <v>719</v>
      </c>
      <c r="D126" s="110" t="s">
        <v>73</v>
      </c>
      <c r="E126" s="111" t="s">
        <v>707</v>
      </c>
      <c r="F126" s="78" t="n">
        <v>1</v>
      </c>
      <c r="G126" s="110" t="s">
        <v>668</v>
      </c>
      <c r="H126" s="76" t="s">
        <v>756</v>
      </c>
      <c r="I126" s="27"/>
    </row>
    <row r="127" customFormat="false" ht="12.75" hidden="false" customHeight="true" outlineLevel="0" collapsed="false">
      <c r="B127" s="106" t="s">
        <v>675</v>
      </c>
      <c r="C127" s="107" t="s">
        <v>719</v>
      </c>
      <c r="D127" s="107" t="s">
        <v>154</v>
      </c>
      <c r="E127" s="108" t="s">
        <v>722</v>
      </c>
      <c r="F127" s="81" t="n">
        <v>1</v>
      </c>
      <c r="G127" s="107" t="s">
        <v>668</v>
      </c>
      <c r="H127" s="79" t="s">
        <v>756</v>
      </c>
      <c r="I127" s="22"/>
    </row>
    <row r="128" customFormat="false" ht="12.75" hidden="false" customHeight="true" outlineLevel="0" collapsed="false">
      <c r="B128" s="109" t="s">
        <v>675</v>
      </c>
      <c r="C128" s="110" t="s">
        <v>719</v>
      </c>
      <c r="D128" s="110" t="s">
        <v>280</v>
      </c>
      <c r="E128" s="111" t="s">
        <v>743</v>
      </c>
      <c r="F128" s="78" t="n">
        <v>1</v>
      </c>
      <c r="G128" s="110" t="s">
        <v>668</v>
      </c>
      <c r="H128" s="76" t="s">
        <v>757</v>
      </c>
      <c r="I128" s="27"/>
    </row>
    <row r="129" customFormat="false" ht="12.75" hidden="false" customHeight="true" outlineLevel="0" collapsed="false">
      <c r="B129" s="106" t="s">
        <v>675</v>
      </c>
      <c r="C129" s="107" t="s">
        <v>719</v>
      </c>
      <c r="D129" s="107" t="s">
        <v>394</v>
      </c>
      <c r="E129" s="108" t="s">
        <v>726</v>
      </c>
      <c r="F129" s="81" t="n">
        <v>1</v>
      </c>
      <c r="G129" s="107" t="s">
        <v>668</v>
      </c>
      <c r="H129" s="79" t="s">
        <v>757</v>
      </c>
      <c r="I129" s="22"/>
    </row>
    <row r="130" customFormat="false" ht="12.75" hidden="false" customHeight="true" outlineLevel="0" collapsed="false">
      <c r="B130" s="109" t="s">
        <v>675</v>
      </c>
      <c r="C130" s="110" t="s">
        <v>719</v>
      </c>
      <c r="D130" s="110" t="s">
        <v>377</v>
      </c>
      <c r="E130" s="111" t="s">
        <v>727</v>
      </c>
      <c r="F130" s="78" t="n">
        <v>1</v>
      </c>
      <c r="G130" s="110" t="s">
        <v>668</v>
      </c>
      <c r="H130" s="76" t="s">
        <v>757</v>
      </c>
      <c r="I130" s="27"/>
    </row>
    <row r="131" customFormat="false" ht="12.75" hidden="false" customHeight="true" outlineLevel="0" collapsed="false">
      <c r="B131" s="106" t="s">
        <v>675</v>
      </c>
      <c r="C131" s="107" t="s">
        <v>719</v>
      </c>
      <c r="D131" s="107" t="s">
        <v>167</v>
      </c>
      <c r="E131" s="22" t="s">
        <v>709</v>
      </c>
      <c r="F131" s="81" t="n">
        <v>2</v>
      </c>
      <c r="G131" s="107" t="s">
        <v>668</v>
      </c>
      <c r="H131" s="79" t="s">
        <v>757</v>
      </c>
      <c r="I131" s="22"/>
    </row>
    <row r="132" customFormat="false" ht="12.75" hidden="false" customHeight="true" outlineLevel="0" collapsed="false">
      <c r="B132" s="109" t="s">
        <v>675</v>
      </c>
      <c r="C132" s="110" t="s">
        <v>719</v>
      </c>
      <c r="D132" s="110" t="s">
        <v>73</v>
      </c>
      <c r="E132" s="111" t="s">
        <v>707</v>
      </c>
      <c r="F132" s="78" t="n">
        <v>1</v>
      </c>
      <c r="G132" s="110" t="s">
        <v>668</v>
      </c>
      <c r="H132" s="76" t="s">
        <v>757</v>
      </c>
      <c r="I132" s="27"/>
    </row>
    <row r="133" customFormat="false" ht="12.75" hidden="false" customHeight="true" outlineLevel="0" collapsed="false">
      <c r="B133" s="106" t="s">
        <v>675</v>
      </c>
      <c r="C133" s="107" t="s">
        <v>719</v>
      </c>
      <c r="D133" s="107" t="s">
        <v>154</v>
      </c>
      <c r="E133" s="108" t="s">
        <v>722</v>
      </c>
      <c r="F133" s="81" t="n">
        <v>1</v>
      </c>
      <c r="G133" s="107" t="s">
        <v>668</v>
      </c>
      <c r="H133" s="79" t="s">
        <v>757</v>
      </c>
      <c r="I133" s="22"/>
    </row>
    <row r="134" customFormat="false" ht="12.75" hidden="false" customHeight="true" outlineLevel="0" collapsed="false">
      <c r="B134" s="109" t="s">
        <v>675</v>
      </c>
      <c r="C134" s="110" t="s">
        <v>719</v>
      </c>
      <c r="D134" s="110" t="s">
        <v>280</v>
      </c>
      <c r="E134" s="111" t="s">
        <v>743</v>
      </c>
      <c r="F134" s="78" t="n">
        <v>1</v>
      </c>
      <c r="G134" s="110" t="s">
        <v>668</v>
      </c>
      <c r="H134" s="76" t="s">
        <v>758</v>
      </c>
      <c r="I134" s="27"/>
    </row>
    <row r="135" customFormat="false" ht="12.75" hidden="false" customHeight="true" outlineLevel="0" collapsed="false">
      <c r="B135" s="106" t="s">
        <v>675</v>
      </c>
      <c r="C135" s="107" t="s">
        <v>719</v>
      </c>
      <c r="D135" s="107" t="s">
        <v>394</v>
      </c>
      <c r="E135" s="108" t="s">
        <v>726</v>
      </c>
      <c r="F135" s="81" t="n">
        <v>1</v>
      </c>
      <c r="G135" s="107" t="s">
        <v>668</v>
      </c>
      <c r="H135" s="79" t="s">
        <v>758</v>
      </c>
      <c r="I135" s="22"/>
    </row>
    <row r="136" customFormat="false" ht="12.75" hidden="false" customHeight="true" outlineLevel="0" collapsed="false">
      <c r="B136" s="109" t="s">
        <v>675</v>
      </c>
      <c r="C136" s="110" t="s">
        <v>719</v>
      </c>
      <c r="D136" s="110" t="s">
        <v>377</v>
      </c>
      <c r="E136" s="111" t="s">
        <v>727</v>
      </c>
      <c r="F136" s="78" t="n">
        <v>1</v>
      </c>
      <c r="G136" s="110" t="s">
        <v>668</v>
      </c>
      <c r="H136" s="76" t="s">
        <v>758</v>
      </c>
      <c r="I136" s="27"/>
    </row>
    <row r="137" customFormat="false" ht="12.75" hidden="false" customHeight="true" outlineLevel="0" collapsed="false">
      <c r="B137" s="106" t="s">
        <v>675</v>
      </c>
      <c r="C137" s="107" t="s">
        <v>719</v>
      </c>
      <c r="D137" s="107" t="s">
        <v>167</v>
      </c>
      <c r="E137" s="22" t="s">
        <v>709</v>
      </c>
      <c r="F137" s="81" t="n">
        <v>2</v>
      </c>
      <c r="G137" s="107" t="s">
        <v>668</v>
      </c>
      <c r="H137" s="79" t="s">
        <v>758</v>
      </c>
      <c r="I137" s="22"/>
    </row>
    <row r="138" customFormat="false" ht="12.75" hidden="false" customHeight="true" outlineLevel="0" collapsed="false">
      <c r="B138" s="109" t="s">
        <v>675</v>
      </c>
      <c r="C138" s="110" t="s">
        <v>719</v>
      </c>
      <c r="D138" s="110" t="s">
        <v>73</v>
      </c>
      <c r="E138" s="111" t="s">
        <v>707</v>
      </c>
      <c r="F138" s="78" t="n">
        <v>1</v>
      </c>
      <c r="G138" s="110" t="s">
        <v>668</v>
      </c>
      <c r="H138" s="76" t="s">
        <v>758</v>
      </c>
      <c r="I138" s="27"/>
    </row>
    <row r="139" customFormat="false" ht="12.75" hidden="false" customHeight="true" outlineLevel="0" collapsed="false">
      <c r="B139" s="106" t="s">
        <v>675</v>
      </c>
      <c r="C139" s="107" t="s">
        <v>719</v>
      </c>
      <c r="D139" s="107" t="s">
        <v>154</v>
      </c>
      <c r="E139" s="108" t="s">
        <v>722</v>
      </c>
      <c r="F139" s="81" t="n">
        <v>1</v>
      </c>
      <c r="G139" s="107" t="s">
        <v>668</v>
      </c>
      <c r="H139" s="79" t="s">
        <v>758</v>
      </c>
      <c r="I139" s="22"/>
    </row>
    <row r="140" customFormat="false" ht="12.75" hidden="false" customHeight="true" outlineLevel="0" collapsed="false">
      <c r="B140" s="109" t="s">
        <v>675</v>
      </c>
      <c r="C140" s="110" t="s">
        <v>719</v>
      </c>
      <c r="D140" s="110" t="s">
        <v>280</v>
      </c>
      <c r="E140" s="111" t="s">
        <v>667</v>
      </c>
      <c r="F140" s="78" t="n">
        <v>1</v>
      </c>
      <c r="G140" s="110" t="s">
        <v>668</v>
      </c>
      <c r="H140" s="76" t="s">
        <v>759</v>
      </c>
      <c r="I140" s="27"/>
    </row>
    <row r="141" customFormat="false" ht="12.75" hidden="false" customHeight="true" outlineLevel="0" collapsed="false">
      <c r="B141" s="106" t="s">
        <v>675</v>
      </c>
      <c r="C141" s="107" t="s">
        <v>719</v>
      </c>
      <c r="D141" s="107" t="s">
        <v>394</v>
      </c>
      <c r="E141" s="108" t="s">
        <v>721</v>
      </c>
      <c r="F141" s="81" t="n">
        <v>1</v>
      </c>
      <c r="G141" s="107" t="s">
        <v>668</v>
      </c>
      <c r="H141" s="79" t="s">
        <v>759</v>
      </c>
      <c r="I141" s="22"/>
    </row>
    <row r="142" customFormat="false" ht="12.75" hidden="false" customHeight="true" outlineLevel="0" collapsed="false">
      <c r="B142" s="109" t="s">
        <v>675</v>
      </c>
      <c r="C142" s="110" t="s">
        <v>719</v>
      </c>
      <c r="D142" s="110" t="s">
        <v>377</v>
      </c>
      <c r="E142" s="111" t="s">
        <v>671</v>
      </c>
      <c r="F142" s="78" t="n">
        <v>1</v>
      </c>
      <c r="G142" s="110" t="s">
        <v>668</v>
      </c>
      <c r="H142" s="76" t="s">
        <v>759</v>
      </c>
      <c r="I142" s="27"/>
    </row>
    <row r="143" customFormat="false" ht="12.75" hidden="false" customHeight="true" outlineLevel="0" collapsed="false">
      <c r="B143" s="106" t="s">
        <v>675</v>
      </c>
      <c r="C143" s="107" t="s">
        <v>719</v>
      </c>
      <c r="D143" s="107" t="s">
        <v>154</v>
      </c>
      <c r="E143" s="108" t="s">
        <v>731</v>
      </c>
      <c r="F143" s="81" t="n">
        <v>1</v>
      </c>
      <c r="G143" s="107" t="s">
        <v>668</v>
      </c>
      <c r="H143" s="79" t="s">
        <v>759</v>
      </c>
      <c r="I143" s="22"/>
    </row>
    <row r="144" customFormat="false" ht="12.75" hidden="false" customHeight="true" outlineLevel="0" collapsed="false">
      <c r="B144" s="109" t="s">
        <v>675</v>
      </c>
      <c r="C144" s="110" t="s">
        <v>719</v>
      </c>
      <c r="D144" s="110" t="s">
        <v>73</v>
      </c>
      <c r="E144" s="111" t="s">
        <v>707</v>
      </c>
      <c r="F144" s="78" t="n">
        <v>1</v>
      </c>
      <c r="G144" s="110" t="s">
        <v>668</v>
      </c>
      <c r="H144" s="76" t="s">
        <v>759</v>
      </c>
      <c r="I144" s="27"/>
    </row>
    <row r="145" customFormat="false" ht="12.75" hidden="false" customHeight="true" outlineLevel="0" collapsed="false">
      <c r="B145" s="106" t="s">
        <v>675</v>
      </c>
      <c r="C145" s="107" t="s">
        <v>719</v>
      </c>
      <c r="D145" s="107" t="s">
        <v>167</v>
      </c>
      <c r="E145" s="22" t="s">
        <v>716</v>
      </c>
      <c r="F145" s="81" t="n">
        <v>2</v>
      </c>
      <c r="G145" s="107" t="s">
        <v>668</v>
      </c>
      <c r="H145" s="79" t="s">
        <v>759</v>
      </c>
      <c r="I145" s="22"/>
    </row>
    <row r="146" customFormat="false" ht="12.75" hidden="false" customHeight="true" outlineLevel="0" collapsed="false">
      <c r="B146" s="109" t="s">
        <v>760</v>
      </c>
      <c r="C146" s="110" t="s">
        <v>719</v>
      </c>
      <c r="D146" s="110" t="s">
        <v>280</v>
      </c>
      <c r="E146" s="111" t="s">
        <v>725</v>
      </c>
      <c r="F146" s="78" t="n">
        <v>1</v>
      </c>
      <c r="G146" s="110" t="s">
        <v>668</v>
      </c>
      <c r="H146" s="76" t="s">
        <v>761</v>
      </c>
      <c r="I146" s="27"/>
    </row>
    <row r="147" customFormat="false" ht="12.75" hidden="false" customHeight="true" outlineLevel="0" collapsed="false">
      <c r="B147" s="106" t="s">
        <v>760</v>
      </c>
      <c r="C147" s="107" t="s">
        <v>719</v>
      </c>
      <c r="D147" s="107" t="s">
        <v>309</v>
      </c>
      <c r="E147" s="108" t="s">
        <v>762</v>
      </c>
      <c r="F147" s="81" t="n">
        <v>1</v>
      </c>
      <c r="G147" s="107" t="s">
        <v>668</v>
      </c>
      <c r="H147" s="79" t="s">
        <v>761</v>
      </c>
      <c r="I147" s="22"/>
    </row>
    <row r="148" customFormat="false" ht="12.75" hidden="false" customHeight="true" outlineLevel="0" collapsed="false">
      <c r="B148" s="109" t="s">
        <v>760</v>
      </c>
      <c r="C148" s="110" t="s">
        <v>719</v>
      </c>
      <c r="D148" s="110" t="s">
        <v>394</v>
      </c>
      <c r="E148" s="111" t="s">
        <v>763</v>
      </c>
      <c r="F148" s="78" t="n">
        <v>1</v>
      </c>
      <c r="G148" s="110" t="s">
        <v>668</v>
      </c>
      <c r="H148" s="76" t="s">
        <v>761</v>
      </c>
      <c r="I148" s="27"/>
    </row>
    <row r="149" customFormat="false" ht="12.75" hidden="false" customHeight="true" outlineLevel="0" collapsed="false">
      <c r="B149" s="106" t="s">
        <v>760</v>
      </c>
      <c r="C149" s="107" t="s">
        <v>719</v>
      </c>
      <c r="D149" s="107" t="s">
        <v>377</v>
      </c>
      <c r="E149" s="108" t="s">
        <v>727</v>
      </c>
      <c r="F149" s="81" t="n">
        <v>1</v>
      </c>
      <c r="G149" s="107" t="s">
        <v>668</v>
      </c>
      <c r="H149" s="79" t="s">
        <v>761</v>
      </c>
      <c r="I149" s="22"/>
    </row>
    <row r="150" customFormat="false" ht="12.75" hidden="false" customHeight="true" outlineLevel="0" collapsed="false">
      <c r="B150" s="109" t="s">
        <v>764</v>
      </c>
      <c r="C150" s="110" t="s">
        <v>719</v>
      </c>
      <c r="D150" s="110" t="s">
        <v>280</v>
      </c>
      <c r="E150" s="111" t="s">
        <v>765</v>
      </c>
      <c r="F150" s="78" t="n">
        <v>1</v>
      </c>
      <c r="G150" s="110" t="s">
        <v>668</v>
      </c>
      <c r="H150" s="76" t="s">
        <v>766</v>
      </c>
      <c r="I150" s="27"/>
    </row>
    <row r="151" customFormat="false" ht="12.75" hidden="false" customHeight="true" outlineLevel="0" collapsed="false">
      <c r="B151" s="106" t="s">
        <v>681</v>
      </c>
      <c r="C151" s="107" t="s">
        <v>719</v>
      </c>
      <c r="D151" s="107" t="s">
        <v>73</v>
      </c>
      <c r="E151" s="108" t="s">
        <v>707</v>
      </c>
      <c r="F151" s="81" t="n">
        <v>1</v>
      </c>
      <c r="G151" s="107" t="s">
        <v>668</v>
      </c>
      <c r="H151" s="79" t="s">
        <v>767</v>
      </c>
      <c r="I151" s="22"/>
    </row>
    <row r="152" customFormat="false" ht="12.75" hidden="false" customHeight="true" outlineLevel="0" collapsed="false">
      <c r="B152" s="109" t="s">
        <v>681</v>
      </c>
      <c r="C152" s="110" t="s">
        <v>719</v>
      </c>
      <c r="D152" s="110" t="s">
        <v>228</v>
      </c>
      <c r="E152" s="111" t="s">
        <v>768</v>
      </c>
      <c r="F152" s="78" t="n">
        <v>1</v>
      </c>
      <c r="G152" s="110" t="s">
        <v>668</v>
      </c>
      <c r="H152" s="76" t="s">
        <v>769</v>
      </c>
      <c r="I152" s="27"/>
    </row>
    <row r="153" customFormat="false" ht="12.75" hidden="false" customHeight="true" outlineLevel="0" collapsed="false">
      <c r="B153" s="106" t="s">
        <v>657</v>
      </c>
      <c r="C153" s="107" t="s">
        <v>719</v>
      </c>
      <c r="D153" s="107" t="s">
        <v>228</v>
      </c>
      <c r="E153" s="108" t="s">
        <v>770</v>
      </c>
      <c r="F153" s="81" t="n">
        <v>1</v>
      </c>
      <c r="G153" s="107" t="s">
        <v>668</v>
      </c>
      <c r="H153" s="79" t="s">
        <v>771</v>
      </c>
      <c r="I153" s="22"/>
    </row>
    <row r="154" customFormat="false" ht="12.75" hidden="false" customHeight="true" outlineLevel="0" collapsed="false">
      <c r="B154" s="109" t="s">
        <v>657</v>
      </c>
      <c r="C154" s="110" t="s">
        <v>719</v>
      </c>
      <c r="D154" s="110" t="s">
        <v>317</v>
      </c>
      <c r="E154" s="111" t="s">
        <v>772</v>
      </c>
      <c r="F154" s="78" t="n">
        <v>1</v>
      </c>
      <c r="G154" s="110" t="s">
        <v>668</v>
      </c>
      <c r="H154" s="76" t="s">
        <v>773</v>
      </c>
      <c r="I154" s="27"/>
    </row>
    <row r="155" customFormat="false" ht="12.75" hidden="false" customHeight="true" outlineLevel="0" collapsed="false">
      <c r="B155" s="106" t="s">
        <v>657</v>
      </c>
      <c r="C155" s="107" t="s">
        <v>719</v>
      </c>
      <c r="D155" s="107" t="s">
        <v>167</v>
      </c>
      <c r="E155" s="22" t="s">
        <v>716</v>
      </c>
      <c r="F155" s="81" t="n">
        <v>2</v>
      </c>
      <c r="G155" s="107" t="s">
        <v>668</v>
      </c>
      <c r="H155" s="79" t="s">
        <v>774</v>
      </c>
      <c r="I155" s="22"/>
    </row>
    <row r="156" customFormat="false" ht="12.75" hidden="false" customHeight="true" outlineLevel="0" collapsed="false">
      <c r="B156" s="109" t="s">
        <v>657</v>
      </c>
      <c r="C156" s="110" t="s">
        <v>719</v>
      </c>
      <c r="D156" s="110" t="s">
        <v>394</v>
      </c>
      <c r="E156" s="111" t="s">
        <v>735</v>
      </c>
      <c r="F156" s="78" t="n">
        <v>1</v>
      </c>
      <c r="G156" s="110" t="s">
        <v>668</v>
      </c>
      <c r="H156" s="76" t="s">
        <v>775</v>
      </c>
      <c r="I156" s="27"/>
    </row>
    <row r="157" customFormat="false" ht="12.75" hidden="false" customHeight="true" outlineLevel="0" collapsed="false">
      <c r="B157" s="106" t="s">
        <v>776</v>
      </c>
      <c r="C157" s="107" t="s">
        <v>719</v>
      </c>
      <c r="D157" s="107" t="s">
        <v>167</v>
      </c>
      <c r="E157" s="22" t="s">
        <v>716</v>
      </c>
      <c r="F157" s="81" t="n">
        <v>4</v>
      </c>
      <c r="G157" s="107" t="s">
        <v>668</v>
      </c>
      <c r="H157" s="79" t="s">
        <v>777</v>
      </c>
      <c r="I157" s="22"/>
    </row>
    <row r="158" customFormat="false" ht="12.75" hidden="false" customHeight="true" outlineLevel="0" collapsed="false">
      <c r="B158" s="109" t="s">
        <v>713</v>
      </c>
      <c r="C158" s="110" t="s">
        <v>719</v>
      </c>
      <c r="D158" s="110" t="s">
        <v>154</v>
      </c>
      <c r="E158" s="111" t="s">
        <v>722</v>
      </c>
      <c r="F158" s="78" t="n">
        <v>4</v>
      </c>
      <c r="G158" s="110" t="s">
        <v>668</v>
      </c>
      <c r="H158" s="76" t="s">
        <v>778</v>
      </c>
      <c r="I158" s="27"/>
    </row>
    <row r="159" customFormat="false" ht="12.75" hidden="false" customHeight="true" outlineLevel="0" collapsed="false">
      <c r="B159" s="106" t="s">
        <v>713</v>
      </c>
      <c r="C159" s="107" t="s">
        <v>719</v>
      </c>
      <c r="D159" s="107" t="s">
        <v>73</v>
      </c>
      <c r="E159" s="108" t="s">
        <v>707</v>
      </c>
      <c r="F159" s="81" t="n">
        <v>4</v>
      </c>
      <c r="G159" s="107" t="s">
        <v>668</v>
      </c>
      <c r="H159" s="79" t="s">
        <v>779</v>
      </c>
      <c r="I159" s="22"/>
    </row>
    <row r="160" customFormat="false" ht="12.75" hidden="false" customHeight="true" outlineLevel="0" collapsed="false">
      <c r="B160" s="109" t="s">
        <v>713</v>
      </c>
      <c r="C160" s="110" t="s">
        <v>719</v>
      </c>
      <c r="D160" s="110" t="s">
        <v>167</v>
      </c>
      <c r="E160" s="27" t="s">
        <v>716</v>
      </c>
      <c r="F160" s="78" t="n">
        <v>8</v>
      </c>
      <c r="G160" s="110" t="s">
        <v>668</v>
      </c>
      <c r="H160" s="76" t="s">
        <v>780</v>
      </c>
      <c r="I160" s="27"/>
    </row>
    <row r="161" customFormat="false" ht="12.75" hidden="false" customHeight="true" outlineLevel="0" collapsed="false">
      <c r="B161" s="106" t="s">
        <v>781</v>
      </c>
      <c r="C161" s="107" t="s">
        <v>719</v>
      </c>
      <c r="D161" s="107" t="s">
        <v>73</v>
      </c>
      <c r="E161" s="108" t="s">
        <v>707</v>
      </c>
      <c r="F161" s="81" t="n">
        <v>4</v>
      </c>
      <c r="G161" s="107" t="s">
        <v>668</v>
      </c>
      <c r="H161" s="79" t="s">
        <v>782</v>
      </c>
      <c r="I161" s="22"/>
    </row>
    <row r="162" customFormat="false" ht="12.75" hidden="false" customHeight="true" outlineLevel="0" collapsed="false">
      <c r="B162" s="109" t="s">
        <v>781</v>
      </c>
      <c r="C162" s="110" t="s">
        <v>719</v>
      </c>
      <c r="D162" s="110" t="s">
        <v>154</v>
      </c>
      <c r="E162" s="111" t="s">
        <v>722</v>
      </c>
      <c r="F162" s="78" t="n">
        <v>4</v>
      </c>
      <c r="G162" s="110" t="s">
        <v>668</v>
      </c>
      <c r="H162" s="76" t="s">
        <v>783</v>
      </c>
      <c r="I162" s="27"/>
    </row>
    <row r="163" customFormat="false" ht="12.75" hidden="false" customHeight="true" outlineLevel="0" collapsed="false">
      <c r="B163" s="106" t="s">
        <v>781</v>
      </c>
      <c r="C163" s="107" t="s">
        <v>719</v>
      </c>
      <c r="D163" s="107" t="s">
        <v>167</v>
      </c>
      <c r="E163" s="22" t="s">
        <v>716</v>
      </c>
      <c r="F163" s="81" t="n">
        <v>8</v>
      </c>
      <c r="G163" s="107" t="s">
        <v>668</v>
      </c>
      <c r="H163" s="79" t="s">
        <v>784</v>
      </c>
      <c r="I163" s="22"/>
    </row>
    <row r="164" customFormat="false" ht="12.75" hidden="false" customHeight="true" outlineLevel="0" collapsed="false">
      <c r="B164" s="109" t="s">
        <v>785</v>
      </c>
      <c r="C164" s="110" t="s">
        <v>786</v>
      </c>
      <c r="D164" s="110" t="s">
        <v>106</v>
      </c>
      <c r="E164" s="111" t="s">
        <v>787</v>
      </c>
      <c r="F164" s="78" t="n">
        <v>1</v>
      </c>
      <c r="G164" s="110" t="s">
        <v>668</v>
      </c>
      <c r="H164" s="76" t="s">
        <v>788</v>
      </c>
      <c r="I164" s="27"/>
    </row>
    <row r="165" customFormat="false" ht="12.75" hidden="false" customHeight="true" outlineLevel="0" collapsed="false">
      <c r="B165" s="106" t="s">
        <v>681</v>
      </c>
      <c r="C165" s="107" t="s">
        <v>786</v>
      </c>
      <c r="D165" s="107" t="s">
        <v>167</v>
      </c>
      <c r="E165" s="22" t="s">
        <v>716</v>
      </c>
      <c r="F165" s="81" t="n">
        <v>1</v>
      </c>
      <c r="G165" s="107" t="s">
        <v>668</v>
      </c>
      <c r="H165" s="79" t="s">
        <v>789</v>
      </c>
      <c r="I165" s="22"/>
    </row>
    <row r="166" customFormat="false" ht="12.75" hidden="false" customHeight="true" outlineLevel="0" collapsed="false">
      <c r="B166" s="109" t="s">
        <v>790</v>
      </c>
      <c r="C166" s="110" t="s">
        <v>791</v>
      </c>
      <c r="D166" s="110" t="s">
        <v>154</v>
      </c>
      <c r="E166" s="111" t="s">
        <v>731</v>
      </c>
      <c r="F166" s="78" t="n">
        <v>2</v>
      </c>
      <c r="G166" s="110" t="s">
        <v>668</v>
      </c>
      <c r="H166" s="76" t="s">
        <v>792</v>
      </c>
      <c r="I166" s="27"/>
    </row>
    <row r="167" customFormat="false" ht="12.75" hidden="false" customHeight="true" outlineLevel="0" collapsed="false">
      <c r="B167" s="106" t="s">
        <v>675</v>
      </c>
      <c r="C167" s="107" t="s">
        <v>791</v>
      </c>
      <c r="D167" s="107" t="s">
        <v>154</v>
      </c>
      <c r="E167" s="108" t="s">
        <v>731</v>
      </c>
      <c r="F167" s="81" t="n">
        <v>1</v>
      </c>
      <c r="G167" s="107" t="s">
        <v>668</v>
      </c>
      <c r="H167" s="79" t="s">
        <v>793</v>
      </c>
      <c r="I167" s="22"/>
    </row>
    <row r="168" customFormat="false" ht="12.75" hidden="false" customHeight="true" outlineLevel="0" collapsed="false">
      <c r="B168" s="109" t="s">
        <v>675</v>
      </c>
      <c r="C168" s="110" t="s">
        <v>791</v>
      </c>
      <c r="D168" s="110" t="s">
        <v>154</v>
      </c>
      <c r="E168" s="111" t="s">
        <v>731</v>
      </c>
      <c r="F168" s="78" t="n">
        <v>10</v>
      </c>
      <c r="G168" s="110" t="s">
        <v>668</v>
      </c>
      <c r="H168" s="76" t="s">
        <v>793</v>
      </c>
      <c r="I168" s="27"/>
    </row>
    <row r="169" customFormat="false" ht="12.75" hidden="false" customHeight="true" outlineLevel="0" collapsed="false">
      <c r="B169" s="106" t="s">
        <v>675</v>
      </c>
      <c r="C169" s="107" t="s">
        <v>791</v>
      </c>
      <c r="D169" s="107" t="s">
        <v>154</v>
      </c>
      <c r="E169" s="108" t="s">
        <v>794</v>
      </c>
      <c r="F169" s="81" t="n">
        <v>6</v>
      </c>
      <c r="G169" s="107" t="s">
        <v>668</v>
      </c>
      <c r="H169" s="79" t="s">
        <v>793</v>
      </c>
      <c r="I169" s="22"/>
    </row>
    <row r="170" customFormat="false" ht="12.75" hidden="false" customHeight="true" outlineLevel="0" collapsed="false">
      <c r="B170" s="109" t="s">
        <v>795</v>
      </c>
      <c r="C170" s="110" t="s">
        <v>791</v>
      </c>
      <c r="D170" s="110" t="s">
        <v>154</v>
      </c>
      <c r="E170" s="111" t="s">
        <v>731</v>
      </c>
      <c r="F170" s="78" t="n">
        <v>1</v>
      </c>
      <c r="G170" s="110" t="s">
        <v>668</v>
      </c>
      <c r="H170" s="76" t="s">
        <v>796</v>
      </c>
      <c r="I170" s="27"/>
    </row>
    <row r="171" customFormat="false" ht="12.75" hidden="false" customHeight="true" outlineLevel="0" collapsed="false">
      <c r="B171" s="106" t="s">
        <v>795</v>
      </c>
      <c r="C171" s="107" t="s">
        <v>791</v>
      </c>
      <c r="D171" s="107" t="s">
        <v>154</v>
      </c>
      <c r="E171" s="108" t="s">
        <v>731</v>
      </c>
      <c r="F171" s="81" t="n">
        <v>2</v>
      </c>
      <c r="G171" s="107" t="s">
        <v>668</v>
      </c>
      <c r="H171" s="79" t="s">
        <v>796</v>
      </c>
      <c r="I171" s="22"/>
    </row>
    <row r="172" customFormat="false" ht="12.75" hidden="false" customHeight="true" outlineLevel="0" collapsed="false">
      <c r="B172" s="109" t="s">
        <v>760</v>
      </c>
      <c r="C172" s="110" t="s">
        <v>791</v>
      </c>
      <c r="D172" s="110" t="s">
        <v>154</v>
      </c>
      <c r="E172" s="111" t="s">
        <v>731</v>
      </c>
      <c r="F172" s="78" t="n">
        <v>1</v>
      </c>
      <c r="G172" s="110" t="s">
        <v>668</v>
      </c>
      <c r="H172" s="76" t="s">
        <v>793</v>
      </c>
      <c r="I172" s="27"/>
    </row>
    <row r="173" customFormat="false" ht="12.75" hidden="false" customHeight="true" outlineLevel="0" collapsed="false">
      <c r="B173" s="106" t="s">
        <v>760</v>
      </c>
      <c r="C173" s="107" t="s">
        <v>791</v>
      </c>
      <c r="D173" s="107" t="s">
        <v>154</v>
      </c>
      <c r="E173" s="108" t="s">
        <v>794</v>
      </c>
      <c r="F173" s="81" t="n">
        <v>1</v>
      </c>
      <c r="G173" s="107" t="s">
        <v>668</v>
      </c>
      <c r="H173" s="79" t="s">
        <v>793</v>
      </c>
      <c r="I173" s="22"/>
    </row>
    <row r="174" customFormat="false" ht="12.75" hidden="false" customHeight="true" outlineLevel="0" collapsed="false">
      <c r="B174" s="109" t="s">
        <v>760</v>
      </c>
      <c r="C174" s="110" t="s">
        <v>791</v>
      </c>
      <c r="D174" s="110" t="s">
        <v>154</v>
      </c>
      <c r="E174" s="111" t="s">
        <v>731</v>
      </c>
      <c r="F174" s="78" t="n">
        <v>2</v>
      </c>
      <c r="G174" s="110" t="s">
        <v>668</v>
      </c>
      <c r="H174" s="76" t="s">
        <v>797</v>
      </c>
      <c r="I174" s="27"/>
    </row>
    <row r="175" customFormat="false" ht="12.75" hidden="false" customHeight="true" outlineLevel="0" collapsed="false">
      <c r="B175" s="106" t="s">
        <v>652</v>
      </c>
      <c r="C175" s="107" t="s">
        <v>791</v>
      </c>
      <c r="D175" s="107" t="s">
        <v>154</v>
      </c>
      <c r="E175" s="108" t="s">
        <v>731</v>
      </c>
      <c r="F175" s="81" t="n">
        <v>1</v>
      </c>
      <c r="G175" s="107" t="s">
        <v>668</v>
      </c>
      <c r="H175" s="79" t="s">
        <v>798</v>
      </c>
      <c r="I175" s="22"/>
    </row>
    <row r="176" customFormat="false" ht="12.75" hidden="false" customHeight="true" outlineLevel="0" collapsed="false">
      <c r="B176" s="109" t="s">
        <v>764</v>
      </c>
      <c r="C176" s="110" t="s">
        <v>791</v>
      </c>
      <c r="D176" s="110" t="s">
        <v>154</v>
      </c>
      <c r="E176" s="111" t="s">
        <v>731</v>
      </c>
      <c r="F176" s="78" t="n">
        <v>1</v>
      </c>
      <c r="G176" s="110" t="s">
        <v>668</v>
      </c>
      <c r="H176" s="76" t="s">
        <v>793</v>
      </c>
      <c r="I176" s="27"/>
    </row>
    <row r="177" customFormat="false" ht="12.75" hidden="false" customHeight="true" outlineLevel="0" collapsed="false">
      <c r="B177" s="106" t="s">
        <v>764</v>
      </c>
      <c r="C177" s="107" t="s">
        <v>791</v>
      </c>
      <c r="D177" s="107" t="s">
        <v>154</v>
      </c>
      <c r="E177" s="108" t="s">
        <v>731</v>
      </c>
      <c r="F177" s="81" t="n">
        <v>3</v>
      </c>
      <c r="G177" s="107" t="s">
        <v>668</v>
      </c>
      <c r="H177" s="79" t="s">
        <v>793</v>
      </c>
      <c r="I177" s="22"/>
    </row>
    <row r="178" customFormat="false" ht="12.75" hidden="false" customHeight="true" outlineLevel="0" collapsed="false">
      <c r="B178" s="109" t="s">
        <v>681</v>
      </c>
      <c r="C178" s="110" t="s">
        <v>791</v>
      </c>
      <c r="D178" s="110" t="s">
        <v>154</v>
      </c>
      <c r="E178" s="111" t="s">
        <v>731</v>
      </c>
      <c r="F178" s="78" t="n">
        <v>1</v>
      </c>
      <c r="G178" s="110" t="s">
        <v>668</v>
      </c>
      <c r="H178" s="76" t="s">
        <v>799</v>
      </c>
      <c r="I178" s="27"/>
    </row>
    <row r="179" customFormat="false" ht="12.75" hidden="false" customHeight="true" outlineLevel="0" collapsed="false">
      <c r="B179" s="106" t="s">
        <v>657</v>
      </c>
      <c r="C179" s="107" t="s">
        <v>791</v>
      </c>
      <c r="D179" s="107" t="s">
        <v>154</v>
      </c>
      <c r="E179" s="108" t="s">
        <v>731</v>
      </c>
      <c r="F179" s="81" t="n">
        <v>1</v>
      </c>
      <c r="G179" s="107" t="s">
        <v>668</v>
      </c>
      <c r="H179" s="79" t="s">
        <v>800</v>
      </c>
      <c r="I179" s="22"/>
    </row>
    <row r="180" customFormat="false" ht="12.75" hidden="false" customHeight="true" outlineLevel="0" collapsed="false">
      <c r="B180" s="109" t="s">
        <v>657</v>
      </c>
      <c r="C180" s="110" t="s">
        <v>791</v>
      </c>
      <c r="D180" s="110" t="s">
        <v>154</v>
      </c>
      <c r="E180" s="111" t="s">
        <v>731</v>
      </c>
      <c r="F180" s="78" t="n">
        <v>1</v>
      </c>
      <c r="G180" s="110" t="s">
        <v>668</v>
      </c>
      <c r="H180" s="76" t="s">
        <v>800</v>
      </c>
      <c r="I180" s="27"/>
    </row>
    <row r="181" customFormat="false" ht="12.75" hidden="false" customHeight="true" outlineLevel="0" collapsed="false">
      <c r="B181" s="106" t="s">
        <v>801</v>
      </c>
      <c r="C181" s="107" t="s">
        <v>791</v>
      </c>
      <c r="D181" s="107" t="s">
        <v>154</v>
      </c>
      <c r="E181" s="108" t="s">
        <v>731</v>
      </c>
      <c r="F181" s="81" t="n">
        <v>1</v>
      </c>
      <c r="G181" s="107" t="s">
        <v>668</v>
      </c>
      <c r="H181" s="79" t="s">
        <v>802</v>
      </c>
      <c r="I181" s="22"/>
    </row>
    <row r="182" customFormat="false" ht="12.75" hidden="false" customHeight="true" outlineLevel="0" collapsed="false">
      <c r="B182" s="109" t="s">
        <v>803</v>
      </c>
      <c r="C182" s="110" t="s">
        <v>791</v>
      </c>
      <c r="D182" s="110" t="s">
        <v>154</v>
      </c>
      <c r="E182" s="111" t="s">
        <v>731</v>
      </c>
      <c r="F182" s="78" t="n">
        <v>3</v>
      </c>
      <c r="G182" s="110" t="s">
        <v>668</v>
      </c>
      <c r="H182" s="76" t="s">
        <v>804</v>
      </c>
      <c r="I182" s="27"/>
    </row>
    <row r="183" customFormat="false" ht="12.75" hidden="false" customHeight="true" outlineLevel="0" collapsed="false">
      <c r="B183" s="106" t="s">
        <v>803</v>
      </c>
      <c r="C183" s="107" t="s">
        <v>791</v>
      </c>
      <c r="D183" s="107" t="s">
        <v>154</v>
      </c>
      <c r="E183" s="108" t="s">
        <v>794</v>
      </c>
      <c r="F183" s="81" t="n">
        <v>1</v>
      </c>
      <c r="G183" s="107" t="s">
        <v>668</v>
      </c>
      <c r="H183" s="79" t="s">
        <v>799</v>
      </c>
      <c r="I183" s="22"/>
    </row>
    <row r="184" customFormat="false" ht="12.75" hidden="false" customHeight="true" outlineLevel="0" collapsed="false">
      <c r="B184" s="109" t="s">
        <v>803</v>
      </c>
      <c r="C184" s="110" t="s">
        <v>791</v>
      </c>
      <c r="D184" s="110" t="s">
        <v>154</v>
      </c>
      <c r="E184" s="111" t="s">
        <v>731</v>
      </c>
      <c r="F184" s="78" t="n">
        <v>1</v>
      </c>
      <c r="G184" s="110" t="s">
        <v>668</v>
      </c>
      <c r="H184" s="76" t="s">
        <v>805</v>
      </c>
      <c r="I184" s="27"/>
    </row>
    <row r="185" customFormat="false" ht="12.75" hidden="false" customHeight="true" outlineLevel="0" collapsed="false">
      <c r="B185" s="106" t="s">
        <v>685</v>
      </c>
      <c r="C185" s="107" t="s">
        <v>791</v>
      </c>
      <c r="D185" s="107" t="s">
        <v>154</v>
      </c>
      <c r="E185" s="108" t="s">
        <v>731</v>
      </c>
      <c r="F185" s="81" t="n">
        <v>6</v>
      </c>
      <c r="G185" s="107" t="s">
        <v>668</v>
      </c>
      <c r="H185" s="79" t="s">
        <v>804</v>
      </c>
      <c r="I185" s="22"/>
    </row>
    <row r="186" customFormat="false" ht="12.75" hidden="false" customHeight="true" outlineLevel="0" collapsed="false">
      <c r="B186" s="109" t="s">
        <v>685</v>
      </c>
      <c r="C186" s="110" t="s">
        <v>791</v>
      </c>
      <c r="D186" s="110" t="s">
        <v>154</v>
      </c>
      <c r="E186" s="111" t="s">
        <v>731</v>
      </c>
      <c r="F186" s="78" t="n">
        <v>1</v>
      </c>
      <c r="G186" s="110" t="s">
        <v>668</v>
      </c>
      <c r="H186" s="76" t="s">
        <v>804</v>
      </c>
      <c r="I186" s="27"/>
    </row>
    <row r="187" customFormat="false" ht="12.75" hidden="false" customHeight="true" outlineLevel="0" collapsed="false">
      <c r="B187" s="106" t="s">
        <v>806</v>
      </c>
      <c r="C187" s="107" t="s">
        <v>791</v>
      </c>
      <c r="D187" s="107" t="s">
        <v>154</v>
      </c>
      <c r="E187" s="108" t="s">
        <v>731</v>
      </c>
      <c r="F187" s="81" t="n">
        <v>1</v>
      </c>
      <c r="G187" s="107" t="s">
        <v>668</v>
      </c>
      <c r="H187" s="79" t="s">
        <v>804</v>
      </c>
      <c r="I187" s="22"/>
    </row>
    <row r="188" customFormat="false" ht="12.75" hidden="false" customHeight="true" outlineLevel="0" collapsed="false">
      <c r="B188" s="109" t="s">
        <v>739</v>
      </c>
      <c r="C188" s="110" t="s">
        <v>807</v>
      </c>
      <c r="D188" s="110" t="s">
        <v>154</v>
      </c>
      <c r="E188" s="111" t="s">
        <v>723</v>
      </c>
      <c r="F188" s="78" t="n">
        <v>3</v>
      </c>
      <c r="G188" s="110" t="s">
        <v>668</v>
      </c>
      <c r="H188" s="76" t="s">
        <v>808</v>
      </c>
      <c r="I188" s="27"/>
    </row>
    <row r="189" customFormat="false" ht="12.75" hidden="false" customHeight="true" outlineLevel="0" collapsed="false">
      <c r="B189" s="106" t="s">
        <v>700</v>
      </c>
      <c r="C189" s="107" t="s">
        <v>807</v>
      </c>
      <c r="D189" s="107" t="s">
        <v>154</v>
      </c>
      <c r="E189" s="108" t="s">
        <v>723</v>
      </c>
      <c r="F189" s="81" t="n">
        <v>3</v>
      </c>
      <c r="G189" s="107" t="s">
        <v>668</v>
      </c>
      <c r="H189" s="79" t="s">
        <v>809</v>
      </c>
      <c r="I189" s="22"/>
    </row>
    <row r="190" customFormat="false" ht="12.75" hidden="false" customHeight="true" outlineLevel="0" collapsed="false">
      <c r="B190" s="109" t="s">
        <v>665</v>
      </c>
      <c r="C190" s="110" t="s">
        <v>807</v>
      </c>
      <c r="D190" s="110" t="s">
        <v>154</v>
      </c>
      <c r="E190" s="111" t="s">
        <v>810</v>
      </c>
      <c r="F190" s="78" t="n">
        <v>1</v>
      </c>
      <c r="G190" s="110" t="s">
        <v>668</v>
      </c>
      <c r="H190" s="76" t="s">
        <v>811</v>
      </c>
      <c r="I190" s="27"/>
    </row>
    <row r="191" customFormat="false" ht="12.75" hidden="false" customHeight="true" outlineLevel="0" collapsed="false">
      <c r="B191" s="106" t="s">
        <v>665</v>
      </c>
      <c r="C191" s="107" t="s">
        <v>807</v>
      </c>
      <c r="D191" s="107" t="s">
        <v>154</v>
      </c>
      <c r="E191" s="108" t="s">
        <v>723</v>
      </c>
      <c r="F191" s="81" t="n">
        <v>1</v>
      </c>
      <c r="G191" s="107" t="s">
        <v>668</v>
      </c>
      <c r="H191" s="79" t="s">
        <v>811</v>
      </c>
      <c r="I191" s="22"/>
    </row>
    <row r="192" customFormat="false" ht="12.75" hidden="false" customHeight="true" outlineLevel="0" collapsed="false">
      <c r="B192" s="109" t="s">
        <v>812</v>
      </c>
      <c r="C192" s="110" t="s">
        <v>807</v>
      </c>
      <c r="D192" s="110" t="s">
        <v>154</v>
      </c>
      <c r="E192" s="111" t="s">
        <v>810</v>
      </c>
      <c r="F192" s="78" t="n">
        <v>1</v>
      </c>
      <c r="G192" s="110" t="s">
        <v>668</v>
      </c>
      <c r="H192" s="76" t="s">
        <v>813</v>
      </c>
      <c r="I192" s="27"/>
    </row>
    <row r="193" customFormat="false" ht="12.75" hidden="false" customHeight="true" outlineLevel="0" collapsed="false">
      <c r="B193" s="106" t="s">
        <v>814</v>
      </c>
      <c r="C193" s="107" t="s">
        <v>815</v>
      </c>
      <c r="D193" s="107" t="s">
        <v>265</v>
      </c>
      <c r="E193" s="108" t="s">
        <v>816</v>
      </c>
      <c r="F193" s="81" t="n">
        <v>1</v>
      </c>
      <c r="G193" s="107" t="s">
        <v>668</v>
      </c>
      <c r="H193" s="79" t="s">
        <v>817</v>
      </c>
      <c r="I193" s="22"/>
    </row>
    <row r="194" customFormat="false" ht="12.75" hidden="false" customHeight="true" outlineLevel="0" collapsed="false">
      <c r="B194" s="109" t="s">
        <v>785</v>
      </c>
      <c r="C194" s="110" t="s">
        <v>815</v>
      </c>
      <c r="D194" s="110" t="s">
        <v>265</v>
      </c>
      <c r="E194" s="111" t="s">
        <v>818</v>
      </c>
      <c r="F194" s="78" t="n">
        <v>1</v>
      </c>
      <c r="G194" s="110" t="s">
        <v>668</v>
      </c>
      <c r="H194" s="76" t="s">
        <v>819</v>
      </c>
      <c r="I194" s="27"/>
    </row>
    <row r="195" customFormat="false" ht="12.75" hidden="false" customHeight="true" outlineLevel="0" collapsed="false">
      <c r="B195" s="106" t="s">
        <v>785</v>
      </c>
      <c r="C195" s="107" t="s">
        <v>815</v>
      </c>
      <c r="D195" s="107" t="s">
        <v>265</v>
      </c>
      <c r="E195" s="108" t="s">
        <v>820</v>
      </c>
      <c r="F195" s="81" t="n">
        <v>1</v>
      </c>
      <c r="G195" s="107" t="s">
        <v>668</v>
      </c>
      <c r="H195" s="79" t="s">
        <v>819</v>
      </c>
      <c r="I195" s="22"/>
    </row>
    <row r="196" customFormat="false" ht="12.75" hidden="false" customHeight="true" outlineLevel="0" collapsed="false">
      <c r="B196" s="109" t="s">
        <v>821</v>
      </c>
      <c r="C196" s="110" t="s">
        <v>815</v>
      </c>
      <c r="D196" s="110" t="s">
        <v>167</v>
      </c>
      <c r="E196" s="27" t="s">
        <v>709</v>
      </c>
      <c r="F196" s="78" t="n">
        <v>2</v>
      </c>
      <c r="G196" s="110" t="s">
        <v>668</v>
      </c>
      <c r="H196" s="76" t="s">
        <v>822</v>
      </c>
      <c r="I196" s="27"/>
    </row>
    <row r="197" customFormat="false" ht="12.75" hidden="false" customHeight="true" outlineLevel="0" collapsed="false">
      <c r="B197" s="106" t="s">
        <v>823</v>
      </c>
      <c r="C197" s="107" t="s">
        <v>815</v>
      </c>
      <c r="D197" s="107" t="s">
        <v>265</v>
      </c>
      <c r="E197" s="108" t="s">
        <v>824</v>
      </c>
      <c r="F197" s="81" t="n">
        <v>1</v>
      </c>
      <c r="G197" s="107" t="s">
        <v>668</v>
      </c>
      <c r="H197" s="79" t="s">
        <v>825</v>
      </c>
      <c r="I197" s="22"/>
    </row>
    <row r="198" customFormat="false" ht="12.75" hidden="false" customHeight="true" outlineLevel="0" collapsed="false">
      <c r="B198" s="109" t="s">
        <v>657</v>
      </c>
      <c r="C198" s="110" t="s">
        <v>815</v>
      </c>
      <c r="D198" s="110" t="s">
        <v>167</v>
      </c>
      <c r="E198" s="27" t="s">
        <v>716</v>
      </c>
      <c r="F198" s="78" t="n">
        <v>2</v>
      </c>
      <c r="G198" s="110" t="s">
        <v>668</v>
      </c>
      <c r="H198" s="76" t="s">
        <v>826</v>
      </c>
      <c r="I198" s="27"/>
    </row>
    <row r="199" customFormat="false" ht="12.75" hidden="false" customHeight="true" outlineLevel="0" collapsed="false">
      <c r="B199" s="106" t="s">
        <v>713</v>
      </c>
      <c r="C199" s="107" t="s">
        <v>815</v>
      </c>
      <c r="D199" s="107" t="s">
        <v>265</v>
      </c>
      <c r="E199" s="108" t="s">
        <v>816</v>
      </c>
      <c r="F199" s="81" t="n">
        <v>1</v>
      </c>
      <c r="G199" s="107" t="s">
        <v>668</v>
      </c>
      <c r="H199" s="79" t="s">
        <v>827</v>
      </c>
      <c r="I199" s="22"/>
    </row>
    <row r="200" customFormat="false" ht="12.75" hidden="false" customHeight="true" outlineLevel="0" collapsed="false">
      <c r="B200" s="109" t="s">
        <v>785</v>
      </c>
      <c r="C200" s="110" t="s">
        <v>828</v>
      </c>
      <c r="D200" s="110" t="s">
        <v>84</v>
      </c>
      <c r="E200" s="111" t="s">
        <v>829</v>
      </c>
      <c r="F200" s="78" t="n">
        <v>1</v>
      </c>
      <c r="G200" s="110" t="s">
        <v>668</v>
      </c>
      <c r="H200" s="76" t="s">
        <v>830</v>
      </c>
      <c r="I200" s="27"/>
    </row>
    <row r="201" customFormat="false" ht="12.75" hidden="false" customHeight="true" outlineLevel="0" collapsed="false">
      <c r="B201" s="106" t="s">
        <v>760</v>
      </c>
      <c r="C201" s="107" t="s">
        <v>831</v>
      </c>
      <c r="D201" s="107" t="s">
        <v>57</v>
      </c>
      <c r="E201" s="108" t="s">
        <v>832</v>
      </c>
      <c r="F201" s="81" t="n">
        <v>2</v>
      </c>
      <c r="G201" s="107" t="s">
        <v>668</v>
      </c>
      <c r="H201" s="79" t="s">
        <v>833</v>
      </c>
      <c r="I201" s="22"/>
    </row>
    <row r="202" customFormat="false" ht="12.75" hidden="false" customHeight="true" outlineLevel="0" collapsed="false">
      <c r="B202" s="109" t="s">
        <v>760</v>
      </c>
      <c r="C202" s="110" t="s">
        <v>831</v>
      </c>
      <c r="D202" s="110" t="s">
        <v>127</v>
      </c>
      <c r="E202" s="111" t="s">
        <v>834</v>
      </c>
      <c r="F202" s="78" t="n">
        <v>1</v>
      </c>
      <c r="G202" s="110" t="s">
        <v>668</v>
      </c>
      <c r="H202" s="76" t="s">
        <v>835</v>
      </c>
      <c r="I202" s="27"/>
    </row>
    <row r="203" customFormat="false" ht="12.75" hidden="false" customHeight="true" outlineLevel="0" collapsed="false">
      <c r="B203" s="112" t="s">
        <v>760</v>
      </c>
      <c r="C203" s="113" t="s">
        <v>831</v>
      </c>
      <c r="D203" s="113" t="s">
        <v>154</v>
      </c>
      <c r="E203" s="114" t="s">
        <v>836</v>
      </c>
      <c r="F203" s="115" t="n">
        <v>2</v>
      </c>
      <c r="G203" s="113" t="s">
        <v>668</v>
      </c>
      <c r="H203" s="116" t="s">
        <v>797</v>
      </c>
      <c r="I203" s="116"/>
    </row>
    <row r="206" customFormat="false" ht="15" hidden="false" customHeight="false" outlineLevel="0" collapsed="false">
      <c r="B206" s="50" t="s">
        <v>837</v>
      </c>
    </row>
  </sheetData>
  <mergeCells count="3">
    <mergeCell ref="B2:I2"/>
    <mergeCell ref="B3:I3"/>
    <mergeCell ref="B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2026-03-11T19:40:59Z</dcterms:created>
  <dc:creator>openpyxl</dc:creator>
  <dc:description/>
  <dc:language>en-US</dc:language>
  <cp:lastModifiedBy/>
  <dcterms:modified xsi:type="dcterms:W3CDTF">2026-03-11T19:41:00Z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